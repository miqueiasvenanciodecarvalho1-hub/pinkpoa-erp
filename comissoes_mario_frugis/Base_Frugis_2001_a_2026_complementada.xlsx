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Resumo Pagamento" sheetId="1" state="visible" r:id="rId1"/>
    <sheet name="Origem dos Valores" sheetId="2" state="visible" r:id="rId2"/>
    <sheet name="Comparação Anual" sheetId="3" state="visible" r:id="rId3"/>
    <sheet name="Not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\R\$\ #,##0.00"/>
    <numFmt numFmtId="165" formatCode="0.0%"/>
  </numFmts>
  <fonts count="8">
    <font>
      <name val="Calibri"/>
      <family val="2"/>
      <color theme="1"/>
      <sz val="11"/>
      <scheme val="minor"/>
    </font>
    <font>
      <name val="Segoe UI"/>
      <b val="1"/>
      <color rgb="FFFFFFFF"/>
      <sz val="11"/>
    </font>
    <font>
      <name val="Segoe UI"/>
      <sz val="10"/>
    </font>
    <font>
      <name val="Segoe UI"/>
      <b val="1"/>
      <sz val="10"/>
    </font>
    <font>
      <name val="Segoe UI"/>
    </font>
    <font>
      <name val="Segoe UI"/>
      <color rgb="000000FF"/>
    </font>
    <font>
      <name val="Segoe UI"/>
      <b val="1"/>
    </font>
    <font>
      <name val="Segoe UI"/>
      <i val="1"/>
      <color rgb="00595959"/>
    </font>
  </fonts>
  <fills count="7">
    <fill>
      <patternFill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F9FAFB"/>
        <bgColor rgb="FFF9FAFB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DEBF7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000000"/>
      </top>
      <bottom style="double">
        <color rgb="FF000000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right"/>
    </xf>
    <xf numFmtId="0" fontId="2" fillId="3" borderId="1" applyAlignment="1" pivotButton="0" quotePrefix="0" xfId="0">
      <alignment horizontal="center"/>
    </xf>
    <xf numFmtId="0" fontId="2" fillId="3" borderId="1" applyAlignment="1" pivotButton="0" quotePrefix="0" xfId="0">
      <alignment horizontal="left"/>
    </xf>
    <xf numFmtId="164" fontId="2" fillId="3" borderId="1" applyAlignment="1" pivotButton="0" quotePrefix="0" xfId="0">
      <alignment horizontal="right"/>
    </xf>
    <xf numFmtId="0" fontId="3" fillId="0" borderId="2" pivotButton="0" quotePrefix="0" xfId="0"/>
    <xf numFmtId="164" fontId="3" fillId="0" borderId="2" applyAlignment="1" pivotButton="0" quotePrefix="0" xfId="0">
      <alignment horizontal="right"/>
    </xf>
    <xf numFmtId="0" fontId="4" fillId="0" borderId="3" applyAlignment="1" pivotButton="0" quotePrefix="0" xfId="0">
      <alignment horizontal="center"/>
    </xf>
    <xf numFmtId="0" fontId="4" fillId="0" borderId="3" applyAlignment="1" pivotButton="0" quotePrefix="0" xfId="0">
      <alignment horizontal="left"/>
    </xf>
    <xf numFmtId="164" fontId="4" fillId="0" borderId="3" applyAlignment="1" pivotButton="0" quotePrefix="0" xfId="0">
      <alignment horizontal="right"/>
    </xf>
    <xf numFmtId="0" fontId="4" fillId="0" borderId="3" pivotButton="0" quotePrefix="0" xfId="0"/>
    <xf numFmtId="164" fontId="5" fillId="0" borderId="3" pivotButton="0" quotePrefix="0" xfId="0"/>
    <xf numFmtId="164" fontId="4" fillId="0" borderId="3" pivotButton="0" quotePrefix="0" xfId="0"/>
    <xf numFmtId="0" fontId="4" fillId="3" borderId="3" applyAlignment="1" pivotButton="0" quotePrefix="0" xfId="0">
      <alignment horizontal="center"/>
    </xf>
    <xf numFmtId="0" fontId="4" fillId="3" borderId="3" applyAlignment="1" pivotButton="0" quotePrefix="0" xfId="0">
      <alignment horizontal="left"/>
    </xf>
    <xf numFmtId="164" fontId="4" fillId="3" borderId="3" applyAlignment="1" pivotButton="0" quotePrefix="0" xfId="0">
      <alignment horizontal="right"/>
    </xf>
    <xf numFmtId="0" fontId="4" fillId="4" borderId="3" applyAlignment="1" pivotButton="0" quotePrefix="0" xfId="0">
      <alignment horizontal="center"/>
    </xf>
    <xf numFmtId="0" fontId="4" fillId="4" borderId="3" applyAlignment="1" pivotButton="0" quotePrefix="0" xfId="0">
      <alignment horizontal="left"/>
    </xf>
    <xf numFmtId="164" fontId="4" fillId="4" borderId="3" applyAlignment="1" pivotButton="0" quotePrefix="0" xfId="0">
      <alignment horizontal="right"/>
    </xf>
    <xf numFmtId="0" fontId="4" fillId="4" borderId="3" pivotButton="0" quotePrefix="0" xfId="0"/>
    <xf numFmtId="164" fontId="5" fillId="4" borderId="3" pivotButton="0" quotePrefix="0" xfId="0"/>
    <xf numFmtId="164" fontId="4" fillId="4" borderId="3" pivotButton="0" quotePrefix="0" xfId="0"/>
    <xf numFmtId="0" fontId="4" fillId="5" borderId="3" applyAlignment="1" pivotButton="0" quotePrefix="0" xfId="0">
      <alignment horizontal="center"/>
    </xf>
    <xf numFmtId="0" fontId="4" fillId="5" borderId="3" applyAlignment="1" pivotButton="0" quotePrefix="0" xfId="0">
      <alignment horizontal="left"/>
    </xf>
    <xf numFmtId="164" fontId="4" fillId="5" borderId="3" applyAlignment="1" pivotButton="0" quotePrefix="0" xfId="0">
      <alignment horizontal="right"/>
    </xf>
    <xf numFmtId="0" fontId="4" fillId="5" borderId="3" pivotButton="0" quotePrefix="0" xfId="0"/>
    <xf numFmtId="164" fontId="5" fillId="5" borderId="3" pivotButton="0" quotePrefix="0" xfId="0"/>
    <xf numFmtId="164" fontId="4" fillId="5" borderId="3" pivotButton="0" quotePrefix="0" xfId="0"/>
    <xf numFmtId="0" fontId="4" fillId="6" borderId="3" pivotButton="0" quotePrefix="0" xfId="0"/>
    <xf numFmtId="164" fontId="4" fillId="6" borderId="3" pivotButton="0" quotePrefix="0" xfId="0"/>
    <xf numFmtId="164" fontId="5" fillId="6" borderId="3" pivotButton="0" quotePrefix="0" xfId="0"/>
    <xf numFmtId="0" fontId="6" fillId="0" borderId="0" pivotButton="0" quotePrefix="0" xfId="0"/>
    <xf numFmtId="164" fontId="6" fillId="0" borderId="3" pivotButton="0" quotePrefix="0" xfId="0"/>
    <xf numFmtId="0" fontId="4" fillId="4" borderId="0" pivotButton="0" quotePrefix="0" xfId="0"/>
    <xf numFmtId="0" fontId="4" fillId="5" borderId="0" pivotButton="0" quotePrefix="0" xfId="0"/>
    <xf numFmtId="0" fontId="4" fillId="6" borderId="0" pivotButton="0" quotePrefix="0" xfId="0"/>
    <xf numFmtId="0" fontId="4" fillId="0" borderId="0" pivotButton="0" quotePrefix="0" xfId="0"/>
    <xf numFmtId="0" fontId="1" fillId="2" borderId="3" applyAlignment="1" pivotButton="0" quotePrefix="0" xfId="0">
      <alignment horizontal="center" vertical="center" wrapText="1"/>
    </xf>
    <xf numFmtId="0" fontId="6" fillId="0" borderId="3" pivotButton="0" quotePrefix="0" xfId="0"/>
    <xf numFmtId="165" fontId="0" fillId="0" borderId="3" pivotButton="0" quotePrefix="0" xfId="0"/>
    <xf numFmtId="165" fontId="6" fillId="0" borderId="0" pivotButton="0" quotePrefix="0" xfId="0"/>
    <xf numFmtId="0" fontId="7" fillId="0" borderId="0" pivotButton="0" quotePrefix="0" xfId="0"/>
    <xf numFmtId="0" fontId="0" fillId="0" borderId="3" pivotButton="0" quotePrefix="0" xfId="0"/>
    <xf numFmtId="0" fontId="6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</cellXfs>
  <cellStyles count="1">
    <cellStyle name="Normal" xfId="0" builtinId="0"/>
  </cellStyles>
  <dxfs count="1">
    <dxf>
      <fill>
        <patternFill patternType="solid">
          <fgColor rgb="00FCE4D6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14"/>
  <sheetViews>
    <sheetView tabSelected="1" workbookViewId="0">
      <pane ySplit="1" topLeftCell="A2" activePane="bottomLeft" state="frozen"/>
      <selection pane="bottomLeft" activeCell="B12" sqref="B12"/>
    </sheetView>
  </sheetViews>
  <sheetFormatPr baseColWidth="8" defaultRowHeight="14.4"/>
  <cols>
    <col width="21" customWidth="1" min="1" max="1"/>
    <col width="68" customWidth="1" min="2" max="2"/>
    <col width="51" customWidth="1" min="3" max="3"/>
    <col width="20" customWidth="1" min="4" max="4"/>
    <col width="15" customWidth="1" min="5" max="5"/>
    <col width="18" customWidth="1" min="6" max="6"/>
    <col width="18" customWidth="1" min="7" max="7"/>
    <col width="18" customWidth="1" min="8" max="8"/>
    <col width="40" customWidth="1" min="9" max="9"/>
    <col width="40" customWidth="1" min="10" max="10"/>
    <col width="9" customWidth="1" min="11" max="11"/>
  </cols>
  <sheetData>
    <row r="1" ht="16.8" customHeight="1">
      <c r="A1" s="1" t="inlineStr">
        <is>
          <t>Data de Pagamento</t>
        </is>
      </c>
      <c r="B1" s="1" t="inlineStr">
        <is>
          <t>TOTAL CENTRO DE DISTRIBUICAO INTEGRADA LTDA - 12.460.301/0001-87</t>
        </is>
      </c>
      <c r="C1" s="1" t="inlineStr">
        <is>
          <t>FRUGIS REPRESENTACOES LTDA - 11.989.186/0001-70</t>
        </is>
      </c>
      <c r="D1" s="1" t="inlineStr">
        <is>
          <t>Líquido (R$) - FINAL</t>
        </is>
      </c>
      <c r="E1" s="1" t="inlineStr">
        <is>
          <t>Competência (mês anterior ao pagto)</t>
        </is>
      </c>
      <c r="F1" s="1" t="inlineStr">
        <is>
          <t>Valor original da base (R$)</t>
        </is>
      </c>
      <c r="G1" s="1" t="inlineStr">
        <is>
          <t>Extrato real / meu cálculo (R$)</t>
        </is>
      </c>
      <c r="H1" s="1" t="inlineStr">
        <is>
          <t>Diferença (original − extrato)</t>
        </is>
      </c>
      <c r="I1" s="1" t="inlineStr">
        <is>
          <t>O que foi usado na coluna D</t>
        </is>
      </c>
      <c r="J1" s="1" t="inlineStr">
        <is>
          <t>Origem</t>
        </is>
      </c>
      <c r="K1" s="1" t="inlineStr">
        <is>
          <t>Ano pagto</t>
        </is>
      </c>
    </row>
    <row r="2" ht="15" customHeight="1">
      <c r="A2" s="10" t="inlineStr">
        <is>
          <t>15/02/2001</t>
        </is>
      </c>
      <c r="B2" s="11" t="inlineStr">
        <is>
          <t>TOTAL CENTRO DE DISTRIBUICAO INTEGRADA LTDA - 12.460.301/0001-87</t>
        </is>
      </c>
      <c r="C2" s="11" t="inlineStr">
        <is>
          <t>FRUGIS REPRESENTACOES LTDA - 11.989.186/0001-70</t>
        </is>
      </c>
      <c r="D2" s="12">
        <f>F2</f>
        <v/>
      </c>
      <c r="E2" s="13" t="inlineStr">
        <is>
          <t>01/2001</t>
        </is>
      </c>
      <c r="F2" s="14" t="n">
        <v>240.7636549653319</v>
      </c>
      <c r="G2" s="14" t="n"/>
      <c r="H2" s="15" t="n"/>
      <c r="I2" s="13" t="inlineStr">
        <is>
          <t>Mantido valor original da base (sem extrato)</t>
        </is>
      </c>
      <c r="J2" s="13" t="inlineStr">
        <is>
          <t>—</t>
        </is>
      </c>
      <c r="K2" s="13">
        <f>VALUE(RIGHT(A2,4))</f>
        <v/>
      </c>
    </row>
    <row r="3" ht="15" customHeight="1">
      <c r="A3" s="16" t="inlineStr">
        <is>
          <t>15/03/2001</t>
        </is>
      </c>
      <c r="B3" s="17" t="inlineStr">
        <is>
          <t>TOTAL CENTRO DE DISTRIBUICAO INTEGRADA LTDA - 12.460.301/0001-87</t>
        </is>
      </c>
      <c r="C3" s="17" t="inlineStr">
        <is>
          <t>FRUGIS REPRESENTACOES LTDA - 11.989.186/0001-70</t>
        </is>
      </c>
      <c r="D3" s="18">
        <f>F3</f>
        <v/>
      </c>
      <c r="E3" s="13" t="inlineStr">
        <is>
          <t>02/2001</t>
        </is>
      </c>
      <c r="F3" s="14" t="n">
        <v>235.3259569360727</v>
      </c>
      <c r="G3" s="14" t="n"/>
      <c r="H3" s="15" t="n"/>
      <c r="I3" s="13" t="inlineStr">
        <is>
          <t>Mantido valor original da base (sem extrato)</t>
        </is>
      </c>
      <c r="J3" s="13" t="inlineStr">
        <is>
          <t>—</t>
        </is>
      </c>
      <c r="K3" s="13">
        <f>VALUE(RIGHT(A3,4))</f>
        <v/>
      </c>
    </row>
    <row r="4" ht="15" customHeight="1">
      <c r="A4" s="10" t="inlineStr">
        <is>
          <t>15/04/2001</t>
        </is>
      </c>
      <c r="B4" s="11" t="inlineStr">
        <is>
          <t>TOTAL CENTRO DE DISTRIBUICAO INTEGRADA LTDA - 12.460.301/0001-87</t>
        </is>
      </c>
      <c r="C4" s="11" t="inlineStr">
        <is>
          <t>FRUGIS REPRESENTACOES LTDA - 11.989.186/0001-70</t>
        </is>
      </c>
      <c r="D4" s="12">
        <f>F4</f>
        <v/>
      </c>
      <c r="E4" s="13" t="inlineStr">
        <is>
          <t>03/2001</t>
        </is>
      </c>
      <c r="F4" s="14" t="n">
        <v>235.3256606277851</v>
      </c>
      <c r="G4" s="14" t="n"/>
      <c r="H4" s="15" t="n"/>
      <c r="I4" s="13" t="inlineStr">
        <is>
          <t>Mantido valor original da base (sem extrato)</t>
        </is>
      </c>
      <c r="J4" s="13" t="inlineStr">
        <is>
          <t>—</t>
        </is>
      </c>
      <c r="K4" s="13">
        <f>VALUE(RIGHT(A4,4))</f>
        <v/>
      </c>
    </row>
    <row r="5" ht="15" customHeight="1">
      <c r="A5" s="16" t="inlineStr">
        <is>
          <t>15/05/2001</t>
        </is>
      </c>
      <c r="B5" s="17" t="inlineStr">
        <is>
          <t>TOTAL CENTRO DE DISTRIBUICAO INTEGRADA LTDA - 12.460.301/0001-87</t>
        </is>
      </c>
      <c r="C5" s="17" t="inlineStr">
        <is>
          <t>FRUGIS REPRESENTACOES LTDA - 11.989.186/0001-70</t>
        </is>
      </c>
      <c r="D5" s="18">
        <f>F5</f>
        <v/>
      </c>
      <c r="E5" s="13" t="inlineStr">
        <is>
          <t>04/2001</t>
        </is>
      </c>
      <c r="F5" s="14" t="n">
        <v>234.1228544188545</v>
      </c>
      <c r="G5" s="14" t="n"/>
      <c r="H5" s="15" t="n"/>
      <c r="I5" s="13" t="inlineStr">
        <is>
          <t>Mantido valor original da base (sem extrato)</t>
        </is>
      </c>
      <c r="J5" s="13" t="inlineStr">
        <is>
          <t>—</t>
        </is>
      </c>
      <c r="K5" s="13">
        <f>VALUE(RIGHT(A5,4))</f>
        <v/>
      </c>
    </row>
    <row r="6" ht="15" customHeight="1">
      <c r="A6" s="10" t="inlineStr">
        <is>
          <t>15/06/2001</t>
        </is>
      </c>
      <c r="B6" s="11" t="inlineStr">
        <is>
          <t>TOTAL CENTRO DE DISTRIBUICAO INTEGRADA LTDA - 12.460.301/0001-87</t>
        </is>
      </c>
      <c r="C6" s="11" t="inlineStr">
        <is>
          <t>FRUGIS REPRESENTACOES LTDA - 11.989.186/0001-70</t>
        </is>
      </c>
      <c r="D6" s="12">
        <f>F6</f>
        <v/>
      </c>
      <c r="E6" s="13" t="inlineStr">
        <is>
          <t>05/2001</t>
        </is>
      </c>
      <c r="F6" s="14" t="n">
        <v>244.0500293884185</v>
      </c>
      <c r="G6" s="14" t="n"/>
      <c r="H6" s="15" t="n"/>
      <c r="I6" s="13" t="inlineStr">
        <is>
          <t>Mantido valor original da base (sem extrato)</t>
        </is>
      </c>
      <c r="J6" s="13" t="inlineStr">
        <is>
          <t>—</t>
        </is>
      </c>
      <c r="K6" s="13">
        <f>VALUE(RIGHT(A6,4))</f>
        <v/>
      </c>
    </row>
    <row r="7" ht="15" customHeight="1">
      <c r="A7" s="16" t="inlineStr">
        <is>
          <t>15/07/2001</t>
        </is>
      </c>
      <c r="B7" s="17" t="inlineStr">
        <is>
          <t>TOTAL CENTRO DE DISTRIBUICAO INTEGRADA LTDA - 12.460.301/0001-87</t>
        </is>
      </c>
      <c r="C7" s="17" t="inlineStr">
        <is>
          <t>FRUGIS REPRESENTACOES LTDA - 11.989.186/0001-70</t>
        </is>
      </c>
      <c r="D7" s="18">
        <f>F7</f>
        <v/>
      </c>
      <c r="E7" s="13" t="inlineStr">
        <is>
          <t>06/2001</t>
        </is>
      </c>
      <c r="F7" s="14" t="n">
        <v>240.793832671169</v>
      </c>
      <c r="G7" s="14" t="n"/>
      <c r="H7" s="15" t="n"/>
      <c r="I7" s="13" t="inlineStr">
        <is>
          <t>Mantido valor original da base (sem extrato)</t>
        </is>
      </c>
      <c r="J7" s="13" t="inlineStr">
        <is>
          <t>—</t>
        </is>
      </c>
      <c r="K7" s="13">
        <f>VALUE(RIGHT(A7,4))</f>
        <v/>
      </c>
    </row>
    <row r="8" ht="15" customHeight="1">
      <c r="A8" s="10" t="inlineStr">
        <is>
          <t>15/08/2001</t>
        </is>
      </c>
      <c r="B8" s="11" t="inlineStr">
        <is>
          <t>TOTAL CENTRO DE DISTRIBUICAO INTEGRADA LTDA - 12.460.301/0001-87</t>
        </is>
      </c>
      <c r="C8" s="11" t="inlineStr">
        <is>
          <t>FRUGIS REPRESENTACOES LTDA - 11.989.186/0001-70</t>
        </is>
      </c>
      <c r="D8" s="12">
        <f>F8</f>
        <v/>
      </c>
      <c r="E8" s="13" t="inlineStr">
        <is>
          <t>07/2001</t>
        </is>
      </c>
      <c r="F8" s="14" t="n">
        <v>242.1077743651805</v>
      </c>
      <c r="G8" s="14" t="n"/>
      <c r="H8" s="15" t="n"/>
      <c r="I8" s="13" t="inlineStr">
        <is>
          <t>Mantido valor original da base (sem extrato)</t>
        </is>
      </c>
      <c r="J8" s="13" t="inlineStr">
        <is>
          <t>—</t>
        </is>
      </c>
      <c r="K8" s="13">
        <f>VALUE(RIGHT(A8,4))</f>
        <v/>
      </c>
    </row>
    <row r="9" ht="15" customHeight="1">
      <c r="A9" s="16" t="inlineStr">
        <is>
          <t>15/09/2001</t>
        </is>
      </c>
      <c r="B9" s="17" t="inlineStr">
        <is>
          <t>TOTAL CENTRO DE DISTRIBUICAO INTEGRADA LTDA - 12.460.301/0001-87</t>
        </is>
      </c>
      <c r="C9" s="17" t="inlineStr">
        <is>
          <t>FRUGIS REPRESENTACOES LTDA - 11.989.186/0001-70</t>
        </is>
      </c>
      <c r="D9" s="18">
        <f>F9</f>
        <v/>
      </c>
      <c r="E9" s="13" t="inlineStr">
        <is>
          <t>08/2001</t>
        </is>
      </c>
      <c r="F9" s="14" t="n">
        <v>233.6621889766655</v>
      </c>
      <c r="G9" s="14" t="n"/>
      <c r="H9" s="15" t="n"/>
      <c r="I9" s="13" t="inlineStr">
        <is>
          <t>Mantido valor original da base (sem extrato)</t>
        </is>
      </c>
      <c r="J9" s="13" t="inlineStr">
        <is>
          <t>—</t>
        </is>
      </c>
      <c r="K9" s="13">
        <f>VALUE(RIGHT(A9,4))</f>
        <v/>
      </c>
    </row>
    <row r="10" ht="15" customHeight="1">
      <c r="A10" s="10" t="inlineStr">
        <is>
          <t>15/10/2001</t>
        </is>
      </c>
      <c r="B10" s="11" t="inlineStr">
        <is>
          <t>TOTAL CENTRO DE DISTRIBUICAO INTEGRADA LTDA - 12.460.301/0001-87</t>
        </is>
      </c>
      <c r="C10" s="11" t="inlineStr">
        <is>
          <t>FRUGIS REPRESENTACOES LTDA - 11.989.186/0001-70</t>
        </is>
      </c>
      <c r="D10" s="12">
        <f>F10</f>
        <v/>
      </c>
      <c r="E10" s="13" t="inlineStr">
        <is>
          <t>09/2001</t>
        </is>
      </c>
      <c r="F10" s="14" t="n">
        <v>245.3243669311123</v>
      </c>
      <c r="G10" s="14" t="n"/>
      <c r="H10" s="15" t="n"/>
      <c r="I10" s="13" t="inlineStr">
        <is>
          <t>Mantido valor original da base (sem extrato)</t>
        </is>
      </c>
      <c r="J10" s="13" t="inlineStr">
        <is>
          <t>—</t>
        </is>
      </c>
      <c r="K10" s="13">
        <f>VALUE(RIGHT(A10,4))</f>
        <v/>
      </c>
    </row>
    <row r="11" ht="15" customHeight="1">
      <c r="A11" s="16" t="inlineStr">
        <is>
          <t>15/11/2001</t>
        </is>
      </c>
      <c r="B11" s="17" t="inlineStr">
        <is>
          <t>TOTAL CENTRO DE DISTRIBUICAO INTEGRADA LTDA - 12.460.301/0001-87</t>
        </is>
      </c>
      <c r="C11" s="17" t="inlineStr">
        <is>
          <t>FRUGIS REPRESENTACOES LTDA - 11.989.186/0001-70</t>
        </is>
      </c>
      <c r="D11" s="18">
        <f>F11</f>
        <v/>
      </c>
      <c r="E11" s="13" t="inlineStr">
        <is>
          <t>10/2001</t>
        </is>
      </c>
      <c r="F11" s="14" t="n">
        <v>243.6356233738943</v>
      </c>
      <c r="G11" s="14" t="n"/>
      <c r="H11" s="15" t="n"/>
      <c r="I11" s="13" t="inlineStr">
        <is>
          <t>Mantido valor original da base (sem extrato)</t>
        </is>
      </c>
      <c r="J11" s="13" t="inlineStr">
        <is>
          <t>—</t>
        </is>
      </c>
      <c r="K11" s="13">
        <f>VALUE(RIGHT(A11,4))</f>
        <v/>
      </c>
    </row>
    <row r="12" ht="15" customHeight="1">
      <c r="A12" s="10" t="inlineStr">
        <is>
          <t>15/12/2001</t>
        </is>
      </c>
      <c r="B12" s="11" t="inlineStr">
        <is>
          <t>TOTAL CENTRO DE DISTRIBUICAO INTEGRADA LTDA - 12.460.301/0001-87</t>
        </is>
      </c>
      <c r="C12" s="11" t="inlineStr">
        <is>
          <t>FRUGIS REPRESENTACOES LTDA - 11.989.186/0001-70</t>
        </is>
      </c>
      <c r="D12" s="12">
        <f>F12</f>
        <v/>
      </c>
      <c r="E12" s="13" t="inlineStr">
        <is>
          <t>11/2001</t>
        </is>
      </c>
      <c r="F12" s="14" t="n">
        <v>236.0178370601272</v>
      </c>
      <c r="G12" s="14" t="n"/>
      <c r="H12" s="15" t="n"/>
      <c r="I12" s="13" t="inlineStr">
        <is>
          <t>Mantido valor original da base (sem extrato)</t>
        </is>
      </c>
      <c r="J12" s="13" t="inlineStr">
        <is>
          <t>—</t>
        </is>
      </c>
      <c r="K12" s="13">
        <f>VALUE(RIGHT(A12,4))</f>
        <v/>
      </c>
    </row>
    <row r="13" ht="15" customHeight="1">
      <c r="A13" s="16" t="inlineStr">
        <is>
          <t>15/01/2002</t>
        </is>
      </c>
      <c r="B13" s="17" t="inlineStr">
        <is>
          <t>TOTAL CENTRO DE DISTRIBUICAO INTEGRADA LTDA - 12.460.301/0001-87</t>
        </is>
      </c>
      <c r="C13" s="17" t="inlineStr">
        <is>
          <t>FRUGIS REPRESENTACOES LTDA - 11.989.186/0001-70</t>
        </is>
      </c>
      <c r="D13" s="18">
        <f>F13</f>
        <v/>
      </c>
      <c r="E13" s="13" t="inlineStr">
        <is>
          <t>12/2001</t>
        </is>
      </c>
      <c r="F13" s="14" t="n">
        <v>235.642979938341</v>
      </c>
      <c r="G13" s="14" t="n"/>
      <c r="H13" s="15" t="n"/>
      <c r="I13" s="13" t="inlineStr">
        <is>
          <t>Mantido valor original da base (sem extrato)</t>
        </is>
      </c>
      <c r="J13" s="13" t="inlineStr">
        <is>
          <t>—</t>
        </is>
      </c>
      <c r="K13" s="13">
        <f>VALUE(RIGHT(A13,4))</f>
        <v/>
      </c>
    </row>
    <row r="14" ht="15" customHeight="1">
      <c r="A14" s="10" t="inlineStr">
        <is>
          <t>15/02/2002</t>
        </is>
      </c>
      <c r="B14" s="11" t="inlineStr">
        <is>
          <t>TOTAL CENTRO DE DISTRIBUICAO INTEGRADA LTDA - 12.460.301/0001-87</t>
        </is>
      </c>
      <c r="C14" s="11" t="inlineStr">
        <is>
          <t>FRUGIS REPRESENTACOES LTDA - 11.989.186/0001-70</t>
        </is>
      </c>
      <c r="D14" s="12">
        <f>F14</f>
        <v/>
      </c>
      <c r="E14" s="13" t="inlineStr">
        <is>
          <t>01/2002</t>
        </is>
      </c>
      <c r="F14" s="14" t="n">
        <v>253.737689011187</v>
      </c>
      <c r="G14" s="14" t="n"/>
      <c r="H14" s="15" t="n"/>
      <c r="I14" s="13" t="inlineStr">
        <is>
          <t>Mantido valor original da base (sem extrato)</t>
        </is>
      </c>
      <c r="J14" s="13" t="inlineStr">
        <is>
          <t>—</t>
        </is>
      </c>
      <c r="K14" s="13">
        <f>VALUE(RIGHT(A14,4))</f>
        <v/>
      </c>
    </row>
    <row r="15" ht="15" customHeight="1">
      <c r="A15" s="16" t="inlineStr">
        <is>
          <t>15/03/2002</t>
        </is>
      </c>
      <c r="B15" s="17" t="inlineStr">
        <is>
          <t>TOTAL CENTRO DE DISTRIBUICAO INTEGRADA LTDA - 12.460.301/0001-87</t>
        </is>
      </c>
      <c r="C15" s="17" t="inlineStr">
        <is>
          <t>FRUGIS REPRESENTACOES LTDA - 11.989.186/0001-70</t>
        </is>
      </c>
      <c r="D15" s="18">
        <f>F15</f>
        <v/>
      </c>
      <c r="E15" s="13" t="inlineStr">
        <is>
          <t>02/2002</t>
        </is>
      </c>
      <c r="F15" s="14" t="n">
        <v>255.3360021327158</v>
      </c>
      <c r="G15" s="14" t="n"/>
      <c r="H15" s="15" t="n"/>
      <c r="I15" s="13" t="inlineStr">
        <is>
          <t>Mantido valor original da base (sem extrato)</t>
        </is>
      </c>
      <c r="J15" s="13" t="inlineStr">
        <is>
          <t>—</t>
        </is>
      </c>
      <c r="K15" s="13">
        <f>VALUE(RIGHT(A15,4))</f>
        <v/>
      </c>
    </row>
    <row r="16" ht="15" customHeight="1">
      <c r="A16" s="10" t="inlineStr">
        <is>
          <t>15/04/2002</t>
        </is>
      </c>
      <c r="B16" s="11" t="inlineStr">
        <is>
          <t>TOTAL CENTRO DE DISTRIBUICAO INTEGRADA LTDA - 12.460.301/0001-87</t>
        </is>
      </c>
      <c r="C16" s="11" t="inlineStr">
        <is>
          <t>FRUGIS REPRESENTACOES LTDA - 11.989.186/0001-70</t>
        </is>
      </c>
      <c r="D16" s="12">
        <f>F16</f>
        <v/>
      </c>
      <c r="E16" s="13" t="inlineStr">
        <is>
          <t>03/2002</t>
        </is>
      </c>
      <c r="F16" s="14" t="n">
        <v>258.2527294841746</v>
      </c>
      <c r="G16" s="14" t="n"/>
      <c r="H16" s="15" t="n"/>
      <c r="I16" s="13" t="inlineStr">
        <is>
          <t>Mantido valor original da base (sem extrato)</t>
        </is>
      </c>
      <c r="J16" s="13" t="inlineStr">
        <is>
          <t>—</t>
        </is>
      </c>
      <c r="K16" s="13">
        <f>VALUE(RIGHT(A16,4))</f>
        <v/>
      </c>
    </row>
    <row r="17" ht="15" customHeight="1">
      <c r="A17" s="16" t="inlineStr">
        <is>
          <t>15/05/2002</t>
        </is>
      </c>
      <c r="B17" s="17" t="inlineStr">
        <is>
          <t>TOTAL CENTRO DE DISTRIBUICAO INTEGRADA LTDA - 12.460.301/0001-87</t>
        </is>
      </c>
      <c r="C17" s="17" t="inlineStr">
        <is>
          <t>FRUGIS REPRESENTACOES LTDA - 11.989.186/0001-70</t>
        </is>
      </c>
      <c r="D17" s="18">
        <f>F17</f>
        <v/>
      </c>
      <c r="E17" s="13" t="inlineStr">
        <is>
          <t>04/2002</t>
        </is>
      </c>
      <c r="F17" s="14" t="n">
        <v>257.0251187420939</v>
      </c>
      <c r="G17" s="14" t="n"/>
      <c r="H17" s="15" t="n"/>
      <c r="I17" s="13" t="inlineStr">
        <is>
          <t>Mantido valor original da base (sem extrato)</t>
        </is>
      </c>
      <c r="J17" s="13" t="inlineStr">
        <is>
          <t>—</t>
        </is>
      </c>
      <c r="K17" s="13">
        <f>VALUE(RIGHT(A17,4))</f>
        <v/>
      </c>
    </row>
    <row r="18" ht="15" customHeight="1">
      <c r="A18" s="10" t="inlineStr">
        <is>
          <t>15/06/2002</t>
        </is>
      </c>
      <c r="B18" s="11" t="inlineStr">
        <is>
          <t>TOTAL CENTRO DE DISTRIBUICAO INTEGRADA LTDA - 12.460.301/0001-87</t>
        </is>
      </c>
      <c r="C18" s="11" t="inlineStr">
        <is>
          <t>FRUGIS REPRESENTACOES LTDA - 11.989.186/0001-70</t>
        </is>
      </c>
      <c r="D18" s="12">
        <f>F18</f>
        <v/>
      </c>
      <c r="E18" s="13" t="inlineStr">
        <is>
          <t>05/2002</t>
        </is>
      </c>
      <c r="F18" s="14" t="n">
        <v>255.1638786381676</v>
      </c>
      <c r="G18" s="14" t="n"/>
      <c r="H18" s="15" t="n"/>
      <c r="I18" s="13" t="inlineStr">
        <is>
          <t>Mantido valor original da base (sem extrato)</t>
        </is>
      </c>
      <c r="J18" s="13" t="inlineStr">
        <is>
          <t>—</t>
        </is>
      </c>
      <c r="K18" s="13">
        <f>VALUE(RIGHT(A18,4))</f>
        <v/>
      </c>
    </row>
    <row r="19" ht="15" customHeight="1">
      <c r="A19" s="16" t="inlineStr">
        <is>
          <t>15/07/2002</t>
        </is>
      </c>
      <c r="B19" s="17" t="inlineStr">
        <is>
          <t>TOTAL CENTRO DE DISTRIBUICAO INTEGRADA LTDA - 12.460.301/0001-87</t>
        </is>
      </c>
      <c r="C19" s="17" t="inlineStr">
        <is>
          <t>FRUGIS REPRESENTACOES LTDA - 11.989.186/0001-70</t>
        </is>
      </c>
      <c r="D19" s="18">
        <f>F19</f>
        <v/>
      </c>
      <c r="E19" s="13" t="inlineStr">
        <is>
          <t>06/2002</t>
        </is>
      </c>
      <c r="F19" s="14" t="n">
        <v>259.4047489421488</v>
      </c>
      <c r="G19" s="14" t="n"/>
      <c r="H19" s="15" t="n"/>
      <c r="I19" s="13" t="inlineStr">
        <is>
          <t>Mantido valor original da base (sem extrato)</t>
        </is>
      </c>
      <c r="J19" s="13" t="inlineStr">
        <is>
          <t>—</t>
        </is>
      </c>
      <c r="K19" s="13">
        <f>VALUE(RIGHT(A19,4))</f>
        <v/>
      </c>
    </row>
    <row r="20" ht="15" customHeight="1">
      <c r="A20" s="10" t="inlineStr">
        <is>
          <t>15/08/2002</t>
        </is>
      </c>
      <c r="B20" s="11" t="inlineStr">
        <is>
          <t>TOTAL CENTRO DE DISTRIBUICAO INTEGRADA LTDA - 12.460.301/0001-87</t>
        </is>
      </c>
      <c r="C20" s="11" t="inlineStr">
        <is>
          <t>FRUGIS REPRESENTACOES LTDA - 11.989.186/0001-70</t>
        </is>
      </c>
      <c r="D20" s="12">
        <f>F20</f>
        <v/>
      </c>
      <c r="E20" s="13" t="inlineStr">
        <is>
          <t>07/2002</t>
        </is>
      </c>
      <c r="F20" s="14" t="n">
        <v>253.1568856065765</v>
      </c>
      <c r="G20" s="14" t="n"/>
      <c r="H20" s="15" t="n"/>
      <c r="I20" s="13" t="inlineStr">
        <is>
          <t>Mantido valor original da base (sem extrato)</t>
        </is>
      </c>
      <c r="J20" s="13" t="inlineStr">
        <is>
          <t>—</t>
        </is>
      </c>
      <c r="K20" s="13">
        <f>VALUE(RIGHT(A20,4))</f>
        <v/>
      </c>
    </row>
    <row r="21" ht="15" customHeight="1">
      <c r="A21" s="16" t="inlineStr">
        <is>
          <t>15/09/2002</t>
        </is>
      </c>
      <c r="B21" s="17" t="inlineStr">
        <is>
          <t>TOTAL CENTRO DE DISTRIBUICAO INTEGRADA LTDA - 12.460.301/0001-87</t>
        </is>
      </c>
      <c r="C21" s="17" t="inlineStr">
        <is>
          <t>FRUGIS REPRESENTACOES LTDA - 11.989.186/0001-70</t>
        </is>
      </c>
      <c r="D21" s="18">
        <f>F21</f>
        <v/>
      </c>
      <c r="E21" s="13" t="inlineStr">
        <is>
          <t>08/2002</t>
        </is>
      </c>
      <c r="F21" s="14" t="n">
        <v>255.1759880095582</v>
      </c>
      <c r="G21" s="14" t="n"/>
      <c r="H21" s="15" t="n"/>
      <c r="I21" s="13" t="inlineStr">
        <is>
          <t>Mantido valor original da base (sem extrato)</t>
        </is>
      </c>
      <c r="J21" s="13" t="inlineStr">
        <is>
          <t>—</t>
        </is>
      </c>
      <c r="K21" s="13">
        <f>VALUE(RIGHT(A21,4))</f>
        <v/>
      </c>
    </row>
    <row r="22" ht="15" customHeight="1">
      <c r="A22" s="10" t="inlineStr">
        <is>
          <t>15/10/2002</t>
        </is>
      </c>
      <c r="B22" s="11" t="inlineStr">
        <is>
          <t>TOTAL CENTRO DE DISTRIBUICAO INTEGRADA LTDA - 12.460.301/0001-87</t>
        </is>
      </c>
      <c r="C22" s="11" t="inlineStr">
        <is>
          <t>FRUGIS REPRESENTACOES LTDA - 11.989.186/0001-70</t>
        </is>
      </c>
      <c r="D22" s="12">
        <f>F22</f>
        <v/>
      </c>
      <c r="E22" s="13" t="inlineStr">
        <is>
          <t>09/2002</t>
        </is>
      </c>
      <c r="F22" s="14" t="n">
        <v>256.1576541925986</v>
      </c>
      <c r="G22" s="14" t="n"/>
      <c r="H22" s="15" t="n"/>
      <c r="I22" s="13" t="inlineStr">
        <is>
          <t>Mantido valor original da base (sem extrato)</t>
        </is>
      </c>
      <c r="J22" s="13" t="inlineStr">
        <is>
          <t>—</t>
        </is>
      </c>
      <c r="K22" s="13">
        <f>VALUE(RIGHT(A22,4))</f>
        <v/>
      </c>
    </row>
    <row r="23" ht="15" customHeight="1">
      <c r="A23" s="16" t="inlineStr">
        <is>
          <t>15/11/2002</t>
        </is>
      </c>
      <c r="B23" s="17" t="inlineStr">
        <is>
          <t>TOTAL CENTRO DE DISTRIBUICAO INTEGRADA LTDA - 12.460.301/0001-87</t>
        </is>
      </c>
      <c r="C23" s="17" t="inlineStr">
        <is>
          <t>FRUGIS REPRESENTACOES LTDA - 11.989.186/0001-70</t>
        </is>
      </c>
      <c r="D23" s="18">
        <f>F23</f>
        <v/>
      </c>
      <c r="E23" s="13" t="inlineStr">
        <is>
          <t>10/2002</t>
        </is>
      </c>
      <c r="F23" s="14" t="n">
        <v>257.3442181495692</v>
      </c>
      <c r="G23" s="14" t="n"/>
      <c r="H23" s="15" t="n"/>
      <c r="I23" s="13" t="inlineStr">
        <is>
          <t>Mantido valor original da base (sem extrato)</t>
        </is>
      </c>
      <c r="J23" s="13" t="inlineStr">
        <is>
          <t>—</t>
        </is>
      </c>
      <c r="K23" s="13">
        <f>VALUE(RIGHT(A23,4))</f>
        <v/>
      </c>
    </row>
    <row r="24" ht="15" customHeight="1">
      <c r="A24" s="10" t="inlineStr">
        <is>
          <t>15/12/2002</t>
        </is>
      </c>
      <c r="B24" s="11" t="inlineStr">
        <is>
          <t>TOTAL CENTRO DE DISTRIBUICAO INTEGRADA LTDA - 12.460.301/0001-87</t>
        </is>
      </c>
      <c r="C24" s="11" t="inlineStr">
        <is>
          <t>FRUGIS REPRESENTACOES LTDA - 11.989.186/0001-70</t>
        </is>
      </c>
      <c r="D24" s="12">
        <f>F24</f>
        <v/>
      </c>
      <c r="E24" s="13" t="inlineStr">
        <is>
          <t>11/2002</t>
        </is>
      </c>
      <c r="F24" s="14" t="n">
        <v>261.697282280887</v>
      </c>
      <c r="G24" s="14" t="n"/>
      <c r="H24" s="15" t="n"/>
      <c r="I24" s="13" t="inlineStr">
        <is>
          <t>Mantido valor original da base (sem extrato)</t>
        </is>
      </c>
      <c r="J24" s="13" t="inlineStr">
        <is>
          <t>—</t>
        </is>
      </c>
      <c r="K24" s="13">
        <f>VALUE(RIGHT(A24,4))</f>
        <v/>
      </c>
    </row>
    <row r="25" ht="15" customHeight="1">
      <c r="A25" s="16" t="inlineStr">
        <is>
          <t>15/01/2003</t>
        </is>
      </c>
      <c r="B25" s="17" t="inlineStr">
        <is>
          <t>TOTAL CENTRO DE DISTRIBUICAO INTEGRADA LTDA - 12.460.301/0001-87</t>
        </is>
      </c>
      <c r="C25" s="17" t="inlineStr">
        <is>
          <t>FRUGIS REPRESENTACOES LTDA - 11.989.186/0001-70</t>
        </is>
      </c>
      <c r="D25" s="18">
        <f>F25</f>
        <v/>
      </c>
      <c r="E25" s="13" t="inlineStr">
        <is>
          <t>12/2002</t>
        </is>
      </c>
      <c r="F25" s="14" t="n">
        <v>253.9528816561852</v>
      </c>
      <c r="G25" s="14" t="n"/>
      <c r="H25" s="15" t="n"/>
      <c r="I25" s="13" t="inlineStr">
        <is>
          <t>Mantido valor original da base (sem extrato)</t>
        </is>
      </c>
      <c r="J25" s="13" t="inlineStr">
        <is>
          <t>—</t>
        </is>
      </c>
      <c r="K25" s="13">
        <f>VALUE(RIGHT(A25,4))</f>
        <v/>
      </c>
    </row>
    <row r="26" ht="15" customHeight="1">
      <c r="A26" s="10" t="inlineStr">
        <is>
          <t>15/02/2003</t>
        </is>
      </c>
      <c r="B26" s="11" t="inlineStr">
        <is>
          <t>TOTAL CENTRO DE DISTRIBUICAO INTEGRADA LTDA - 12.460.301/0001-87</t>
        </is>
      </c>
      <c r="C26" s="11" t="inlineStr">
        <is>
          <t>FRUGIS REPRESENTACOES LTDA - 11.989.186/0001-70</t>
        </is>
      </c>
      <c r="D26" s="12">
        <f>F26</f>
        <v/>
      </c>
      <c r="E26" s="13" t="inlineStr">
        <is>
          <t>01/2003</t>
        </is>
      </c>
      <c r="F26" s="14" t="n">
        <v>290.4551842735513</v>
      </c>
      <c r="G26" s="14" t="n"/>
      <c r="H26" s="15" t="n"/>
      <c r="I26" s="13" t="inlineStr">
        <is>
          <t>Mantido valor original da base (sem extrato)</t>
        </is>
      </c>
      <c r="J26" s="13" t="inlineStr">
        <is>
          <t>—</t>
        </is>
      </c>
      <c r="K26" s="13">
        <f>VALUE(RIGHT(A26,4))</f>
        <v/>
      </c>
    </row>
    <row r="27" ht="15" customHeight="1">
      <c r="A27" s="16" t="inlineStr">
        <is>
          <t>15/03/2003</t>
        </is>
      </c>
      <c r="B27" s="17" t="inlineStr">
        <is>
          <t>TOTAL CENTRO DE DISTRIBUICAO INTEGRADA LTDA - 12.460.301/0001-87</t>
        </is>
      </c>
      <c r="C27" s="17" t="inlineStr">
        <is>
          <t>FRUGIS REPRESENTACOES LTDA - 11.989.186/0001-70</t>
        </is>
      </c>
      <c r="D27" s="18">
        <f>F27</f>
        <v/>
      </c>
      <c r="E27" s="13" t="inlineStr">
        <is>
          <t>02/2003</t>
        </is>
      </c>
      <c r="F27" s="14" t="n">
        <v>291.6188386442926</v>
      </c>
      <c r="G27" s="14" t="n"/>
      <c r="H27" s="15" t="n"/>
      <c r="I27" s="13" t="inlineStr">
        <is>
          <t>Mantido valor original da base (sem extrato)</t>
        </is>
      </c>
      <c r="J27" s="13" t="inlineStr">
        <is>
          <t>—</t>
        </is>
      </c>
      <c r="K27" s="13">
        <f>VALUE(RIGHT(A27,4))</f>
        <v/>
      </c>
    </row>
    <row r="28" ht="15" customHeight="1">
      <c r="A28" s="10" t="inlineStr">
        <is>
          <t>15/04/2003</t>
        </is>
      </c>
      <c r="B28" s="11" t="inlineStr">
        <is>
          <t>TOTAL CENTRO DE DISTRIBUICAO INTEGRADA LTDA - 12.460.301/0001-87</t>
        </is>
      </c>
      <c r="C28" s="11" t="inlineStr">
        <is>
          <t>FRUGIS REPRESENTACOES LTDA - 11.989.186/0001-70</t>
        </is>
      </c>
      <c r="D28" s="12">
        <f>F28</f>
        <v/>
      </c>
      <c r="E28" s="13" t="inlineStr">
        <is>
          <t>03/2003</t>
        </is>
      </c>
      <c r="F28" s="14" t="n">
        <v>283.492559333697</v>
      </c>
      <c r="G28" s="14" t="n"/>
      <c r="H28" s="15" t="n"/>
      <c r="I28" s="13" t="inlineStr">
        <is>
          <t>Mantido valor original da base (sem extrato)</t>
        </is>
      </c>
      <c r="J28" s="13" t="inlineStr">
        <is>
          <t>—</t>
        </is>
      </c>
      <c r="K28" s="13">
        <f>VALUE(RIGHT(A28,4))</f>
        <v/>
      </c>
    </row>
    <row r="29" ht="15" customHeight="1">
      <c r="A29" s="16" t="inlineStr">
        <is>
          <t>15/05/2003</t>
        </is>
      </c>
      <c r="B29" s="17" t="inlineStr">
        <is>
          <t>TOTAL CENTRO DE DISTRIBUICAO INTEGRADA LTDA - 12.460.301/0001-87</t>
        </is>
      </c>
      <c r="C29" s="17" t="inlineStr">
        <is>
          <t>FRUGIS REPRESENTACOES LTDA - 11.989.186/0001-70</t>
        </is>
      </c>
      <c r="D29" s="18">
        <f>F29</f>
        <v/>
      </c>
      <c r="E29" s="13" t="inlineStr">
        <is>
          <t>04/2003</t>
        </is>
      </c>
      <c r="F29" s="14" t="n">
        <v>291.8440419010325</v>
      </c>
      <c r="G29" s="14" t="n"/>
      <c r="H29" s="15" t="n"/>
      <c r="I29" s="13" t="inlineStr">
        <is>
          <t>Mantido valor original da base (sem extrato)</t>
        </is>
      </c>
      <c r="J29" s="13" t="inlineStr">
        <is>
          <t>—</t>
        </is>
      </c>
      <c r="K29" s="13">
        <f>VALUE(RIGHT(A29,4))</f>
        <v/>
      </c>
    </row>
    <row r="30" ht="15" customHeight="1">
      <c r="A30" s="10" t="inlineStr">
        <is>
          <t>15/06/2003</t>
        </is>
      </c>
      <c r="B30" s="11" t="inlineStr">
        <is>
          <t>TOTAL CENTRO DE DISTRIBUICAO INTEGRADA LTDA - 12.460.301/0001-87</t>
        </is>
      </c>
      <c r="C30" s="11" t="inlineStr">
        <is>
          <t>FRUGIS REPRESENTACOES LTDA - 11.989.186/0001-70</t>
        </is>
      </c>
      <c r="D30" s="12">
        <f>F30</f>
        <v/>
      </c>
      <c r="E30" s="13" t="inlineStr">
        <is>
          <t>05/2003</t>
        </is>
      </c>
      <c r="F30" s="14" t="n">
        <v>285.3393062658528</v>
      </c>
      <c r="G30" s="14" t="n"/>
      <c r="H30" s="15" t="n"/>
      <c r="I30" s="13" t="inlineStr">
        <is>
          <t>Mantido valor original da base (sem extrato)</t>
        </is>
      </c>
      <c r="J30" s="13" t="inlineStr">
        <is>
          <t>—</t>
        </is>
      </c>
      <c r="K30" s="13">
        <f>VALUE(RIGHT(A30,4))</f>
        <v/>
      </c>
    </row>
    <row r="31" ht="15" customHeight="1">
      <c r="A31" s="16" t="inlineStr">
        <is>
          <t>15/07/2003</t>
        </is>
      </c>
      <c r="B31" s="17" t="inlineStr">
        <is>
          <t>TOTAL CENTRO DE DISTRIBUICAO INTEGRADA LTDA - 12.460.301/0001-87</t>
        </is>
      </c>
      <c r="C31" s="17" t="inlineStr">
        <is>
          <t>FRUGIS REPRESENTACOES LTDA - 11.989.186/0001-70</t>
        </is>
      </c>
      <c r="D31" s="18">
        <f>F31</f>
        <v/>
      </c>
      <c r="E31" s="13" t="inlineStr">
        <is>
          <t>06/2003</t>
        </is>
      </c>
      <c r="F31" s="14" t="n">
        <v>283.7694243707913</v>
      </c>
      <c r="G31" s="14" t="n"/>
      <c r="H31" s="15" t="n"/>
      <c r="I31" s="13" t="inlineStr">
        <is>
          <t>Mantido valor original da base (sem extrato)</t>
        </is>
      </c>
      <c r="J31" s="13" t="inlineStr">
        <is>
          <t>—</t>
        </is>
      </c>
      <c r="K31" s="13">
        <f>VALUE(RIGHT(A31,4))</f>
        <v/>
      </c>
    </row>
    <row r="32" ht="15" customHeight="1">
      <c r="A32" s="10" t="inlineStr">
        <is>
          <t>15/08/2003</t>
        </is>
      </c>
      <c r="B32" s="11" t="inlineStr">
        <is>
          <t>TOTAL CENTRO DE DISTRIBUICAO INTEGRADA LTDA - 12.460.301/0001-87</t>
        </is>
      </c>
      <c r="C32" s="11" t="inlineStr">
        <is>
          <t>FRUGIS REPRESENTACOES LTDA - 11.989.186/0001-70</t>
        </is>
      </c>
      <c r="D32" s="12">
        <f>F32</f>
        <v/>
      </c>
      <c r="E32" s="13" t="inlineStr">
        <is>
          <t>07/2003</t>
        </is>
      </c>
      <c r="F32" s="14" t="n">
        <v>296.9246496992448</v>
      </c>
      <c r="G32" s="14" t="n"/>
      <c r="H32" s="15" t="n"/>
      <c r="I32" s="13" t="inlineStr">
        <is>
          <t>Mantido valor original da base (sem extrato)</t>
        </is>
      </c>
      <c r="J32" s="13" t="inlineStr">
        <is>
          <t>—</t>
        </is>
      </c>
      <c r="K32" s="13">
        <f>VALUE(RIGHT(A32,4))</f>
        <v/>
      </c>
    </row>
    <row r="33" ht="15" customHeight="1">
      <c r="A33" s="16" t="inlineStr">
        <is>
          <t>15/09/2003</t>
        </is>
      </c>
      <c r="B33" s="17" t="inlineStr">
        <is>
          <t>TOTAL CENTRO DE DISTRIBUICAO INTEGRADA LTDA - 12.460.301/0001-87</t>
        </is>
      </c>
      <c r="C33" s="17" t="inlineStr">
        <is>
          <t>FRUGIS REPRESENTACOES LTDA - 11.989.186/0001-70</t>
        </is>
      </c>
      <c r="D33" s="18">
        <f>F33</f>
        <v/>
      </c>
      <c r="E33" s="13" t="inlineStr">
        <is>
          <t>08/2003</t>
        </is>
      </c>
      <c r="F33" s="14" t="n">
        <v>297.1739091075521</v>
      </c>
      <c r="G33" s="14" t="n"/>
      <c r="H33" s="15" t="n"/>
      <c r="I33" s="13" t="inlineStr">
        <is>
          <t>Mantido valor original da base (sem extrato)</t>
        </is>
      </c>
      <c r="J33" s="13" t="inlineStr">
        <is>
          <t>—</t>
        </is>
      </c>
      <c r="K33" s="13">
        <f>VALUE(RIGHT(A33,4))</f>
        <v/>
      </c>
    </row>
    <row r="34" ht="15" customHeight="1">
      <c r="A34" s="10" t="inlineStr">
        <is>
          <t>15/10/2003</t>
        </is>
      </c>
      <c r="B34" s="11" t="inlineStr">
        <is>
          <t>TOTAL CENTRO DE DISTRIBUICAO INTEGRADA LTDA - 12.460.301/0001-87</t>
        </is>
      </c>
      <c r="C34" s="11" t="inlineStr">
        <is>
          <t>FRUGIS REPRESENTACOES LTDA - 11.989.186/0001-70</t>
        </is>
      </c>
      <c r="D34" s="12">
        <f>F34</f>
        <v/>
      </c>
      <c r="E34" s="13" t="inlineStr">
        <is>
          <t>09/2003</t>
        </is>
      </c>
      <c r="F34" s="14" t="n">
        <v>294.8335852000051</v>
      </c>
      <c r="G34" s="14" t="n"/>
      <c r="H34" s="15" t="n"/>
      <c r="I34" s="13" t="inlineStr">
        <is>
          <t>Mantido valor original da base (sem extrato)</t>
        </is>
      </c>
      <c r="J34" s="13" t="inlineStr">
        <is>
          <t>—</t>
        </is>
      </c>
      <c r="K34" s="13">
        <f>VALUE(RIGHT(A34,4))</f>
        <v/>
      </c>
    </row>
    <row r="35" ht="15" customHeight="1">
      <c r="A35" s="16" t="inlineStr">
        <is>
          <t>15/11/2003</t>
        </is>
      </c>
      <c r="B35" s="17" t="inlineStr">
        <is>
          <t>TOTAL CENTRO DE DISTRIBUICAO INTEGRADA LTDA - 12.460.301/0001-87</t>
        </is>
      </c>
      <c r="C35" s="17" t="inlineStr">
        <is>
          <t>FRUGIS REPRESENTACOES LTDA - 11.989.186/0001-70</t>
        </is>
      </c>
      <c r="D35" s="18">
        <f>F35</f>
        <v/>
      </c>
      <c r="E35" s="13" t="inlineStr">
        <is>
          <t>10/2003</t>
        </is>
      </c>
      <c r="F35" s="14" t="n">
        <v>287.3351330973767</v>
      </c>
      <c r="G35" s="14" t="n"/>
      <c r="H35" s="15" t="n"/>
      <c r="I35" s="13" t="inlineStr">
        <is>
          <t>Mantido valor original da base (sem extrato)</t>
        </is>
      </c>
      <c r="J35" s="13" t="inlineStr">
        <is>
          <t>—</t>
        </is>
      </c>
      <c r="K35" s="13">
        <f>VALUE(RIGHT(A35,4))</f>
        <v/>
      </c>
    </row>
    <row r="36" ht="15" customHeight="1">
      <c r="A36" s="10" t="inlineStr">
        <is>
          <t>15/12/2003</t>
        </is>
      </c>
      <c r="B36" s="11" t="inlineStr">
        <is>
          <t>TOTAL CENTRO DE DISTRIBUICAO INTEGRADA LTDA - 12.460.301/0001-87</t>
        </is>
      </c>
      <c r="C36" s="11" t="inlineStr">
        <is>
          <t>FRUGIS REPRESENTACOES LTDA - 11.989.186/0001-70</t>
        </is>
      </c>
      <c r="D36" s="12">
        <f>F36</f>
        <v/>
      </c>
      <c r="E36" s="13" t="inlineStr">
        <is>
          <t>11/2003</t>
        </is>
      </c>
      <c r="F36" s="14" t="n">
        <v>284.2549570968732</v>
      </c>
      <c r="G36" s="14" t="n"/>
      <c r="H36" s="15" t="n"/>
      <c r="I36" s="13" t="inlineStr">
        <is>
          <t>Mantido valor original da base (sem extrato)</t>
        </is>
      </c>
      <c r="J36" s="13" t="inlineStr">
        <is>
          <t>—</t>
        </is>
      </c>
      <c r="K36" s="13">
        <f>VALUE(RIGHT(A36,4))</f>
        <v/>
      </c>
    </row>
    <row r="37" ht="15" customHeight="1">
      <c r="A37" s="16" t="inlineStr">
        <is>
          <t>15/01/2004</t>
        </is>
      </c>
      <c r="B37" s="17" t="inlineStr">
        <is>
          <t>TOTAL CENTRO DE DISTRIBUICAO INTEGRADA LTDA - 12.460.301/0001-87</t>
        </is>
      </c>
      <c r="C37" s="17" t="inlineStr">
        <is>
          <t>FRUGIS REPRESENTACOES LTDA - 11.989.186/0001-70</t>
        </is>
      </c>
      <c r="D37" s="18">
        <f>F37</f>
        <v/>
      </c>
      <c r="E37" s="13" t="inlineStr">
        <is>
          <t>12/2003</t>
        </is>
      </c>
      <c r="F37" s="14" t="n">
        <v>292.9854895944308</v>
      </c>
      <c r="G37" s="14" t="n"/>
      <c r="H37" s="15" t="n"/>
      <c r="I37" s="13" t="inlineStr">
        <is>
          <t>Mantido valor original da base (sem extrato)</t>
        </is>
      </c>
      <c r="J37" s="13" t="inlineStr">
        <is>
          <t>—</t>
        </is>
      </c>
      <c r="K37" s="13">
        <f>VALUE(RIGHT(A37,4))</f>
        <v/>
      </c>
    </row>
    <row r="38" ht="15" customHeight="1">
      <c r="A38" s="10" t="inlineStr">
        <is>
          <t>15/02/2004</t>
        </is>
      </c>
      <c r="B38" s="11" t="inlineStr">
        <is>
          <t>TOTAL CENTRO DE DISTRIBUICAO INTEGRADA LTDA - 12.460.301/0001-87</t>
        </is>
      </c>
      <c r="C38" s="11" t="inlineStr">
        <is>
          <t>FRUGIS REPRESENTACOES LTDA - 11.989.186/0001-70</t>
        </is>
      </c>
      <c r="D38" s="12">
        <f>F38</f>
        <v/>
      </c>
      <c r="E38" s="13" t="inlineStr">
        <is>
          <t>01/2004</t>
        </is>
      </c>
      <c r="F38" s="14" t="n">
        <v>316.2623135596689</v>
      </c>
      <c r="G38" s="14" t="n"/>
      <c r="H38" s="15" t="n"/>
      <c r="I38" s="13" t="inlineStr">
        <is>
          <t>Mantido valor original da base (sem extrato)</t>
        </is>
      </c>
      <c r="J38" s="13" t="inlineStr">
        <is>
          <t>—</t>
        </is>
      </c>
      <c r="K38" s="13">
        <f>VALUE(RIGHT(A38,4))</f>
        <v/>
      </c>
    </row>
    <row r="39" ht="15" customHeight="1">
      <c r="A39" s="16" t="inlineStr">
        <is>
          <t>15/03/2004</t>
        </is>
      </c>
      <c r="B39" s="17" t="inlineStr">
        <is>
          <t>TOTAL CENTRO DE DISTRIBUICAO INTEGRADA LTDA - 12.460.301/0001-87</t>
        </is>
      </c>
      <c r="C39" s="17" t="inlineStr">
        <is>
          <t>FRUGIS REPRESENTACOES LTDA - 11.989.186/0001-70</t>
        </is>
      </c>
      <c r="D39" s="18">
        <f>F39</f>
        <v/>
      </c>
      <c r="E39" s="13" t="inlineStr">
        <is>
          <t>02/2004</t>
        </is>
      </c>
      <c r="F39" s="14" t="n">
        <v>311.0870685852896</v>
      </c>
      <c r="G39" s="14" t="n"/>
      <c r="H39" s="15" t="n"/>
      <c r="I39" s="13" t="inlineStr">
        <is>
          <t>Mantido valor original da base (sem extrato)</t>
        </is>
      </c>
      <c r="J39" s="13" t="inlineStr">
        <is>
          <t>—</t>
        </is>
      </c>
      <c r="K39" s="13">
        <f>VALUE(RIGHT(A39,4))</f>
        <v/>
      </c>
    </row>
    <row r="40" ht="15" customHeight="1">
      <c r="A40" s="10" t="inlineStr">
        <is>
          <t>15/04/2004</t>
        </is>
      </c>
      <c r="B40" s="11" t="inlineStr">
        <is>
          <t>TOTAL CENTRO DE DISTRIBUICAO INTEGRADA LTDA - 12.460.301/0001-87</t>
        </is>
      </c>
      <c r="C40" s="11" t="inlineStr">
        <is>
          <t>FRUGIS REPRESENTACOES LTDA - 11.989.186/0001-70</t>
        </is>
      </c>
      <c r="D40" s="12">
        <f>F40</f>
        <v/>
      </c>
      <c r="E40" s="13" t="inlineStr">
        <is>
          <t>03/2004</t>
        </is>
      </c>
      <c r="F40" s="14" t="n">
        <v>317.1574788228828</v>
      </c>
      <c r="G40" s="14" t="n"/>
      <c r="H40" s="15" t="n"/>
      <c r="I40" s="13" t="inlineStr">
        <is>
          <t>Mantido valor original da base (sem extrato)</t>
        </is>
      </c>
      <c r="J40" s="13" t="inlineStr">
        <is>
          <t>—</t>
        </is>
      </c>
      <c r="K40" s="13">
        <f>VALUE(RIGHT(A40,4))</f>
        <v/>
      </c>
    </row>
    <row r="41" ht="15" customHeight="1">
      <c r="A41" s="16" t="inlineStr">
        <is>
          <t>15/05/2004</t>
        </is>
      </c>
      <c r="B41" s="17" t="inlineStr">
        <is>
          <t>TOTAL CENTRO DE DISTRIBUICAO INTEGRADA LTDA - 12.460.301/0001-87</t>
        </is>
      </c>
      <c r="C41" s="17" t="inlineStr">
        <is>
          <t>FRUGIS REPRESENTACOES LTDA - 11.989.186/0001-70</t>
        </is>
      </c>
      <c r="D41" s="18">
        <f>F41</f>
        <v/>
      </c>
      <c r="E41" s="13" t="inlineStr">
        <is>
          <t>04/2004</t>
        </is>
      </c>
      <c r="F41" s="14" t="n">
        <v>309.6611383485858</v>
      </c>
      <c r="G41" s="14" t="n"/>
      <c r="H41" s="15" t="n"/>
      <c r="I41" s="13" t="inlineStr">
        <is>
          <t>Mantido valor original da base (sem extrato)</t>
        </is>
      </c>
      <c r="J41" s="13" t="inlineStr">
        <is>
          <t>—</t>
        </is>
      </c>
      <c r="K41" s="13">
        <f>VALUE(RIGHT(A41,4))</f>
        <v/>
      </c>
    </row>
    <row r="42" ht="15" customHeight="1">
      <c r="A42" s="10" t="inlineStr">
        <is>
          <t>15/06/2004</t>
        </is>
      </c>
      <c r="B42" s="11" t="inlineStr">
        <is>
          <t>TOTAL CENTRO DE DISTRIBUICAO INTEGRADA LTDA - 12.460.301/0001-87</t>
        </is>
      </c>
      <c r="C42" s="11" t="inlineStr">
        <is>
          <t>FRUGIS REPRESENTACOES LTDA - 11.989.186/0001-70</t>
        </is>
      </c>
      <c r="D42" s="12">
        <f>F42</f>
        <v/>
      </c>
      <c r="E42" s="13" t="inlineStr">
        <is>
          <t>05/2004</t>
        </is>
      </c>
      <c r="F42" s="14" t="n">
        <v>323.8949763274679</v>
      </c>
      <c r="G42" s="14" t="n"/>
      <c r="H42" s="15" t="n"/>
      <c r="I42" s="13" t="inlineStr">
        <is>
          <t>Mantido valor original da base (sem extrato)</t>
        </is>
      </c>
      <c r="J42" s="13" t="inlineStr">
        <is>
          <t>—</t>
        </is>
      </c>
      <c r="K42" s="13">
        <f>VALUE(RIGHT(A42,4))</f>
        <v/>
      </c>
    </row>
    <row r="43" ht="15" customHeight="1">
      <c r="A43" s="16" t="inlineStr">
        <is>
          <t>15/07/2004</t>
        </is>
      </c>
      <c r="B43" s="17" t="inlineStr">
        <is>
          <t>TOTAL CENTRO DE DISTRIBUICAO INTEGRADA LTDA - 12.460.301/0001-87</t>
        </is>
      </c>
      <c r="C43" s="17" t="inlineStr">
        <is>
          <t>FRUGIS REPRESENTACOES LTDA - 11.989.186/0001-70</t>
        </is>
      </c>
      <c r="D43" s="18">
        <f>F43</f>
        <v/>
      </c>
      <c r="E43" s="13" t="inlineStr">
        <is>
          <t>06/2004</t>
        </is>
      </c>
      <c r="F43" s="14" t="n">
        <v>313.3116530479335</v>
      </c>
      <c r="G43" s="14" t="n"/>
      <c r="H43" s="15" t="n"/>
      <c r="I43" s="13" t="inlineStr">
        <is>
          <t>Mantido valor original da base (sem extrato)</t>
        </is>
      </c>
      <c r="J43" s="13" t="inlineStr">
        <is>
          <t>—</t>
        </is>
      </c>
      <c r="K43" s="13">
        <f>VALUE(RIGHT(A43,4))</f>
        <v/>
      </c>
    </row>
    <row r="44" ht="15" customHeight="1">
      <c r="A44" s="10" t="inlineStr">
        <is>
          <t>15/08/2004</t>
        </is>
      </c>
      <c r="B44" s="11" t="inlineStr">
        <is>
          <t>TOTAL CENTRO DE DISTRIBUICAO INTEGRADA LTDA - 12.460.301/0001-87</t>
        </is>
      </c>
      <c r="C44" s="11" t="inlineStr">
        <is>
          <t>FRUGIS REPRESENTACOES LTDA - 11.989.186/0001-70</t>
        </is>
      </c>
      <c r="D44" s="12">
        <f>F44</f>
        <v/>
      </c>
      <c r="E44" s="13" t="inlineStr">
        <is>
          <t>07/2004</t>
        </is>
      </c>
      <c r="F44" s="14" t="n">
        <v>319.8799387026884</v>
      </c>
      <c r="G44" s="14" t="n"/>
      <c r="H44" s="15" t="n"/>
      <c r="I44" s="13" t="inlineStr">
        <is>
          <t>Mantido valor original da base (sem extrato)</t>
        </is>
      </c>
      <c r="J44" s="13" t="inlineStr">
        <is>
          <t>—</t>
        </is>
      </c>
      <c r="K44" s="13">
        <f>VALUE(RIGHT(A44,4))</f>
        <v/>
      </c>
    </row>
    <row r="45" ht="15" customHeight="1">
      <c r="A45" s="16" t="inlineStr">
        <is>
          <t>15/09/2004</t>
        </is>
      </c>
      <c r="B45" s="17" t="inlineStr">
        <is>
          <t>TOTAL CENTRO DE DISTRIBUICAO INTEGRADA LTDA - 12.460.301/0001-87</t>
        </is>
      </c>
      <c r="C45" s="17" t="inlineStr">
        <is>
          <t>FRUGIS REPRESENTACOES LTDA - 11.989.186/0001-70</t>
        </is>
      </c>
      <c r="D45" s="18">
        <f>F45</f>
        <v/>
      </c>
      <c r="E45" s="13" t="inlineStr">
        <is>
          <t>08/2004</t>
        </is>
      </c>
      <c r="F45" s="14" t="n">
        <v>314.1727630833539</v>
      </c>
      <c r="G45" s="14" t="n"/>
      <c r="H45" s="15" t="n"/>
      <c r="I45" s="13" t="inlineStr">
        <is>
          <t>Mantido valor original da base (sem extrato)</t>
        </is>
      </c>
      <c r="J45" s="13" t="inlineStr">
        <is>
          <t>—</t>
        </is>
      </c>
      <c r="K45" s="13">
        <f>VALUE(RIGHT(A45,4))</f>
        <v/>
      </c>
    </row>
    <row r="46" ht="15" customHeight="1">
      <c r="A46" s="10" t="inlineStr">
        <is>
          <t>15/10/2004</t>
        </is>
      </c>
      <c r="B46" s="11" t="inlineStr">
        <is>
          <t>TOTAL CENTRO DE DISTRIBUICAO INTEGRADA LTDA - 12.460.301/0001-87</t>
        </is>
      </c>
      <c r="C46" s="11" t="inlineStr">
        <is>
          <t>FRUGIS REPRESENTACOES LTDA - 11.989.186/0001-70</t>
        </is>
      </c>
      <c r="D46" s="12">
        <f>F46</f>
        <v/>
      </c>
      <c r="E46" s="13" t="inlineStr">
        <is>
          <t>09/2004</t>
        </is>
      </c>
      <c r="F46" s="14" t="n">
        <v>317.5624201100208</v>
      </c>
      <c r="G46" s="14" t="n"/>
      <c r="H46" s="15" t="n"/>
      <c r="I46" s="13" t="inlineStr">
        <is>
          <t>Mantido valor original da base (sem extrato)</t>
        </is>
      </c>
      <c r="J46" s="13" t="inlineStr">
        <is>
          <t>—</t>
        </is>
      </c>
      <c r="K46" s="13">
        <f>VALUE(RIGHT(A46,4))</f>
        <v/>
      </c>
    </row>
    <row r="47" ht="15" customHeight="1">
      <c r="A47" s="16" t="inlineStr">
        <is>
          <t>15/11/2004</t>
        </is>
      </c>
      <c r="B47" s="17" t="inlineStr">
        <is>
          <t>TOTAL CENTRO DE DISTRIBUICAO INTEGRADA LTDA - 12.460.301/0001-87</t>
        </is>
      </c>
      <c r="C47" s="17" t="inlineStr">
        <is>
          <t>FRUGIS REPRESENTACOES LTDA - 11.989.186/0001-70</t>
        </is>
      </c>
      <c r="D47" s="18">
        <f>F47</f>
        <v/>
      </c>
      <c r="E47" s="13" t="inlineStr">
        <is>
          <t>10/2004</t>
        </is>
      </c>
      <c r="F47" s="14" t="n">
        <v>317.9958499510973</v>
      </c>
      <c r="G47" s="14" t="n"/>
      <c r="H47" s="15" t="n"/>
      <c r="I47" s="13" t="inlineStr">
        <is>
          <t>Mantido valor original da base (sem extrato)</t>
        </is>
      </c>
      <c r="J47" s="13" t="inlineStr">
        <is>
          <t>—</t>
        </is>
      </c>
      <c r="K47" s="13">
        <f>VALUE(RIGHT(A47,4))</f>
        <v/>
      </c>
    </row>
    <row r="48" ht="15" customHeight="1">
      <c r="A48" s="10" t="inlineStr">
        <is>
          <t>15/12/2004</t>
        </is>
      </c>
      <c r="B48" s="11" t="inlineStr">
        <is>
          <t>TOTAL CENTRO DE DISTRIBUICAO INTEGRADA LTDA - 12.460.301/0001-87</t>
        </is>
      </c>
      <c r="C48" s="11" t="inlineStr">
        <is>
          <t>FRUGIS REPRESENTACOES LTDA - 11.989.186/0001-70</t>
        </is>
      </c>
      <c r="D48" s="12">
        <f>F48</f>
        <v/>
      </c>
      <c r="E48" s="13" t="inlineStr">
        <is>
          <t>11/2004</t>
        </is>
      </c>
      <c r="F48" s="14" t="n">
        <v>312.1089948941477</v>
      </c>
      <c r="G48" s="14" t="n"/>
      <c r="H48" s="15" t="n"/>
      <c r="I48" s="13" t="inlineStr">
        <is>
          <t>Mantido valor original da base (sem extrato)</t>
        </is>
      </c>
      <c r="J48" s="13" t="inlineStr">
        <is>
          <t>—</t>
        </is>
      </c>
      <c r="K48" s="13">
        <f>VALUE(RIGHT(A48,4))</f>
        <v/>
      </c>
    </row>
    <row r="49" ht="15" customHeight="1">
      <c r="A49" s="16" t="inlineStr">
        <is>
          <t>15/01/2005</t>
        </is>
      </c>
      <c r="B49" s="17" t="inlineStr">
        <is>
          <t>TOTAL CENTRO DE DISTRIBUICAO INTEGRADA LTDA - 12.460.301/0001-87</t>
        </is>
      </c>
      <c r="C49" s="17" t="inlineStr">
        <is>
          <t>FRUGIS REPRESENTACOES LTDA - 11.989.186/0001-70</t>
        </is>
      </c>
      <c r="D49" s="18">
        <f>F49</f>
        <v/>
      </c>
      <c r="E49" s="13" t="inlineStr">
        <is>
          <t>12/2004</t>
        </is>
      </c>
      <c r="F49" s="14" t="n">
        <v>324.8753854804519</v>
      </c>
      <c r="G49" s="14" t="n"/>
      <c r="H49" s="15" t="n"/>
      <c r="I49" s="13" t="inlineStr">
        <is>
          <t>Mantido valor original da base (sem extrato)</t>
        </is>
      </c>
      <c r="J49" s="13" t="inlineStr">
        <is>
          <t>—</t>
        </is>
      </c>
      <c r="K49" s="13">
        <f>VALUE(RIGHT(A49,4))</f>
        <v/>
      </c>
    </row>
    <row r="50" ht="15" customHeight="1">
      <c r="A50" s="19" t="inlineStr">
        <is>
          <t>15/02/2005</t>
        </is>
      </c>
      <c r="B50" s="20" t="inlineStr">
        <is>
          <t>TOTAL CENTRO DE DISTRIBUICAO INTEGRADA LTDA - 12.460.301/0001-87</t>
        </is>
      </c>
      <c r="C50" s="20" t="inlineStr">
        <is>
          <t>FRUGIS REPRESENTACOES LTDA - 11.989.186/0001-70</t>
        </is>
      </c>
      <c r="D50" s="21">
        <f>G50</f>
        <v/>
      </c>
      <c r="E50" s="22" t="inlineStr">
        <is>
          <t>01/2005</t>
        </is>
      </c>
      <c r="F50" s="23" t="n">
        <v>602.2</v>
      </c>
      <c r="G50" s="23" t="n">
        <v>602.2</v>
      </c>
      <c r="H50" s="24">
        <f>F50-G50</f>
        <v/>
      </c>
      <c r="I50" s="22" t="inlineStr">
        <is>
          <t>Extrato real</t>
        </is>
      </c>
      <c r="J50" s="22" t="inlineStr">
        <is>
          <t>Extrato conta corrente - Tenda</t>
        </is>
      </c>
      <c r="K50" s="22">
        <f>VALUE(RIGHT(A50,4))</f>
        <v/>
      </c>
    </row>
    <row r="51" ht="15" customHeight="1">
      <c r="A51" s="19" t="inlineStr">
        <is>
          <t>15/03/2005</t>
        </is>
      </c>
      <c r="B51" s="20" t="inlineStr">
        <is>
          <t>TOTAL CENTRO DE DISTRIBUICAO INTEGRADA LTDA - 12.460.301/0001-87</t>
        </is>
      </c>
      <c r="C51" s="20" t="inlineStr">
        <is>
          <t>FRUGIS REPRESENTACOES LTDA - 11.989.186/0001-70</t>
        </is>
      </c>
      <c r="D51" s="21">
        <f>G51</f>
        <v/>
      </c>
      <c r="E51" s="22" t="inlineStr">
        <is>
          <t>02/2005</t>
        </is>
      </c>
      <c r="F51" s="23" t="n">
        <v>217.38</v>
      </c>
      <c r="G51" s="23" t="n">
        <v>217.38</v>
      </c>
      <c r="H51" s="24">
        <f>F51-G51</f>
        <v/>
      </c>
      <c r="I51" s="22" t="inlineStr">
        <is>
          <t>Extrato real</t>
        </is>
      </c>
      <c r="J51" s="22" t="inlineStr">
        <is>
          <t>Extrato conta corrente - Tenda</t>
        </is>
      </c>
      <c r="K51" s="22">
        <f>VALUE(RIGHT(A51,4))</f>
        <v/>
      </c>
    </row>
    <row r="52" ht="15" customHeight="1">
      <c r="A52" s="19" t="inlineStr">
        <is>
          <t>15/04/2005</t>
        </is>
      </c>
      <c r="B52" s="20" t="inlineStr">
        <is>
          <t>TOTAL CENTRO DE DISTRIBUICAO INTEGRADA LTDA - 12.460.301/0001-87</t>
        </is>
      </c>
      <c r="C52" s="20" t="inlineStr">
        <is>
          <t>FRUGIS REPRESENTACOES LTDA - 11.989.186/0001-70</t>
        </is>
      </c>
      <c r="D52" s="21">
        <f>G52</f>
        <v/>
      </c>
      <c r="E52" s="22" t="inlineStr">
        <is>
          <t>03/2005</t>
        </is>
      </c>
      <c r="F52" s="23" t="n">
        <v>517.9899999999999</v>
      </c>
      <c r="G52" s="23" t="n">
        <v>517.99</v>
      </c>
      <c r="H52" s="24">
        <f>F52-G52</f>
        <v/>
      </c>
      <c r="I52" s="22" t="inlineStr">
        <is>
          <t>Extrato real</t>
        </is>
      </c>
      <c r="J52" s="22" t="inlineStr">
        <is>
          <t>Extrato conta corrente - Tenda</t>
        </is>
      </c>
      <c r="K52" s="22">
        <f>VALUE(RIGHT(A52,4))</f>
        <v/>
      </c>
    </row>
    <row r="53" ht="15" customHeight="1">
      <c r="A53" s="19" t="inlineStr">
        <is>
          <t>15/05/2005</t>
        </is>
      </c>
      <c r="B53" s="20" t="inlineStr">
        <is>
          <t>TOTAL CENTRO DE DISTRIBUICAO INTEGRADA LTDA - 12.460.301/0001-87</t>
        </is>
      </c>
      <c r="C53" s="20" t="inlineStr">
        <is>
          <t>FRUGIS REPRESENTACOES LTDA - 11.989.186/0001-70</t>
        </is>
      </c>
      <c r="D53" s="21">
        <f>G53</f>
        <v/>
      </c>
      <c r="E53" s="22" t="inlineStr">
        <is>
          <t>04/2005</t>
        </is>
      </c>
      <c r="F53" s="23" t="n">
        <v>226.59</v>
      </c>
      <c r="G53" s="23" t="n">
        <v>226.59</v>
      </c>
      <c r="H53" s="24">
        <f>F53-G53</f>
        <v/>
      </c>
      <c r="I53" s="22" t="inlineStr">
        <is>
          <t>Extrato real</t>
        </is>
      </c>
      <c r="J53" s="22" t="inlineStr">
        <is>
          <t>Extrato conta corrente - Tenda</t>
        </is>
      </c>
      <c r="K53" s="22">
        <f>VALUE(RIGHT(A53,4))</f>
        <v/>
      </c>
    </row>
    <row r="54" ht="15" customHeight="1">
      <c r="A54" s="19" t="inlineStr">
        <is>
          <t>15/06/2005</t>
        </is>
      </c>
      <c r="B54" s="20" t="inlineStr">
        <is>
          <t>TOTAL CENTRO DE DISTRIBUICAO INTEGRADA LTDA - 12.460.301/0001-87</t>
        </is>
      </c>
      <c r="C54" s="20" t="inlineStr">
        <is>
          <t>FRUGIS REPRESENTACOES LTDA - 11.989.186/0001-70</t>
        </is>
      </c>
      <c r="D54" s="21">
        <f>G54</f>
        <v/>
      </c>
      <c r="E54" s="22" t="inlineStr">
        <is>
          <t>05/2005</t>
        </is>
      </c>
      <c r="F54" s="23" t="n">
        <v>315.4</v>
      </c>
      <c r="G54" s="23" t="n">
        <v>315.4</v>
      </c>
      <c r="H54" s="24">
        <f>F54-G54</f>
        <v/>
      </c>
      <c r="I54" s="22" t="inlineStr">
        <is>
          <t>Extrato real</t>
        </is>
      </c>
      <c r="J54" s="22" t="inlineStr">
        <is>
          <t>Extrato conta corrente - Tenda</t>
        </is>
      </c>
      <c r="K54" s="22">
        <f>VALUE(RIGHT(A54,4))</f>
        <v/>
      </c>
    </row>
    <row r="55" ht="15" customHeight="1">
      <c r="A55" s="19" t="inlineStr">
        <is>
          <t>15/07/2005</t>
        </is>
      </c>
      <c r="B55" s="20" t="inlineStr">
        <is>
          <t>TOTAL CENTRO DE DISTRIBUICAO INTEGRADA LTDA - 12.460.301/0001-87</t>
        </is>
      </c>
      <c r="C55" s="20" t="inlineStr">
        <is>
          <t>FRUGIS REPRESENTACOES LTDA - 11.989.186/0001-70</t>
        </is>
      </c>
      <c r="D55" s="21">
        <f>G55</f>
        <v/>
      </c>
      <c r="E55" s="22" t="inlineStr">
        <is>
          <t>06/2005</t>
        </is>
      </c>
      <c r="F55" s="23" t="n">
        <v>368.97</v>
      </c>
      <c r="G55" s="23" t="n">
        <v>368.97</v>
      </c>
      <c r="H55" s="24">
        <f>F55-G55</f>
        <v/>
      </c>
      <c r="I55" s="22" t="inlineStr">
        <is>
          <t>Extrato real</t>
        </is>
      </c>
      <c r="J55" s="22" t="inlineStr">
        <is>
          <t>Extrato conta corrente - Tenda</t>
        </is>
      </c>
      <c r="K55" s="22">
        <f>VALUE(RIGHT(A55,4))</f>
        <v/>
      </c>
    </row>
    <row r="56" ht="15" customHeight="1">
      <c r="A56" s="19" t="inlineStr">
        <is>
          <t>15/08/2005</t>
        </is>
      </c>
      <c r="B56" s="20" t="inlineStr">
        <is>
          <t>TOTAL CENTRO DE DISTRIBUICAO INTEGRADA LTDA - 12.460.301/0001-87</t>
        </is>
      </c>
      <c r="C56" s="20" t="inlineStr">
        <is>
          <t>FRUGIS REPRESENTACOES LTDA - 11.989.186/0001-70</t>
        </is>
      </c>
      <c r="D56" s="21">
        <f>G56</f>
        <v/>
      </c>
      <c r="E56" s="22" t="inlineStr">
        <is>
          <t>07/2005</t>
        </is>
      </c>
      <c r="F56" s="23" t="n">
        <v>163.91</v>
      </c>
      <c r="G56" s="23" t="n">
        <v>163.91</v>
      </c>
      <c r="H56" s="24">
        <f>F56-G56</f>
        <v/>
      </c>
      <c r="I56" s="22" t="inlineStr">
        <is>
          <t>Extrato real</t>
        </is>
      </c>
      <c r="J56" s="22" t="inlineStr">
        <is>
          <t>Extrato conta corrente - Tenda</t>
        </is>
      </c>
      <c r="K56" s="22">
        <f>VALUE(RIGHT(A56,4))</f>
        <v/>
      </c>
    </row>
    <row r="57" ht="15" customHeight="1">
      <c r="A57" s="19" t="inlineStr">
        <is>
          <t>15/09/2005</t>
        </is>
      </c>
      <c r="B57" s="20" t="inlineStr">
        <is>
          <t>TOTAL CENTRO DE DISTRIBUICAO INTEGRADA LTDA - 12.460.301/0001-87</t>
        </is>
      </c>
      <c r="C57" s="20" t="inlineStr">
        <is>
          <t>FRUGIS REPRESENTACOES LTDA - 11.989.186/0001-70</t>
        </is>
      </c>
      <c r="D57" s="21">
        <f>G57</f>
        <v/>
      </c>
      <c r="E57" s="22" t="inlineStr">
        <is>
          <t>08/2005</t>
        </is>
      </c>
      <c r="F57" s="23" t="n">
        <v>295.13</v>
      </c>
      <c r="G57" s="23" t="n">
        <v>295.13</v>
      </c>
      <c r="H57" s="24">
        <f>F57-G57</f>
        <v/>
      </c>
      <c r="I57" s="22" t="inlineStr">
        <is>
          <t>Extrato real</t>
        </is>
      </c>
      <c r="J57" s="22" t="inlineStr">
        <is>
          <t>Extrato conta corrente - Tenda</t>
        </is>
      </c>
      <c r="K57" s="22">
        <f>VALUE(RIGHT(A57,4))</f>
        <v/>
      </c>
    </row>
    <row r="58" ht="15" customHeight="1">
      <c r="A58" s="19" t="inlineStr">
        <is>
          <t>15/10/2005</t>
        </is>
      </c>
      <c r="B58" s="20" t="inlineStr">
        <is>
          <t>TOTAL CENTRO DE DISTRIBUICAO INTEGRADA LTDA - 12.460.301/0001-87</t>
        </is>
      </c>
      <c r="C58" s="20" t="inlineStr">
        <is>
          <t>FRUGIS REPRESENTACOES LTDA - 11.989.186/0001-70</t>
        </is>
      </c>
      <c r="D58" s="21">
        <f>G58</f>
        <v/>
      </c>
      <c r="E58" s="22" t="inlineStr">
        <is>
          <t>09/2005</t>
        </is>
      </c>
      <c r="F58" s="23" t="n">
        <v>314.69</v>
      </c>
      <c r="G58" s="23" t="n">
        <v>314.69</v>
      </c>
      <c r="H58" s="24">
        <f>F58-G58</f>
        <v/>
      </c>
      <c r="I58" s="22" t="inlineStr">
        <is>
          <t>Extrato real</t>
        </is>
      </c>
      <c r="J58" s="22" t="inlineStr">
        <is>
          <t>Extrato conta corrente - Tenda</t>
        </is>
      </c>
      <c r="K58" s="22">
        <f>VALUE(RIGHT(A58,4))</f>
        <v/>
      </c>
    </row>
    <row r="59" ht="15" customHeight="1">
      <c r="A59" s="19" t="inlineStr">
        <is>
          <t>15/11/2005</t>
        </is>
      </c>
      <c r="B59" s="20" t="inlineStr">
        <is>
          <t>TOTAL CENTRO DE DISTRIBUICAO INTEGRADA LTDA - 12.460.301/0001-87</t>
        </is>
      </c>
      <c r="C59" s="20" t="inlineStr">
        <is>
          <t>FRUGIS REPRESENTACOES LTDA - 11.989.186/0001-70</t>
        </is>
      </c>
      <c r="D59" s="21">
        <f>G59</f>
        <v/>
      </c>
      <c r="E59" s="22" t="inlineStr">
        <is>
          <t>10/2005</t>
        </is>
      </c>
      <c r="F59" s="23" t="n">
        <v>258.22</v>
      </c>
      <c r="G59" s="23" t="n">
        <v>258.22</v>
      </c>
      <c r="H59" s="24">
        <f>F59-G59</f>
        <v/>
      </c>
      <c r="I59" s="22" t="inlineStr">
        <is>
          <t>Extrato real</t>
        </is>
      </c>
      <c r="J59" s="22" t="inlineStr">
        <is>
          <t>Extrato conta corrente - Tenda</t>
        </is>
      </c>
      <c r="K59" s="22">
        <f>VALUE(RIGHT(A59,4))</f>
        <v/>
      </c>
    </row>
    <row r="60" ht="15" customHeight="1">
      <c r="A60" s="19" t="inlineStr">
        <is>
          <t>15/12/2005</t>
        </is>
      </c>
      <c r="B60" s="20" t="inlineStr">
        <is>
          <t>TOTAL CENTRO DE DISTRIBUICAO INTEGRADA LTDA - 12.460.301/0001-87</t>
        </is>
      </c>
      <c r="C60" s="20" t="inlineStr">
        <is>
          <t>FRUGIS REPRESENTACOES LTDA - 11.989.186/0001-70</t>
        </is>
      </c>
      <c r="D60" s="21">
        <f>G60</f>
        <v/>
      </c>
      <c r="E60" s="22" t="inlineStr">
        <is>
          <t>11/2005</t>
        </is>
      </c>
      <c r="F60" s="23" t="n">
        <v>253.8499999999999</v>
      </c>
      <c r="G60" s="23" t="n">
        <v>253.85</v>
      </c>
      <c r="H60" s="24">
        <f>F60-G60</f>
        <v/>
      </c>
      <c r="I60" s="22" t="inlineStr">
        <is>
          <t>Extrato real</t>
        </is>
      </c>
      <c r="J60" s="22" t="inlineStr">
        <is>
          <t>Extrato conta corrente - Tenda</t>
        </is>
      </c>
      <c r="K60" s="22">
        <f>VALUE(RIGHT(A60,4))</f>
        <v/>
      </c>
    </row>
    <row r="61" ht="15" customHeight="1">
      <c r="A61" s="19" t="inlineStr">
        <is>
          <t>15/01/2006</t>
        </is>
      </c>
      <c r="B61" s="20" t="inlineStr">
        <is>
          <t>TOTAL CENTRO DE DISTRIBUICAO INTEGRADA LTDA - 12.460.301/0001-87</t>
        </is>
      </c>
      <c r="C61" s="20" t="inlineStr">
        <is>
          <t>FRUGIS REPRESENTACOES LTDA - 11.989.186/0001-70</t>
        </is>
      </c>
      <c r="D61" s="21">
        <f>G61</f>
        <v/>
      </c>
      <c r="E61" s="22" t="inlineStr">
        <is>
          <t>12/2005</t>
        </is>
      </c>
      <c r="F61" s="23" t="n">
        <v>666.8499999999999</v>
      </c>
      <c r="G61" s="23" t="n">
        <v>666.85</v>
      </c>
      <c r="H61" s="24">
        <f>F61-G61</f>
        <v/>
      </c>
      <c r="I61" s="22" t="inlineStr">
        <is>
          <t>Extrato real</t>
        </is>
      </c>
      <c r="J61" s="22" t="inlineStr">
        <is>
          <t>Extrato conta corrente - Tenda</t>
        </is>
      </c>
      <c r="K61" s="22">
        <f>VALUE(RIGHT(A61,4))</f>
        <v/>
      </c>
    </row>
    <row r="62" ht="15" customHeight="1">
      <c r="A62" s="19" t="inlineStr">
        <is>
          <t>15/02/2006</t>
        </is>
      </c>
      <c r="B62" s="20" t="inlineStr">
        <is>
          <t>TOTAL CENTRO DE DISTRIBUICAO INTEGRADA LTDA - 12.460.301/0001-87</t>
        </is>
      </c>
      <c r="C62" s="20" t="inlineStr">
        <is>
          <t>FRUGIS REPRESENTACOES LTDA - 11.989.186/0001-70</t>
        </is>
      </c>
      <c r="D62" s="21">
        <f>G62</f>
        <v/>
      </c>
      <c r="E62" s="22" t="inlineStr">
        <is>
          <t>01/2006</t>
        </is>
      </c>
      <c r="F62" s="23" t="n">
        <v>179.62</v>
      </c>
      <c r="G62" s="23" t="n">
        <v>179.62</v>
      </c>
      <c r="H62" s="24">
        <f>F62-G62</f>
        <v/>
      </c>
      <c r="I62" s="22" t="inlineStr">
        <is>
          <t>Extrato real</t>
        </is>
      </c>
      <c r="J62" s="22" t="inlineStr">
        <is>
          <t>Extrato conta corrente - Tenda</t>
        </is>
      </c>
      <c r="K62" s="22">
        <f>VALUE(RIGHT(A62,4))</f>
        <v/>
      </c>
    </row>
    <row r="63" ht="15" customHeight="1">
      <c r="A63" s="19" t="inlineStr">
        <is>
          <t>15/03/2006</t>
        </is>
      </c>
      <c r="B63" s="20" t="inlineStr">
        <is>
          <t>TOTAL CENTRO DE DISTRIBUICAO INTEGRADA LTDA - 12.460.301/0001-87</t>
        </is>
      </c>
      <c r="C63" s="20" t="inlineStr">
        <is>
          <t>FRUGIS REPRESENTACOES LTDA - 11.989.186/0001-70</t>
        </is>
      </c>
      <c r="D63" s="21">
        <f>G63</f>
        <v/>
      </c>
      <c r="E63" s="22" t="inlineStr">
        <is>
          <t>02/2006</t>
        </is>
      </c>
      <c r="F63" s="23" t="n">
        <v>444.17</v>
      </c>
      <c r="G63" s="23" t="n">
        <v>444.17</v>
      </c>
      <c r="H63" s="24">
        <f>F63-G63</f>
        <v/>
      </c>
      <c r="I63" s="22" t="inlineStr">
        <is>
          <t>Extrato real</t>
        </is>
      </c>
      <c r="J63" s="22" t="inlineStr">
        <is>
          <t>Extrato conta corrente - Tenda</t>
        </is>
      </c>
      <c r="K63" s="22">
        <f>VALUE(RIGHT(A63,4))</f>
        <v/>
      </c>
    </row>
    <row r="64" ht="15" customHeight="1">
      <c r="A64" s="19" t="inlineStr">
        <is>
          <t>15/04/2006</t>
        </is>
      </c>
      <c r="B64" s="20" t="inlineStr">
        <is>
          <t>TOTAL CENTRO DE DISTRIBUICAO INTEGRADA LTDA - 12.460.301/0001-87</t>
        </is>
      </c>
      <c r="C64" s="20" t="inlineStr">
        <is>
          <t>FRUGIS REPRESENTACOES LTDA - 11.989.186/0001-70</t>
        </is>
      </c>
      <c r="D64" s="21">
        <f>G64</f>
        <v/>
      </c>
      <c r="E64" s="22" t="inlineStr">
        <is>
          <t>03/2006</t>
        </is>
      </c>
      <c r="F64" s="23" t="n">
        <v>535.36</v>
      </c>
      <c r="G64" s="23" t="n">
        <v>535.36</v>
      </c>
      <c r="H64" s="24">
        <f>F64-G64</f>
        <v/>
      </c>
      <c r="I64" s="22" t="inlineStr">
        <is>
          <t>Extrato real</t>
        </is>
      </c>
      <c r="J64" s="22" t="inlineStr">
        <is>
          <t>Extrato conta corrente - Tenda</t>
        </is>
      </c>
      <c r="K64" s="22">
        <f>VALUE(RIGHT(A64,4))</f>
        <v/>
      </c>
    </row>
    <row r="65" ht="15" customHeight="1">
      <c r="A65" s="19" t="inlineStr">
        <is>
          <t>15/05/2006</t>
        </is>
      </c>
      <c r="B65" s="20" t="inlineStr">
        <is>
          <t>TOTAL CENTRO DE DISTRIBUICAO INTEGRADA LTDA - 12.460.301/0001-87</t>
        </is>
      </c>
      <c r="C65" s="20" t="inlineStr">
        <is>
          <t>FRUGIS REPRESENTACOES LTDA - 11.989.186/0001-70</t>
        </is>
      </c>
      <c r="D65" s="21">
        <f>G65</f>
        <v/>
      </c>
      <c r="E65" s="22" t="inlineStr">
        <is>
          <t>04/2006</t>
        </is>
      </c>
      <c r="F65" s="23" t="n">
        <v>860.6800000000001</v>
      </c>
      <c r="G65" s="23" t="n">
        <v>860.6799999999999</v>
      </c>
      <c r="H65" s="24">
        <f>F65-G65</f>
        <v/>
      </c>
      <c r="I65" s="22" t="inlineStr">
        <is>
          <t>Extrato real</t>
        </is>
      </c>
      <c r="J65" s="22" t="inlineStr">
        <is>
          <t>Extrato conta corrente - Tenda</t>
        </is>
      </c>
      <c r="K65" s="22">
        <f>VALUE(RIGHT(A65,4))</f>
        <v/>
      </c>
    </row>
    <row r="66" ht="15" customHeight="1">
      <c r="A66" s="19" t="inlineStr">
        <is>
          <t>15/06/2006</t>
        </is>
      </c>
      <c r="B66" s="20" t="inlineStr">
        <is>
          <t>TOTAL CENTRO DE DISTRIBUICAO INTEGRADA LTDA - 12.460.301/0001-87</t>
        </is>
      </c>
      <c r="C66" s="20" t="inlineStr">
        <is>
          <t>FRUGIS REPRESENTACOES LTDA - 11.989.186/0001-70</t>
        </is>
      </c>
      <c r="D66" s="21">
        <f>G66</f>
        <v/>
      </c>
      <c r="E66" s="22" t="inlineStr">
        <is>
          <t>05/2006</t>
        </is>
      </c>
      <c r="F66" s="23" t="n">
        <v>346.98</v>
      </c>
      <c r="G66" s="23" t="n">
        <v>346.98</v>
      </c>
      <c r="H66" s="24">
        <f>F66-G66</f>
        <v/>
      </c>
      <c r="I66" s="22" t="inlineStr">
        <is>
          <t>Extrato real</t>
        </is>
      </c>
      <c r="J66" s="22" t="inlineStr">
        <is>
          <t>Extrato conta corrente - Tenda</t>
        </is>
      </c>
      <c r="K66" s="22">
        <f>VALUE(RIGHT(A66,4))</f>
        <v/>
      </c>
    </row>
    <row r="67" ht="15" customHeight="1">
      <c r="A67" s="19" t="inlineStr">
        <is>
          <t>15/07/2006</t>
        </is>
      </c>
      <c r="B67" s="20" t="inlineStr">
        <is>
          <t>TOTAL CENTRO DE DISTRIBUICAO INTEGRADA LTDA - 12.460.301/0001-87</t>
        </is>
      </c>
      <c r="C67" s="20" t="inlineStr">
        <is>
          <t>FRUGIS REPRESENTACOES LTDA - 11.989.186/0001-70</t>
        </is>
      </c>
      <c r="D67" s="21">
        <f>G67</f>
        <v/>
      </c>
      <c r="E67" s="22" t="inlineStr">
        <is>
          <t>06/2006</t>
        </is>
      </c>
      <c r="F67" s="23" t="n">
        <v>276.49</v>
      </c>
      <c r="G67" s="23" t="n">
        <v>276.49</v>
      </c>
      <c r="H67" s="24">
        <f>F67-G67</f>
        <v/>
      </c>
      <c r="I67" s="22" t="inlineStr">
        <is>
          <t>Extrato real</t>
        </is>
      </c>
      <c r="J67" s="22" t="inlineStr">
        <is>
          <t>Extrato conta corrente - Tenda</t>
        </is>
      </c>
      <c r="K67" s="22">
        <f>VALUE(RIGHT(A67,4))</f>
        <v/>
      </c>
    </row>
    <row r="68" ht="15" customHeight="1">
      <c r="A68" s="19" t="inlineStr">
        <is>
          <t>15/08/2006</t>
        </is>
      </c>
      <c r="B68" s="20" t="inlineStr">
        <is>
          <t>TOTAL CENTRO DE DISTRIBUICAO INTEGRADA LTDA - 12.460.301/0001-87</t>
        </is>
      </c>
      <c r="C68" s="20" t="inlineStr">
        <is>
          <t>FRUGIS REPRESENTACOES LTDA - 11.989.186/0001-70</t>
        </is>
      </c>
      <c r="D68" s="21">
        <f>G68</f>
        <v/>
      </c>
      <c r="E68" s="22" t="inlineStr">
        <is>
          <t>07/2006</t>
        </is>
      </c>
      <c r="F68" s="23" t="n">
        <v>379.97</v>
      </c>
      <c r="G68" s="23" t="n">
        <v>379.97</v>
      </c>
      <c r="H68" s="24">
        <f>F68-G68</f>
        <v/>
      </c>
      <c r="I68" s="22" t="inlineStr">
        <is>
          <t>Extrato real</t>
        </is>
      </c>
      <c r="J68" s="22" t="inlineStr">
        <is>
          <t>Extrato conta corrente - Tenda</t>
        </is>
      </c>
      <c r="K68" s="22">
        <f>VALUE(RIGHT(A68,4))</f>
        <v/>
      </c>
    </row>
    <row r="69" ht="15" customHeight="1">
      <c r="A69" s="19" t="inlineStr">
        <is>
          <t>15/09/2006</t>
        </is>
      </c>
      <c r="B69" s="20" t="inlineStr">
        <is>
          <t>TOTAL CENTRO DE DISTRIBUICAO INTEGRADA LTDA - 12.460.301/0001-87</t>
        </is>
      </c>
      <c r="C69" s="20" t="inlineStr">
        <is>
          <t>FRUGIS REPRESENTACOES LTDA - 11.989.186/0001-70</t>
        </is>
      </c>
      <c r="D69" s="21">
        <f>G69</f>
        <v/>
      </c>
      <c r="E69" s="22" t="inlineStr">
        <is>
          <t>08/2006</t>
        </is>
      </c>
      <c r="F69" s="23" t="n">
        <v>852.8799999999999</v>
      </c>
      <c r="G69" s="23" t="n">
        <v>852.88</v>
      </c>
      <c r="H69" s="24">
        <f>F69-G69</f>
        <v/>
      </c>
      <c r="I69" s="22" t="inlineStr">
        <is>
          <t>Extrato real</t>
        </is>
      </c>
      <c r="J69" s="22" t="inlineStr">
        <is>
          <t>Extrato conta corrente - Tenda</t>
        </is>
      </c>
      <c r="K69" s="22">
        <f>VALUE(RIGHT(A69,4))</f>
        <v/>
      </c>
    </row>
    <row r="70" ht="15" customHeight="1">
      <c r="A70" s="19" t="inlineStr">
        <is>
          <t>15/10/2006</t>
        </is>
      </c>
      <c r="B70" s="20" t="inlineStr">
        <is>
          <t>TOTAL CENTRO DE DISTRIBUICAO INTEGRADA LTDA - 12.460.301/0001-87</t>
        </is>
      </c>
      <c r="C70" s="20" t="inlineStr">
        <is>
          <t>FRUGIS REPRESENTACOES LTDA - 11.989.186/0001-70</t>
        </is>
      </c>
      <c r="D70" s="21">
        <f>G70</f>
        <v/>
      </c>
      <c r="E70" s="22" t="inlineStr">
        <is>
          <t>09/2006</t>
        </is>
      </c>
      <c r="F70" s="23" t="n">
        <v>1041.52</v>
      </c>
      <c r="G70" s="23" t="n">
        <v>1041.52</v>
      </c>
      <c r="H70" s="24">
        <f>F70-G70</f>
        <v/>
      </c>
      <c r="I70" s="22" t="inlineStr">
        <is>
          <t>Extrato real</t>
        </is>
      </c>
      <c r="J70" s="22" t="inlineStr">
        <is>
          <t>Extrato conta corrente - Tenda</t>
        </is>
      </c>
      <c r="K70" s="22">
        <f>VALUE(RIGHT(A70,4))</f>
        <v/>
      </c>
    </row>
    <row r="71" ht="15" customHeight="1">
      <c r="A71" s="19" t="inlineStr">
        <is>
          <t>15/11/2006</t>
        </is>
      </c>
      <c r="B71" s="20" t="inlineStr">
        <is>
          <t>TOTAL CENTRO DE DISTRIBUICAO INTEGRADA LTDA - 12.460.301/0001-87</t>
        </is>
      </c>
      <c r="C71" s="20" t="inlineStr">
        <is>
          <t>FRUGIS REPRESENTACOES LTDA - 11.989.186/0001-70</t>
        </is>
      </c>
      <c r="D71" s="21">
        <f>G71</f>
        <v/>
      </c>
      <c r="E71" s="22" t="inlineStr">
        <is>
          <t>10/2006</t>
        </is>
      </c>
      <c r="F71" s="23" t="n">
        <v>774.0900000000001</v>
      </c>
      <c r="G71" s="23" t="n">
        <v>774.09</v>
      </c>
      <c r="H71" s="24">
        <f>F71-G71</f>
        <v/>
      </c>
      <c r="I71" s="22" t="inlineStr">
        <is>
          <t>Extrato real</t>
        </is>
      </c>
      <c r="J71" s="22" t="inlineStr">
        <is>
          <t>Extrato conta corrente - Tenda</t>
        </is>
      </c>
      <c r="K71" s="22">
        <f>VALUE(RIGHT(A71,4))</f>
        <v/>
      </c>
    </row>
    <row r="72" ht="15" customHeight="1">
      <c r="A72" s="19" t="inlineStr">
        <is>
          <t>15/12/2006</t>
        </is>
      </c>
      <c r="B72" s="20" t="inlineStr">
        <is>
          <t>TOTAL CENTRO DE DISTRIBUICAO INTEGRADA LTDA - 12.460.301/0001-87</t>
        </is>
      </c>
      <c r="C72" s="20" t="inlineStr">
        <is>
          <t>FRUGIS REPRESENTACOES LTDA - 11.989.186/0001-70</t>
        </is>
      </c>
      <c r="D72" s="21">
        <f>G72</f>
        <v/>
      </c>
      <c r="E72" s="22" t="inlineStr">
        <is>
          <t>11/2006</t>
        </is>
      </c>
      <c r="F72" s="23" t="n">
        <v>1376.61</v>
      </c>
      <c r="G72" s="23" t="n">
        <v>1376.61</v>
      </c>
      <c r="H72" s="24">
        <f>F72-G72</f>
        <v/>
      </c>
      <c r="I72" s="22" t="inlineStr">
        <is>
          <t>Extrato real</t>
        </is>
      </c>
      <c r="J72" s="22" t="inlineStr">
        <is>
          <t>Extrato conta corrente - Tenda</t>
        </is>
      </c>
      <c r="K72" s="22">
        <f>VALUE(RIGHT(A72,4))</f>
        <v/>
      </c>
    </row>
    <row r="73" ht="15" customHeight="1">
      <c r="A73" s="19" t="inlineStr">
        <is>
          <t>15/01/2007</t>
        </is>
      </c>
      <c r="B73" s="20" t="inlineStr">
        <is>
          <t>TOTAL CENTRO DE DISTRIBUICAO INTEGRADA LTDA - 12.460.301/0001-87</t>
        </is>
      </c>
      <c r="C73" s="20" t="inlineStr">
        <is>
          <t>FRUGIS REPRESENTACOES LTDA - 11.989.186/0001-70</t>
        </is>
      </c>
      <c r="D73" s="21">
        <f>G73</f>
        <v/>
      </c>
      <c r="E73" s="22" t="inlineStr">
        <is>
          <t>12/2006</t>
        </is>
      </c>
      <c r="F73" s="23" t="n">
        <v>1038.93</v>
      </c>
      <c r="G73" s="23" t="n">
        <v>1038.93</v>
      </c>
      <c r="H73" s="24">
        <f>F73-G73</f>
        <v/>
      </c>
      <c r="I73" s="22" t="inlineStr">
        <is>
          <t>Extrato real</t>
        </is>
      </c>
      <c r="J73" s="22" t="inlineStr">
        <is>
          <t>Extrato conta corrente - Tenda</t>
        </is>
      </c>
      <c r="K73" s="22">
        <f>VALUE(RIGHT(A73,4))</f>
        <v/>
      </c>
    </row>
    <row r="74" ht="15" customHeight="1">
      <c r="A74" s="25" t="inlineStr">
        <is>
          <t>15/02/2007</t>
        </is>
      </c>
      <c r="B74" s="26" t="inlineStr">
        <is>
          <t>TOTAL CENTRO DE DISTRIBUICAO INTEGRADA LTDA - 12.460.301/0001-87</t>
        </is>
      </c>
      <c r="C74" s="26" t="inlineStr">
        <is>
          <t>FRUGIS REPRESENTACOES LTDA - 11.989.186/0001-70</t>
        </is>
      </c>
      <c r="D74" s="27">
        <f>G74</f>
        <v/>
      </c>
      <c r="E74" s="28" t="inlineStr">
        <is>
          <t>01/2007</t>
        </is>
      </c>
      <c r="F74" s="29" t="n">
        <v>1633.254773509233</v>
      </c>
      <c r="G74" s="29" t="n">
        <v>2210.96</v>
      </c>
      <c r="H74" s="30">
        <f>F74-G74</f>
        <v/>
      </c>
      <c r="I74" s="28" t="inlineStr">
        <is>
          <t>2007 recalculado: 2008 real ÷ (1+IPCA 2008)</t>
        </is>
      </c>
      <c r="J74" s="28" t="inlineStr">
        <is>
          <t>ESTIMADO (2008 ÷ IPCA)</t>
        </is>
      </c>
      <c r="K74" s="28">
        <f>VALUE(RIGHT(A74,4))</f>
        <v/>
      </c>
    </row>
    <row r="75" ht="15" customHeight="1">
      <c r="A75" s="25" t="inlineStr">
        <is>
          <t>15/03/2007</t>
        </is>
      </c>
      <c r="B75" s="26" t="inlineStr">
        <is>
          <t>TOTAL CENTRO DE DISTRIBUICAO INTEGRADA LTDA - 12.460.301/0001-87</t>
        </is>
      </c>
      <c r="C75" s="26" t="inlineStr">
        <is>
          <t>FRUGIS REPRESENTACOES LTDA - 11.989.186/0001-70</t>
        </is>
      </c>
      <c r="D75" s="27">
        <f>G75</f>
        <v/>
      </c>
      <c r="E75" s="28" t="inlineStr">
        <is>
          <t>02/2007</t>
        </is>
      </c>
      <c r="F75" s="29" t="n">
        <v>1646.829991918953</v>
      </c>
      <c r="G75" s="29" t="n">
        <v>1735.17</v>
      </c>
      <c r="H75" s="30">
        <f>F75-G75</f>
        <v/>
      </c>
      <c r="I75" s="28" t="inlineStr">
        <is>
          <t>2007 recalculado: 2008 real ÷ (1+IPCA 2008)</t>
        </is>
      </c>
      <c r="J75" s="28" t="inlineStr">
        <is>
          <t>ESTIMADO (2008 ÷ IPCA)</t>
        </is>
      </c>
      <c r="K75" s="28">
        <f>VALUE(RIGHT(A75,4))</f>
        <v/>
      </c>
    </row>
    <row r="76" ht="15" customHeight="1">
      <c r="A76" s="25" t="inlineStr">
        <is>
          <t>15/04/2007</t>
        </is>
      </c>
      <c r="B76" s="26" t="inlineStr">
        <is>
          <t>TOTAL CENTRO DE DISTRIBUICAO INTEGRADA LTDA - 12.460.301/0001-87</t>
        </is>
      </c>
      <c r="C76" s="26" t="inlineStr">
        <is>
          <t>FRUGIS REPRESENTACOES LTDA - 11.989.186/0001-70</t>
        </is>
      </c>
      <c r="D76" s="27">
        <f>G76</f>
        <v/>
      </c>
      <c r="E76" s="28" t="inlineStr">
        <is>
          <t>03/2007</t>
        </is>
      </c>
      <c r="F76" s="29" t="n">
        <v>1643.140505222924</v>
      </c>
      <c r="G76" s="29" t="n">
        <v>1714.93</v>
      </c>
      <c r="H76" s="30">
        <f>F76-G76</f>
        <v/>
      </c>
      <c r="I76" s="28" t="inlineStr">
        <is>
          <t>2007 recalculado: 2008 real ÷ (1+IPCA 2008)</t>
        </is>
      </c>
      <c r="J76" s="28" t="inlineStr">
        <is>
          <t>ESTIMADO (2008 ÷ IPCA)</t>
        </is>
      </c>
      <c r="K76" s="28">
        <f>VALUE(RIGHT(A76,4))</f>
        <v/>
      </c>
    </row>
    <row r="77" ht="15" customHeight="1">
      <c r="A77" s="25" t="inlineStr">
        <is>
          <t>15/05/2007</t>
        </is>
      </c>
      <c r="B77" s="26" t="inlineStr">
        <is>
          <t>TOTAL CENTRO DE DISTRIBUICAO INTEGRADA LTDA - 12.460.301/0001-87</t>
        </is>
      </c>
      <c r="C77" s="26" t="inlineStr">
        <is>
          <t>FRUGIS REPRESENTACOES LTDA - 11.989.186/0001-70</t>
        </is>
      </c>
      <c r="D77" s="27">
        <f>G77</f>
        <v/>
      </c>
      <c r="E77" s="28" t="inlineStr">
        <is>
          <t>04/2007</t>
        </is>
      </c>
      <c r="F77" s="29" t="n">
        <v>1618.616874893351</v>
      </c>
      <c r="G77" s="29" t="n">
        <v>2931.19</v>
      </c>
      <c r="H77" s="30">
        <f>F77-G77</f>
        <v/>
      </c>
      <c r="I77" s="28" t="inlineStr">
        <is>
          <t>2007 recalculado: 2008 real ÷ (1+IPCA 2008)</t>
        </is>
      </c>
      <c r="J77" s="28" t="inlineStr">
        <is>
          <t>ESTIMADO (2008 ÷ IPCA)</t>
        </is>
      </c>
      <c r="K77" s="28">
        <f>VALUE(RIGHT(A77,4))</f>
        <v/>
      </c>
    </row>
    <row r="78" ht="15" customHeight="1">
      <c r="A78" s="25" t="inlineStr">
        <is>
          <t>15/06/2007</t>
        </is>
      </c>
      <c r="B78" s="26" t="inlineStr">
        <is>
          <t>TOTAL CENTRO DE DISTRIBUICAO INTEGRADA LTDA - 12.460.301/0001-87</t>
        </is>
      </c>
      <c r="C78" s="26" t="inlineStr">
        <is>
          <t>FRUGIS REPRESENTACOES LTDA - 11.989.186/0001-70</t>
        </is>
      </c>
      <c r="D78" s="27">
        <f>G78</f>
        <v/>
      </c>
      <c r="E78" s="28" t="inlineStr">
        <is>
          <t>05/2007</t>
        </is>
      </c>
      <c r="F78" s="29" t="n">
        <v>1645.374343739645</v>
      </c>
      <c r="G78" s="29" t="n">
        <v>2785.34</v>
      </c>
      <c r="H78" s="30">
        <f>F78-G78</f>
        <v/>
      </c>
      <c r="I78" s="28" t="inlineStr">
        <is>
          <t>2007 recalculado: 2008 real ÷ (1+IPCA 2008)</t>
        </is>
      </c>
      <c r="J78" s="28" t="inlineStr">
        <is>
          <t>ESTIMADO (2008 ÷ IPCA)</t>
        </is>
      </c>
      <c r="K78" s="28">
        <f>VALUE(RIGHT(A78,4))</f>
        <v/>
      </c>
    </row>
    <row r="79" ht="15" customHeight="1">
      <c r="A79" s="25" t="inlineStr">
        <is>
          <t>15/07/2007</t>
        </is>
      </c>
      <c r="B79" s="26" t="inlineStr">
        <is>
          <t>TOTAL CENTRO DE DISTRIBUICAO INTEGRADA LTDA - 12.460.301/0001-87</t>
        </is>
      </c>
      <c r="C79" s="26" t="inlineStr">
        <is>
          <t>FRUGIS REPRESENTACOES LTDA - 11.989.186/0001-70</t>
        </is>
      </c>
      <c r="D79" s="27">
        <f>G79</f>
        <v/>
      </c>
      <c r="E79" s="28" t="inlineStr">
        <is>
          <t>06/2007</t>
        </is>
      </c>
      <c r="F79" s="29" t="n">
        <v>1576.544227366284</v>
      </c>
      <c r="G79" s="29" t="n">
        <v>3034.38</v>
      </c>
      <c r="H79" s="30">
        <f>F79-G79</f>
        <v/>
      </c>
      <c r="I79" s="28" t="inlineStr">
        <is>
          <t>2007 recalculado: 2008 real ÷ (1+IPCA 2008)</t>
        </is>
      </c>
      <c r="J79" s="28" t="inlineStr">
        <is>
          <t>ESTIMADO (2008 ÷ IPCA)</t>
        </is>
      </c>
      <c r="K79" s="28">
        <f>VALUE(RIGHT(A79,4))</f>
        <v/>
      </c>
    </row>
    <row r="80" ht="15" customHeight="1">
      <c r="A80" s="25" t="inlineStr">
        <is>
          <t>15/08/2007</t>
        </is>
      </c>
      <c r="B80" s="26" t="inlineStr">
        <is>
          <t>TOTAL CENTRO DE DISTRIBUICAO INTEGRADA LTDA - 12.460.301/0001-87</t>
        </is>
      </c>
      <c r="C80" s="26" t="inlineStr">
        <is>
          <t>FRUGIS REPRESENTACOES LTDA - 11.989.186/0001-70</t>
        </is>
      </c>
      <c r="D80" s="27">
        <f>G80</f>
        <v/>
      </c>
      <c r="E80" s="28" t="inlineStr">
        <is>
          <t>07/2007</t>
        </is>
      </c>
      <c r="F80" s="29" t="n">
        <v>1585.422000564784</v>
      </c>
      <c r="G80" s="29" t="n">
        <v>2741.61</v>
      </c>
      <c r="H80" s="30">
        <f>F80-G80</f>
        <v/>
      </c>
      <c r="I80" s="28" t="inlineStr">
        <is>
          <t>2007 recalculado: 2008 real ÷ (1+IPCA 2008)</t>
        </is>
      </c>
      <c r="J80" s="28" t="inlineStr">
        <is>
          <t>ESTIMADO (2008 ÷ IPCA)</t>
        </is>
      </c>
      <c r="K80" s="28">
        <f>VALUE(RIGHT(A80,4))</f>
        <v/>
      </c>
    </row>
    <row r="81" ht="15" customHeight="1">
      <c r="A81" s="25" t="inlineStr">
        <is>
          <t>15/09/2007</t>
        </is>
      </c>
      <c r="B81" s="26" t="inlineStr">
        <is>
          <t>TOTAL CENTRO DE DISTRIBUICAO INTEGRADA LTDA - 12.460.301/0001-87</t>
        </is>
      </c>
      <c r="C81" s="26" t="inlineStr">
        <is>
          <t>FRUGIS REPRESENTACOES LTDA - 11.989.186/0001-70</t>
        </is>
      </c>
      <c r="D81" s="27">
        <f>G81</f>
        <v/>
      </c>
      <c r="E81" s="28" t="inlineStr">
        <is>
          <t>08/2007</t>
        </is>
      </c>
      <c r="F81" s="29" t="n">
        <v>1572.970895317329</v>
      </c>
      <c r="G81" s="29" t="n">
        <v>3182.54</v>
      </c>
      <c r="H81" s="30">
        <f>F81-G81</f>
        <v/>
      </c>
      <c r="I81" s="28" t="inlineStr">
        <is>
          <t>2007 recalculado: 2008 real ÷ (1+IPCA 2008)</t>
        </is>
      </c>
      <c r="J81" s="28" t="inlineStr">
        <is>
          <t>ESTIMADO (2008 ÷ IPCA)</t>
        </is>
      </c>
      <c r="K81" s="28">
        <f>VALUE(RIGHT(A81,4))</f>
        <v/>
      </c>
    </row>
    <row r="82" ht="15" customHeight="1">
      <c r="A82" s="25" t="inlineStr">
        <is>
          <t>15/10/2007</t>
        </is>
      </c>
      <c r="B82" s="26" t="inlineStr">
        <is>
          <t>TOTAL CENTRO DE DISTRIBUICAO INTEGRADA LTDA - 12.460.301/0001-87</t>
        </is>
      </c>
      <c r="C82" s="26" t="inlineStr">
        <is>
          <t>FRUGIS REPRESENTACOES LTDA - 11.989.186/0001-70</t>
        </is>
      </c>
      <c r="D82" s="27">
        <f>G82</f>
        <v/>
      </c>
      <c r="E82" s="28" t="inlineStr">
        <is>
          <t>09/2007</t>
        </is>
      </c>
      <c r="F82" s="29" t="n">
        <v>1596.104981660354</v>
      </c>
      <c r="G82" s="29" t="n">
        <v>3105.87</v>
      </c>
      <c r="H82" s="30">
        <f>F82-G82</f>
        <v/>
      </c>
      <c r="I82" s="28" t="inlineStr">
        <is>
          <t>2007 recalculado: 2008 real ÷ (1+IPCA 2008)</t>
        </is>
      </c>
      <c r="J82" s="28" t="inlineStr">
        <is>
          <t>ESTIMADO (2008 ÷ IPCA)</t>
        </is>
      </c>
      <c r="K82" s="28">
        <f>VALUE(RIGHT(A82,4))</f>
        <v/>
      </c>
    </row>
    <row r="83" ht="15" customHeight="1">
      <c r="A83" s="25" t="inlineStr">
        <is>
          <t>15/11/2007</t>
        </is>
      </c>
      <c r="B83" s="26" t="inlineStr">
        <is>
          <t>TOTAL CENTRO DE DISTRIBUICAO INTEGRADA LTDA - 12.460.301/0001-87</t>
        </is>
      </c>
      <c r="C83" s="26" t="inlineStr">
        <is>
          <t>FRUGIS REPRESENTACOES LTDA - 11.989.186/0001-70</t>
        </is>
      </c>
      <c r="D83" s="27">
        <f>G83</f>
        <v/>
      </c>
      <c r="E83" s="28" t="inlineStr">
        <is>
          <t>10/2007</t>
        </is>
      </c>
      <c r="F83" s="29" t="n">
        <v>1601.33689205902</v>
      </c>
      <c r="G83" s="29" t="n">
        <v>2624.88</v>
      </c>
      <c r="H83" s="30">
        <f>F83-G83</f>
        <v/>
      </c>
      <c r="I83" s="28" t="inlineStr">
        <is>
          <t>2007 recalculado: 2008 real ÷ (1+IPCA 2008)</t>
        </is>
      </c>
      <c r="J83" s="28" t="inlineStr">
        <is>
          <t>ESTIMADO (2008 ÷ IPCA)</t>
        </is>
      </c>
      <c r="K83" s="28">
        <f>VALUE(RIGHT(A83,4))</f>
        <v/>
      </c>
    </row>
    <row r="84" ht="15" customHeight="1">
      <c r="A84" s="25" t="inlineStr">
        <is>
          <t>15/12/2007</t>
        </is>
      </c>
      <c r="B84" s="26" t="inlineStr">
        <is>
          <t>TOTAL CENTRO DE DISTRIBUICAO INTEGRADA LTDA - 12.460.301/0001-87</t>
        </is>
      </c>
      <c r="C84" s="26" t="inlineStr">
        <is>
          <t>FRUGIS REPRESENTACOES LTDA - 11.989.186/0001-70</t>
        </is>
      </c>
      <c r="D84" s="27">
        <f>G84</f>
        <v/>
      </c>
      <c r="E84" s="28" t="inlineStr">
        <is>
          <t>11/2007</t>
        </is>
      </c>
      <c r="F84" s="29" t="n">
        <v>1591.646593691882</v>
      </c>
      <c r="G84" s="29" t="n">
        <v>2923.69</v>
      </c>
      <c r="H84" s="30">
        <f>F84-G84</f>
        <v/>
      </c>
      <c r="I84" s="28" t="inlineStr">
        <is>
          <t>2007 recalculado: 2008 real ÷ (1+IPCA 2008)</t>
        </is>
      </c>
      <c r="J84" s="28" t="inlineStr">
        <is>
          <t>ESTIMADO (2008 ÷ IPCA)</t>
        </is>
      </c>
      <c r="K84" s="28">
        <f>VALUE(RIGHT(A84,4))</f>
        <v/>
      </c>
    </row>
    <row r="85" ht="15" customHeight="1">
      <c r="A85" s="25" t="inlineStr">
        <is>
          <t>15/01/2008</t>
        </is>
      </c>
      <c r="B85" s="26" t="inlineStr">
        <is>
          <t>TOTAL CENTRO DE DISTRIBUICAO INTEGRADA LTDA - 12.460.301/0001-87</t>
        </is>
      </c>
      <c r="C85" s="26" t="inlineStr">
        <is>
          <t>FRUGIS REPRESENTACOES LTDA - 11.989.186/0001-70</t>
        </is>
      </c>
      <c r="D85" s="27">
        <f>G85</f>
        <v/>
      </c>
      <c r="E85" s="28" t="inlineStr">
        <is>
          <t>12/2007</t>
        </is>
      </c>
      <c r="F85" s="29" t="n">
        <v>1637.682056487928</v>
      </c>
      <c r="G85" s="29" t="n">
        <v>4685.44</v>
      </c>
      <c r="H85" s="30">
        <f>F85-G85</f>
        <v/>
      </c>
      <c r="I85" s="28" t="inlineStr">
        <is>
          <t>2007 recalculado: 2008 real ÷ (1+IPCA 2008)</t>
        </is>
      </c>
      <c r="J85" s="28" t="inlineStr">
        <is>
          <t>ESTIMADO (2008 ÷ IPCA)</t>
        </is>
      </c>
      <c r="K85" s="28">
        <f>VALUE(RIGHT(A85,4))</f>
        <v/>
      </c>
    </row>
    <row r="86" ht="15" customHeight="1">
      <c r="A86" s="19" t="inlineStr">
        <is>
          <t>15/02/2008</t>
        </is>
      </c>
      <c r="B86" s="20" t="inlineStr">
        <is>
          <t>TOTAL CENTRO DE DISTRIBUICAO INTEGRADA LTDA - 12.460.301/0001-87</t>
        </is>
      </c>
      <c r="C86" s="20" t="inlineStr">
        <is>
          <t>FRUGIS REPRESENTACOES LTDA - 11.989.186/0001-70</t>
        </is>
      </c>
      <c r="D86" s="21">
        <f>G86</f>
        <v/>
      </c>
      <c r="E86" s="22" t="inlineStr">
        <is>
          <t>01/2008</t>
        </is>
      </c>
      <c r="F86" s="23" t="n">
        <v>1281.57</v>
      </c>
      <c r="G86" s="23" t="n">
        <v>2341.41</v>
      </c>
      <c r="H86" s="24">
        <f>F86-G86</f>
        <v/>
      </c>
      <c r="I86" s="22" t="inlineStr">
        <is>
          <t>Substituído pelo extrato real</t>
        </is>
      </c>
      <c r="J86" s="22" t="inlineStr">
        <is>
          <t>Extrato conta corrente - Tenda + ajuste %</t>
        </is>
      </c>
      <c r="K86" s="22">
        <f>VALUE(RIGHT(A86,4))</f>
        <v/>
      </c>
    </row>
    <row r="87" ht="15" customHeight="1">
      <c r="A87" s="19" t="inlineStr">
        <is>
          <t>15/03/2008</t>
        </is>
      </c>
      <c r="B87" s="20" t="inlineStr">
        <is>
          <t>TOTAL CENTRO DE DISTRIBUICAO INTEGRADA LTDA - 12.460.301/0001-87</t>
        </is>
      </c>
      <c r="C87" s="20" t="inlineStr">
        <is>
          <t>FRUGIS REPRESENTACOES LTDA - 11.989.186/0001-70</t>
        </is>
      </c>
      <c r="D87" s="21">
        <f>G87</f>
        <v/>
      </c>
      <c r="E87" s="22" t="inlineStr">
        <is>
          <t>02/2008</t>
        </is>
      </c>
      <c r="F87" s="23" t="n">
        <v>1008.93</v>
      </c>
      <c r="G87" s="23" t="n">
        <v>1837.54</v>
      </c>
      <c r="H87" s="24">
        <f>F87-G87</f>
        <v/>
      </c>
      <c r="I87" s="22" t="inlineStr">
        <is>
          <t>Substituído pelo extrato real</t>
        </is>
      </c>
      <c r="J87" s="22" t="inlineStr">
        <is>
          <t>Extrato conta corrente - Tenda + ajuste %</t>
        </is>
      </c>
      <c r="K87" s="22">
        <f>VALUE(RIGHT(A87,4))</f>
        <v/>
      </c>
    </row>
    <row r="88" ht="15" customHeight="1">
      <c r="A88" s="19" t="inlineStr">
        <is>
          <t>15/04/2008</t>
        </is>
      </c>
      <c r="B88" s="20" t="inlineStr">
        <is>
          <t>TOTAL CENTRO DE DISTRIBUICAO INTEGRADA LTDA - 12.460.301/0001-87</t>
        </is>
      </c>
      <c r="C88" s="20" t="inlineStr">
        <is>
          <t>FRUGIS REPRESENTACOES LTDA - 11.989.186/0001-70</t>
        </is>
      </c>
      <c r="D88" s="21">
        <f>G88</f>
        <v/>
      </c>
      <c r="E88" s="22" t="inlineStr">
        <is>
          <t>03/2008</t>
        </is>
      </c>
      <c r="F88" s="23" t="n">
        <v>1384.68</v>
      </c>
      <c r="G88" s="23" t="n">
        <v>1816.11</v>
      </c>
      <c r="H88" s="24">
        <f>F88-G88</f>
        <v/>
      </c>
      <c r="I88" s="22" t="inlineStr">
        <is>
          <t>Substituído pelo extrato real</t>
        </is>
      </c>
      <c r="J88" s="22" t="inlineStr">
        <is>
          <t>Extrato conta corrente - Tenda + ajuste %</t>
        </is>
      </c>
      <c r="K88" s="22">
        <f>VALUE(RIGHT(A88,4))</f>
        <v/>
      </c>
    </row>
    <row r="89" ht="15" customHeight="1">
      <c r="A89" s="19" t="inlineStr">
        <is>
          <t>15/05/2008</t>
        </is>
      </c>
      <c r="B89" s="20" t="inlineStr">
        <is>
          <t>TOTAL CENTRO DE DISTRIBUICAO INTEGRADA LTDA - 12.460.301/0001-87</t>
        </is>
      </c>
      <c r="C89" s="20" t="inlineStr">
        <is>
          <t>FRUGIS REPRESENTACOES LTDA - 11.989.186/0001-70</t>
        </is>
      </c>
      <c r="D89" s="21">
        <f>G89</f>
        <v/>
      </c>
      <c r="E89" s="22" t="inlineStr">
        <is>
          <t>04/2008</t>
        </is>
      </c>
      <c r="F89" s="23" t="n">
        <v>1881.27</v>
      </c>
      <c r="G89" s="23" t="n">
        <v>3104.13</v>
      </c>
      <c r="H89" s="24">
        <f>F89-G89</f>
        <v/>
      </c>
      <c r="I89" s="22" t="inlineStr">
        <is>
          <t>Substituído pelo extrato real</t>
        </is>
      </c>
      <c r="J89" s="22" t="inlineStr">
        <is>
          <t>Extrato conta corrente - Tenda + ajuste %</t>
        </is>
      </c>
      <c r="K89" s="22">
        <f>VALUE(RIGHT(A89,4))</f>
        <v/>
      </c>
    </row>
    <row r="90" ht="15" customHeight="1">
      <c r="A90" s="19" t="inlineStr">
        <is>
          <t>15/06/2008</t>
        </is>
      </c>
      <c r="B90" s="20" t="inlineStr">
        <is>
          <t>TOTAL CENTRO DE DISTRIBUICAO INTEGRADA LTDA - 12.460.301/0001-87</t>
        </is>
      </c>
      <c r="C90" s="20" t="inlineStr">
        <is>
          <t>FRUGIS REPRESENTACOES LTDA - 11.989.186/0001-70</t>
        </is>
      </c>
      <c r="D90" s="21">
        <f>G90</f>
        <v/>
      </c>
      <c r="E90" s="22" t="inlineStr">
        <is>
          <t>05/2008</t>
        </is>
      </c>
      <c r="F90" s="23" t="n">
        <v>1595.69</v>
      </c>
      <c r="G90" s="23" t="n">
        <v>2949.67</v>
      </c>
      <c r="H90" s="24">
        <f>F90-G90</f>
        <v/>
      </c>
      <c r="I90" s="22" t="inlineStr">
        <is>
          <t>Substituído pelo extrato real</t>
        </is>
      </c>
      <c r="J90" s="22" t="inlineStr">
        <is>
          <t>Extrato conta corrente - Tenda + ajuste %</t>
        </is>
      </c>
      <c r="K90" s="22">
        <f>VALUE(RIGHT(A90,4))</f>
        <v/>
      </c>
    </row>
    <row r="91" ht="15" customHeight="1">
      <c r="A91" s="19" t="inlineStr">
        <is>
          <t>15/07/2008</t>
        </is>
      </c>
      <c r="B91" s="20" t="inlineStr">
        <is>
          <t>TOTAL CENTRO DE DISTRIBUICAO INTEGRADA LTDA - 12.460.301/0001-87</t>
        </is>
      </c>
      <c r="C91" s="20" t="inlineStr">
        <is>
          <t>FRUGIS REPRESENTACOES LTDA - 11.989.186/0001-70</t>
        </is>
      </c>
      <c r="D91" s="21">
        <f>G91</f>
        <v/>
      </c>
      <c r="E91" s="22" t="inlineStr">
        <is>
          <t>06/2008</t>
        </is>
      </c>
      <c r="F91" s="23" t="n">
        <v>1705.72</v>
      </c>
      <c r="G91" s="23" t="n">
        <v>3213.41</v>
      </c>
      <c r="H91" s="24">
        <f>F91-G91</f>
        <v/>
      </c>
      <c r="I91" s="22" t="inlineStr">
        <is>
          <t>Substituído pelo extrato real</t>
        </is>
      </c>
      <c r="J91" s="22" t="inlineStr">
        <is>
          <t>Extrato conta corrente - Tenda + ajuste %</t>
        </is>
      </c>
      <c r="K91" s="22">
        <f>VALUE(RIGHT(A91,4))</f>
        <v/>
      </c>
    </row>
    <row r="92" ht="15" customHeight="1">
      <c r="A92" s="19" t="inlineStr">
        <is>
          <t>15/08/2008</t>
        </is>
      </c>
      <c r="B92" s="20" t="inlineStr">
        <is>
          <t>TOTAL CENTRO DE DISTRIBUICAO INTEGRADA LTDA - 12.460.301/0001-87</t>
        </is>
      </c>
      <c r="C92" s="20" t="inlineStr">
        <is>
          <t>FRUGIS REPRESENTACOES LTDA - 11.989.186/0001-70</t>
        </is>
      </c>
      <c r="D92" s="21">
        <f>G92</f>
        <v/>
      </c>
      <c r="E92" s="22" t="inlineStr">
        <is>
          <t>07/2008</t>
        </is>
      </c>
      <c r="F92" s="23" t="n">
        <v>1591.91</v>
      </c>
      <c r="G92" s="23" t="n">
        <v>2903.37</v>
      </c>
      <c r="H92" s="24">
        <f>F92-G92</f>
        <v/>
      </c>
      <c r="I92" s="22" t="inlineStr">
        <is>
          <t>Substituído pelo extrato real</t>
        </is>
      </c>
      <c r="J92" s="22" t="inlineStr">
        <is>
          <t>Extrato conta corrente - Tenda + ajuste %</t>
        </is>
      </c>
      <c r="K92" s="22">
        <f>VALUE(RIGHT(A92,4))</f>
        <v/>
      </c>
    </row>
    <row r="93" ht="15" customHeight="1">
      <c r="A93" s="19" t="inlineStr">
        <is>
          <t>15/09/2008</t>
        </is>
      </c>
      <c r="B93" s="20" t="inlineStr">
        <is>
          <t>TOTAL CENTRO DE DISTRIBUICAO INTEGRADA LTDA - 12.460.301/0001-87</t>
        </is>
      </c>
      <c r="C93" s="20" t="inlineStr">
        <is>
          <t>FRUGIS REPRESENTACOES LTDA - 11.989.186/0001-70</t>
        </is>
      </c>
      <c r="D93" s="21">
        <f>G93</f>
        <v/>
      </c>
      <c r="E93" s="22" t="inlineStr">
        <is>
          <t>08/2008</t>
        </is>
      </c>
      <c r="F93" s="23" t="n">
        <v>1811.9</v>
      </c>
      <c r="G93" s="23" t="n">
        <v>3370.31</v>
      </c>
      <c r="H93" s="24">
        <f>F93-G93</f>
        <v/>
      </c>
      <c r="I93" s="22" t="inlineStr">
        <is>
          <t>Substituído pelo extrato real</t>
        </is>
      </c>
      <c r="J93" s="22" t="inlineStr">
        <is>
          <t>Extrato conta corrente - Tenda + ajuste %</t>
        </is>
      </c>
      <c r="K93" s="22">
        <f>VALUE(RIGHT(A93,4))</f>
        <v/>
      </c>
    </row>
    <row r="94" ht="15" customHeight="1">
      <c r="A94" s="19" t="inlineStr">
        <is>
          <t>15/10/2008</t>
        </is>
      </c>
      <c r="B94" s="20" t="inlineStr">
        <is>
          <t>TOTAL CENTRO DE DISTRIBUICAO INTEGRADA LTDA - 12.460.301/0001-87</t>
        </is>
      </c>
      <c r="C94" s="20" t="inlineStr">
        <is>
          <t>FRUGIS REPRESENTACOES LTDA - 11.989.186/0001-70</t>
        </is>
      </c>
      <c r="D94" s="21">
        <f>G94</f>
        <v/>
      </c>
      <c r="E94" s="22" t="inlineStr">
        <is>
          <t>09/2008</t>
        </is>
      </c>
      <c r="F94" s="23" t="n">
        <v>1978.5</v>
      </c>
      <c r="G94" s="23" t="n">
        <v>3289.12</v>
      </c>
      <c r="H94" s="24">
        <f>F94-G94</f>
        <v/>
      </c>
      <c r="I94" s="22" t="inlineStr">
        <is>
          <t>Substituído pelo extrato real</t>
        </is>
      </c>
      <c r="J94" s="22" t="inlineStr">
        <is>
          <t>Extrato conta corrente - Tenda + ajuste %</t>
        </is>
      </c>
      <c r="K94" s="22">
        <f>VALUE(RIGHT(A94,4))</f>
        <v/>
      </c>
    </row>
    <row r="95" ht="15" customHeight="1">
      <c r="A95" s="19" t="inlineStr">
        <is>
          <t>15/11/2008</t>
        </is>
      </c>
      <c r="B95" s="20" t="inlineStr">
        <is>
          <t>TOTAL CENTRO DE DISTRIBUICAO INTEGRADA LTDA - 12.460.301/0001-87</t>
        </is>
      </c>
      <c r="C95" s="20" t="inlineStr">
        <is>
          <t>FRUGIS REPRESENTACOES LTDA - 11.989.186/0001-70</t>
        </is>
      </c>
      <c r="D95" s="21">
        <f>G95</f>
        <v/>
      </c>
      <c r="E95" s="22" t="inlineStr">
        <is>
          <t>10/2008</t>
        </is>
      </c>
      <c r="F95" s="23" t="n">
        <v>1743.56</v>
      </c>
      <c r="G95" s="23" t="n">
        <v>2779.75</v>
      </c>
      <c r="H95" s="24">
        <f>F95-G95</f>
        <v/>
      </c>
      <c r="I95" s="22" t="inlineStr">
        <is>
          <t>Substituído pelo extrato real</t>
        </is>
      </c>
      <c r="J95" s="22" t="inlineStr">
        <is>
          <t>Extrato conta corrente - Tenda + ajuste %</t>
        </is>
      </c>
      <c r="K95" s="22">
        <f>VALUE(RIGHT(A95,4))</f>
        <v/>
      </c>
    </row>
    <row r="96" ht="15" customHeight="1">
      <c r="A96" s="19" t="inlineStr">
        <is>
          <t>15/12/2008</t>
        </is>
      </c>
      <c r="B96" s="20" t="inlineStr">
        <is>
          <t>TOTAL CENTRO DE DISTRIBUICAO INTEGRADA LTDA - 12.460.301/0001-87</t>
        </is>
      </c>
      <c r="C96" s="20" t="inlineStr">
        <is>
          <t>FRUGIS REPRESENTACOES LTDA - 11.989.186/0001-70</t>
        </is>
      </c>
      <c r="D96" s="21">
        <f>G96</f>
        <v/>
      </c>
      <c r="E96" s="22" t="inlineStr">
        <is>
          <t>11/2008</t>
        </is>
      </c>
      <c r="F96" s="23" t="n">
        <v>1688.34</v>
      </c>
      <c r="G96" s="23" t="n">
        <v>3096.19</v>
      </c>
      <c r="H96" s="24">
        <f>F96-G96</f>
        <v/>
      </c>
      <c r="I96" s="22" t="inlineStr">
        <is>
          <t>Substituído pelo extrato real</t>
        </is>
      </c>
      <c r="J96" s="22" t="inlineStr">
        <is>
          <t>Extrato conta corrente - Tenda + ajuste %</t>
        </is>
      </c>
      <c r="K96" s="22">
        <f>VALUE(RIGHT(A96,4))</f>
        <v/>
      </c>
    </row>
    <row r="97" ht="15" customHeight="1">
      <c r="A97" s="19" t="inlineStr">
        <is>
          <t>15/01/2009</t>
        </is>
      </c>
      <c r="B97" s="20" t="inlineStr">
        <is>
          <t>TOTAL CENTRO DE DISTRIBUICAO INTEGRADA LTDA - 12.460.301/0001-87</t>
        </is>
      </c>
      <c r="C97" s="20" t="inlineStr">
        <is>
          <t>FRUGIS REPRESENTACOES LTDA - 11.989.186/0001-70</t>
        </is>
      </c>
      <c r="D97" s="21">
        <f>G97</f>
        <v/>
      </c>
      <c r="E97" s="22" t="inlineStr">
        <is>
          <t>12/2008</t>
        </is>
      </c>
      <c r="F97" s="23" t="n">
        <v>3033.91</v>
      </c>
      <c r="G97" s="23" t="n">
        <v>4961.88</v>
      </c>
      <c r="H97" s="24">
        <f>F97-G97</f>
        <v/>
      </c>
      <c r="I97" s="22" t="inlineStr">
        <is>
          <t>Substituído pelo extrato real</t>
        </is>
      </c>
      <c r="J97" s="22" t="inlineStr">
        <is>
          <t>Extrato conta corrente - Tenda + ajuste %</t>
        </is>
      </c>
      <c r="K97" s="22">
        <f>VALUE(RIGHT(A97,4))</f>
        <v/>
      </c>
    </row>
    <row r="98" ht="15" customHeight="1">
      <c r="A98" s="19" t="inlineStr">
        <is>
          <t>15/02/2009</t>
        </is>
      </c>
      <c r="B98" s="20" t="inlineStr">
        <is>
          <t>TOTAL CENTRO DE DISTRIBUICAO INTEGRADA LTDA - 12.460.301/0001-87</t>
        </is>
      </c>
      <c r="C98" s="20" t="inlineStr">
        <is>
          <t>FRUGIS REPRESENTACOES LTDA - 11.989.186/0001-70</t>
        </is>
      </c>
      <c r="D98" s="21">
        <f>G98</f>
        <v/>
      </c>
      <c r="E98" s="22" t="inlineStr">
        <is>
          <t>01/2009</t>
        </is>
      </c>
      <c r="F98" s="23" t="n">
        <v>2342.787985562516</v>
      </c>
      <c r="G98" s="23" t="n">
        <v>2188.91</v>
      </c>
      <c r="H98" s="24">
        <f>F98-G98</f>
        <v/>
      </c>
      <c r="I98" s="22" t="inlineStr">
        <is>
          <t>Substituído pelo extrato real</t>
        </is>
      </c>
      <c r="J98" s="22" t="inlineStr">
        <is>
          <t>Extrato conta corrente - Tenda + ajuste %</t>
        </is>
      </c>
      <c r="K98" s="22">
        <f>VALUE(RIGHT(A98,4))</f>
        <v/>
      </c>
    </row>
    <row r="99" ht="15" customHeight="1">
      <c r="A99" s="19" t="inlineStr">
        <is>
          <t>15/03/2009</t>
        </is>
      </c>
      <c r="B99" s="20" t="inlineStr">
        <is>
          <t>TOTAL CENTRO DE DISTRIBUICAO INTEGRADA LTDA - 12.460.301/0001-87</t>
        </is>
      </c>
      <c r="C99" s="20" t="inlineStr">
        <is>
          <t>FRUGIS REPRESENTACOES LTDA - 11.989.186/0001-70</t>
        </is>
      </c>
      <c r="D99" s="21">
        <f>G99</f>
        <v/>
      </c>
      <c r="E99" s="22" t="inlineStr">
        <is>
          <t>02/2009</t>
        </is>
      </c>
      <c r="F99" s="23" t="n">
        <v>2333.611476952638</v>
      </c>
      <c r="G99" s="23" t="n">
        <v>4128.36</v>
      </c>
      <c r="H99" s="24">
        <f>F99-G99</f>
        <v/>
      </c>
      <c r="I99" s="22" t="inlineStr">
        <is>
          <t>Substituído pelo extrato real</t>
        </is>
      </c>
      <c r="J99" s="22" t="inlineStr">
        <is>
          <t>Extrato conta corrente - Tenda + ajuste %</t>
        </is>
      </c>
      <c r="K99" s="22">
        <f>VALUE(RIGHT(A99,4))</f>
        <v/>
      </c>
    </row>
    <row r="100" ht="15" customHeight="1">
      <c r="A100" s="19" t="inlineStr">
        <is>
          <t>15/04/2009</t>
        </is>
      </c>
      <c r="B100" s="20" t="inlineStr">
        <is>
          <t>TOTAL CENTRO DE DISTRIBUICAO INTEGRADA LTDA - 12.460.301/0001-87</t>
        </is>
      </c>
      <c r="C100" s="20" t="inlineStr">
        <is>
          <t>FRUGIS REPRESENTACOES LTDA - 11.989.186/0001-70</t>
        </is>
      </c>
      <c r="D100" s="21">
        <f>G100</f>
        <v/>
      </c>
      <c r="E100" s="22" t="inlineStr">
        <is>
          <t>03/2009</t>
        </is>
      </c>
      <c r="F100" s="23" t="n">
        <v>2365.29302287407</v>
      </c>
      <c r="G100" s="23" t="n">
        <v>1644.02</v>
      </c>
      <c r="H100" s="24">
        <f>F100-G100</f>
        <v/>
      </c>
      <c r="I100" s="22" t="inlineStr">
        <is>
          <t>Substituído pelo extrato real</t>
        </is>
      </c>
      <c r="J100" s="22" t="inlineStr">
        <is>
          <t>Extrato conta corrente - Tenda + ajuste %</t>
        </is>
      </c>
      <c r="K100" s="22">
        <f>VALUE(RIGHT(A100,4))</f>
        <v/>
      </c>
    </row>
    <row r="101" ht="15" customHeight="1">
      <c r="A101" s="19" t="inlineStr">
        <is>
          <t>15/05/2009</t>
        </is>
      </c>
      <c r="B101" s="20" t="inlineStr">
        <is>
          <t>TOTAL CENTRO DE DISTRIBUICAO INTEGRADA LTDA - 12.460.301/0001-87</t>
        </is>
      </c>
      <c r="C101" s="20" t="inlineStr">
        <is>
          <t>FRUGIS REPRESENTACOES LTDA - 11.989.186/0001-70</t>
        </is>
      </c>
      <c r="D101" s="21">
        <f>G101</f>
        <v/>
      </c>
      <c r="E101" s="22" t="inlineStr">
        <is>
          <t>04/2009</t>
        </is>
      </c>
      <c r="F101" s="23" t="n">
        <v>2316.665741924462</v>
      </c>
      <c r="G101" s="23" t="n">
        <v>3112.94</v>
      </c>
      <c r="H101" s="24">
        <f>F101-G101</f>
        <v/>
      </c>
      <c r="I101" s="22" t="inlineStr">
        <is>
          <t>Substituído pelo extrato real</t>
        </is>
      </c>
      <c r="J101" s="22" t="inlineStr">
        <is>
          <t>Extrato conta corrente - Tenda + ajuste %</t>
        </is>
      </c>
      <c r="K101" s="22">
        <f>VALUE(RIGHT(A101,4))</f>
        <v/>
      </c>
    </row>
    <row r="102" ht="15" customHeight="1">
      <c r="A102" s="19" t="inlineStr">
        <is>
          <t>15/06/2009</t>
        </is>
      </c>
      <c r="B102" s="20" t="inlineStr">
        <is>
          <t>TOTAL CENTRO DE DISTRIBUICAO INTEGRADA LTDA - 12.460.301/0001-87</t>
        </is>
      </c>
      <c r="C102" s="20" t="inlineStr">
        <is>
          <t>FRUGIS REPRESENTACOES LTDA - 11.989.186/0001-70</t>
        </is>
      </c>
      <c r="D102" s="21">
        <f>G102</f>
        <v/>
      </c>
      <c r="E102" s="22" t="inlineStr">
        <is>
          <t>05/2009</t>
        </is>
      </c>
      <c r="F102" s="23" t="n">
        <v>2396.700954507508</v>
      </c>
      <c r="G102" s="23" t="n">
        <v>2666.25</v>
      </c>
      <c r="H102" s="24">
        <f>F102-G102</f>
        <v/>
      </c>
      <c r="I102" s="22" t="inlineStr">
        <is>
          <t>Substituído pelo extrato real</t>
        </is>
      </c>
      <c r="J102" s="22" t="inlineStr">
        <is>
          <t>Extrato conta corrente - Tenda + ajuste %</t>
        </is>
      </c>
      <c r="K102" s="22">
        <f>VALUE(RIGHT(A102,4))</f>
        <v/>
      </c>
    </row>
    <row r="103" ht="15" customHeight="1">
      <c r="A103" s="19" t="inlineStr">
        <is>
          <t>15/07/2009</t>
        </is>
      </c>
      <c r="B103" s="20" t="inlineStr">
        <is>
          <t>TOTAL CENTRO DE DISTRIBUICAO INTEGRADA LTDA - 12.460.301/0001-87</t>
        </is>
      </c>
      <c r="C103" s="20" t="inlineStr">
        <is>
          <t>FRUGIS REPRESENTACOES LTDA - 11.989.186/0001-70</t>
        </is>
      </c>
      <c r="D103" s="21">
        <f>G103</f>
        <v/>
      </c>
      <c r="E103" s="22" t="inlineStr">
        <is>
          <t>06/2009</t>
        </is>
      </c>
      <c r="F103" s="23" t="n">
        <v>2308.63240977458</v>
      </c>
      <c r="G103" s="23" t="n">
        <v>4348.02</v>
      </c>
      <c r="H103" s="24">
        <f>F103-G103</f>
        <v/>
      </c>
      <c r="I103" s="22" t="inlineStr">
        <is>
          <t>Substituído pelo extrato real</t>
        </is>
      </c>
      <c r="J103" s="22" t="inlineStr">
        <is>
          <t>Extrato conta corrente - Tenda + ajuste %</t>
        </is>
      </c>
      <c r="K103" s="22">
        <f>VALUE(RIGHT(A103,4))</f>
        <v/>
      </c>
    </row>
    <row r="104" ht="15" customHeight="1">
      <c r="A104" s="19" t="inlineStr">
        <is>
          <t>15/08/2009</t>
        </is>
      </c>
      <c r="B104" s="20" t="inlineStr">
        <is>
          <t>TOTAL CENTRO DE DISTRIBUICAO INTEGRADA LTDA - 12.460.301/0001-87</t>
        </is>
      </c>
      <c r="C104" s="20" t="inlineStr">
        <is>
          <t>FRUGIS REPRESENTACOES LTDA - 11.989.186/0001-70</t>
        </is>
      </c>
      <c r="D104" s="21">
        <f>G104</f>
        <v/>
      </c>
      <c r="E104" s="22" t="inlineStr">
        <is>
          <t>07/2009</t>
        </is>
      </c>
      <c r="F104" s="23" t="n">
        <v>2419.054362762936</v>
      </c>
      <c r="G104" s="23" t="n">
        <v>3127.04</v>
      </c>
      <c r="H104" s="24">
        <f>F104-G104</f>
        <v/>
      </c>
      <c r="I104" s="22" t="inlineStr">
        <is>
          <t>Substituído pelo extrato real</t>
        </is>
      </c>
      <c r="J104" s="22" t="inlineStr">
        <is>
          <t>Extrato conta corrente - Tenda</t>
        </is>
      </c>
      <c r="K104" s="22">
        <f>VALUE(RIGHT(A104,4))</f>
        <v/>
      </c>
    </row>
    <row r="105" ht="15" customHeight="1">
      <c r="A105" s="19" t="inlineStr">
        <is>
          <t>15/09/2009</t>
        </is>
      </c>
      <c r="B105" s="20" t="inlineStr">
        <is>
          <t>TOTAL CENTRO DE DISTRIBUICAO INTEGRADA LTDA - 12.460.301/0001-87</t>
        </is>
      </c>
      <c r="C105" s="20" t="inlineStr">
        <is>
          <t>FRUGIS REPRESENTACOES LTDA - 11.989.186/0001-70</t>
        </is>
      </c>
      <c r="D105" s="21">
        <f>G105</f>
        <v/>
      </c>
      <c r="E105" s="22" t="inlineStr">
        <is>
          <t>08/2009</t>
        </is>
      </c>
      <c r="F105" s="23" t="n">
        <v>2393.075776257878</v>
      </c>
      <c r="G105" s="23" t="n">
        <v>3313.89</v>
      </c>
      <c r="H105" s="24">
        <f>F105-G105</f>
        <v/>
      </c>
      <c r="I105" s="22" t="inlineStr">
        <is>
          <t>Substituído pelo extrato real</t>
        </is>
      </c>
      <c r="J105" s="22" t="inlineStr">
        <is>
          <t>Extrato conta corrente - Tenda + ajuste %</t>
        </is>
      </c>
      <c r="K105" s="22">
        <f>VALUE(RIGHT(A105,4))</f>
        <v/>
      </c>
    </row>
    <row r="106" ht="15" customHeight="1">
      <c r="A106" s="19" t="inlineStr">
        <is>
          <t>15/10/2009</t>
        </is>
      </c>
      <c r="B106" s="20" t="inlineStr">
        <is>
          <t>TOTAL CENTRO DE DISTRIBUICAO INTEGRADA LTDA - 12.460.301/0001-87</t>
        </is>
      </c>
      <c r="C106" s="20" t="inlineStr">
        <is>
          <t>FRUGIS REPRESENTACOES LTDA - 11.989.186/0001-70</t>
        </is>
      </c>
      <c r="D106" s="21">
        <f>G106</f>
        <v/>
      </c>
      <c r="E106" s="22" t="inlineStr">
        <is>
          <t>09/2009</t>
        </is>
      </c>
      <c r="F106" s="23" t="n">
        <v>2323.66036172513</v>
      </c>
      <c r="G106" s="23" t="n">
        <v>3753.26</v>
      </c>
      <c r="H106" s="24">
        <f>F106-G106</f>
        <v/>
      </c>
      <c r="I106" s="22" t="inlineStr">
        <is>
          <t>Substituído pelo extrato real</t>
        </is>
      </c>
      <c r="J106" s="22" t="inlineStr">
        <is>
          <t>Extrato conta corrente - Tenda + ajuste %</t>
        </is>
      </c>
      <c r="K106" s="22">
        <f>VALUE(RIGHT(A106,4))</f>
        <v/>
      </c>
    </row>
    <row r="107" ht="15" customHeight="1">
      <c r="A107" s="19" t="inlineStr">
        <is>
          <t>15/11/2009</t>
        </is>
      </c>
      <c r="B107" s="20" t="inlineStr">
        <is>
          <t>TOTAL CENTRO DE DISTRIBUICAO INTEGRADA LTDA - 12.460.301/0001-87</t>
        </is>
      </c>
      <c r="C107" s="20" t="inlineStr">
        <is>
          <t>FRUGIS REPRESENTACOES LTDA - 11.989.186/0001-70</t>
        </is>
      </c>
      <c r="D107" s="21">
        <f>G107</f>
        <v/>
      </c>
      <c r="E107" s="22" t="inlineStr">
        <is>
          <t>10/2009</t>
        </is>
      </c>
      <c r="F107" s="23" t="n">
        <v>2300.277744095503</v>
      </c>
      <c r="G107" s="23" t="n">
        <v>3874.4</v>
      </c>
      <c r="H107" s="24">
        <f>F107-G107</f>
        <v/>
      </c>
      <c r="I107" s="22" t="inlineStr">
        <is>
          <t>Substituído pelo extrato real</t>
        </is>
      </c>
      <c r="J107" s="22" t="inlineStr">
        <is>
          <t>Extrato conta corrente - Tenda + ajuste %</t>
        </is>
      </c>
      <c r="K107" s="22">
        <f>VALUE(RIGHT(A107,4))</f>
        <v/>
      </c>
    </row>
    <row r="108" ht="15" customHeight="1">
      <c r="A108" s="19" t="inlineStr">
        <is>
          <t>15/12/2009</t>
        </is>
      </c>
      <c r="B108" s="20" t="inlineStr">
        <is>
          <t>TOTAL CENTRO DE DISTRIBUICAO INTEGRADA LTDA - 12.460.301/0001-87</t>
        </is>
      </c>
      <c r="C108" s="20" t="inlineStr">
        <is>
          <t>FRUGIS REPRESENTACOES LTDA - 11.989.186/0001-70</t>
        </is>
      </c>
      <c r="D108" s="21">
        <f>G108</f>
        <v/>
      </c>
      <c r="E108" s="22" t="inlineStr">
        <is>
          <t>11/2009</t>
        </is>
      </c>
      <c r="F108" s="23" t="n">
        <v>2398.306378112596</v>
      </c>
      <c r="G108" s="23" t="n">
        <v>3562.55</v>
      </c>
      <c r="H108" s="24">
        <f>F108-G108</f>
        <v/>
      </c>
      <c r="I108" s="22" t="inlineStr">
        <is>
          <t>Substituído pelo extrato real</t>
        </is>
      </c>
      <c r="J108" s="22" t="inlineStr">
        <is>
          <t>Extrato conta corrente - Tenda + ajuste %</t>
        </is>
      </c>
      <c r="K108" s="22">
        <f>VALUE(RIGHT(A108,4))</f>
        <v/>
      </c>
    </row>
    <row r="109" ht="15" customHeight="1">
      <c r="A109" s="19" t="inlineStr">
        <is>
          <t>15/01/2010</t>
        </is>
      </c>
      <c r="B109" s="20" t="inlineStr">
        <is>
          <t>TOTAL CENTRO DE DISTRIBUICAO INTEGRADA LTDA - 12.460.301/0001-87</t>
        </is>
      </c>
      <c r="C109" s="20" t="inlineStr">
        <is>
          <t>FRUGIS REPRESENTACOES LTDA - 11.989.186/0001-70</t>
        </is>
      </c>
      <c r="D109" s="21">
        <f>G109</f>
        <v/>
      </c>
      <c r="E109" s="22" t="inlineStr">
        <is>
          <t>12/2009</t>
        </is>
      </c>
      <c r="F109" s="23" t="n">
        <v>2385.16180059453</v>
      </c>
      <c r="G109" s="23" t="n">
        <v>2012.91</v>
      </c>
      <c r="H109" s="24">
        <f>F109-G109</f>
        <v/>
      </c>
      <c r="I109" s="22" t="inlineStr">
        <is>
          <t>Substituído pelo extrato real</t>
        </is>
      </c>
      <c r="J109" s="22" t="inlineStr">
        <is>
          <t>Extrato conta corrente - Tenda + ajuste %</t>
        </is>
      </c>
      <c r="K109" s="22">
        <f>VALUE(RIGHT(A109,4))</f>
        <v/>
      </c>
    </row>
    <row r="110" ht="15" customHeight="1">
      <c r="A110" s="19" t="inlineStr">
        <is>
          <t>15/02/2010</t>
        </is>
      </c>
      <c r="B110" s="20" t="inlineStr">
        <is>
          <t>TOTAL CENTRO DE DISTRIBUICAO INTEGRADA LTDA - 12.460.301/0001-87</t>
        </is>
      </c>
      <c r="C110" s="20" t="inlineStr">
        <is>
          <t>FRUGIS REPRESENTACOES LTDA - 11.989.186/0001-70</t>
        </is>
      </c>
      <c r="D110" s="21">
        <f>G110</f>
        <v/>
      </c>
      <c r="E110" s="22" t="inlineStr">
        <is>
          <t>01/2010</t>
        </is>
      </c>
      <c r="F110" s="23" t="n">
        <v>4028.72</v>
      </c>
      <c r="G110" s="23" t="n">
        <v>4028.72</v>
      </c>
      <c r="H110" s="24">
        <f>F110-G110</f>
        <v/>
      </c>
      <c r="I110" s="22" t="inlineStr">
        <is>
          <t>Extrato real</t>
        </is>
      </c>
      <c r="J110" s="22" t="inlineStr">
        <is>
          <t>Extrato conta corrente - Tenda</t>
        </is>
      </c>
      <c r="K110" s="22">
        <f>VALUE(RIGHT(A110,4))</f>
        <v/>
      </c>
    </row>
    <row r="111" ht="15" customHeight="1">
      <c r="A111" s="19" t="inlineStr">
        <is>
          <t>15/03/2010</t>
        </is>
      </c>
      <c r="B111" s="20" t="inlineStr">
        <is>
          <t>TOTAL CENTRO DE DISTRIBUICAO INTEGRADA LTDA - 12.460.301/0001-87</t>
        </is>
      </c>
      <c r="C111" s="20" t="inlineStr">
        <is>
          <t>FRUGIS REPRESENTACOES LTDA - 11.989.186/0001-70</t>
        </is>
      </c>
      <c r="D111" s="21">
        <f>G111</f>
        <v/>
      </c>
      <c r="E111" s="22" t="inlineStr">
        <is>
          <t>02/2010</t>
        </is>
      </c>
      <c r="F111" s="23" t="n">
        <v>2811.71</v>
      </c>
      <c r="G111" s="23" t="n">
        <v>2811.71</v>
      </c>
      <c r="H111" s="24">
        <f>F111-G111</f>
        <v/>
      </c>
      <c r="I111" s="22" t="inlineStr">
        <is>
          <t>Extrato real</t>
        </is>
      </c>
      <c r="J111" s="22" t="inlineStr">
        <is>
          <t>Extrato conta corrente - Tenda</t>
        </is>
      </c>
      <c r="K111" s="22">
        <f>VALUE(RIGHT(A111,4))</f>
        <v/>
      </c>
    </row>
    <row r="112" ht="15" customHeight="1">
      <c r="A112" s="19" t="inlineStr">
        <is>
          <t>15/04/2010</t>
        </is>
      </c>
      <c r="B112" s="20" t="inlineStr">
        <is>
          <t>TOTAL CENTRO DE DISTRIBUICAO INTEGRADA LTDA - 12.460.301/0001-87</t>
        </is>
      </c>
      <c r="C112" s="20" t="inlineStr">
        <is>
          <t>FRUGIS REPRESENTACOES LTDA - 11.989.186/0001-70</t>
        </is>
      </c>
      <c r="D112" s="21">
        <f>G112</f>
        <v/>
      </c>
      <c r="E112" s="22" t="inlineStr">
        <is>
          <t>03/2010</t>
        </is>
      </c>
      <c r="F112" s="23" t="n">
        <v>3136.400000000001</v>
      </c>
      <c r="G112" s="23" t="n">
        <v>3136.4</v>
      </c>
      <c r="H112" s="24">
        <f>F112-G112</f>
        <v/>
      </c>
      <c r="I112" s="22" t="inlineStr">
        <is>
          <t>Extrato real</t>
        </is>
      </c>
      <c r="J112" s="22" t="inlineStr">
        <is>
          <t>Extrato conta corrente - Tenda</t>
        </is>
      </c>
      <c r="K112" s="22">
        <f>VALUE(RIGHT(A112,4))</f>
        <v/>
      </c>
    </row>
    <row r="113" ht="15" customHeight="1">
      <c r="A113" s="19" t="inlineStr">
        <is>
          <t>15/05/2010</t>
        </is>
      </c>
      <c r="B113" s="20" t="inlineStr">
        <is>
          <t>TOTAL CENTRO DE DISTRIBUICAO INTEGRADA LTDA - 12.460.301/0001-87</t>
        </is>
      </c>
      <c r="C113" s="20" t="inlineStr">
        <is>
          <t>FRUGIS REPRESENTACOES LTDA - 11.989.186/0001-70</t>
        </is>
      </c>
      <c r="D113" s="21">
        <f>G113</f>
        <v/>
      </c>
      <c r="E113" s="22" t="inlineStr">
        <is>
          <t>04/2010</t>
        </is>
      </c>
      <c r="F113" s="23" t="n">
        <v>2293.77</v>
      </c>
      <c r="G113" s="23" t="n">
        <v>2293.77</v>
      </c>
      <c r="H113" s="24">
        <f>F113-G113</f>
        <v/>
      </c>
      <c r="I113" s="22" t="inlineStr">
        <is>
          <t>Extrato real</t>
        </is>
      </c>
      <c r="J113" s="22" t="inlineStr">
        <is>
          <t>Extrato conta corrente - Tenda</t>
        </is>
      </c>
      <c r="K113" s="22">
        <f>VALUE(RIGHT(A113,4))</f>
        <v/>
      </c>
    </row>
    <row r="114" ht="15" customHeight="1">
      <c r="A114" s="19" t="inlineStr">
        <is>
          <t>15/06/2010</t>
        </is>
      </c>
      <c r="B114" s="20" t="inlineStr">
        <is>
          <t>TOTAL CENTRO DE DISTRIBUICAO INTEGRADA LTDA - 12.460.301/0001-87</t>
        </is>
      </c>
      <c r="C114" s="20" t="inlineStr">
        <is>
          <t>FRUGIS REPRESENTACOES LTDA - 11.989.186/0001-70</t>
        </is>
      </c>
      <c r="D114" s="21">
        <f>G114</f>
        <v/>
      </c>
      <c r="E114" s="22" t="inlineStr">
        <is>
          <t>05/2010</t>
        </is>
      </c>
      <c r="F114" s="23" t="n">
        <v>1501.53</v>
      </c>
      <c r="G114" s="23" t="n">
        <v>1501.53</v>
      </c>
      <c r="H114" s="24">
        <f>F114-G114</f>
        <v/>
      </c>
      <c r="I114" s="22" t="inlineStr">
        <is>
          <t>Extrato real</t>
        </is>
      </c>
      <c r="J114" s="22" t="inlineStr">
        <is>
          <t>Extrato conta corrente - Tenda</t>
        </is>
      </c>
      <c r="K114" s="22">
        <f>VALUE(RIGHT(A114,4))</f>
        <v/>
      </c>
    </row>
    <row r="115" ht="15" customHeight="1">
      <c r="A115" s="19" t="inlineStr">
        <is>
          <t>15/07/2010</t>
        </is>
      </c>
      <c r="B115" s="20" t="inlineStr">
        <is>
          <t>TOTAL CENTRO DE DISTRIBUICAO INTEGRADA LTDA - 12.460.301/0001-87</t>
        </is>
      </c>
      <c r="C115" s="20" t="inlineStr">
        <is>
          <t>FRUGIS REPRESENTACOES LTDA - 11.989.186/0001-70</t>
        </is>
      </c>
      <c r="D115" s="21">
        <f>G115</f>
        <v/>
      </c>
      <c r="E115" s="22" t="inlineStr">
        <is>
          <t>06/2010</t>
        </is>
      </c>
      <c r="F115" s="23" t="n">
        <v>3171.12</v>
      </c>
      <c r="G115" s="23" t="n">
        <v>3171.12</v>
      </c>
      <c r="H115" s="24">
        <f>F115-G115</f>
        <v/>
      </c>
      <c r="I115" s="22" t="inlineStr">
        <is>
          <t>Extrato real</t>
        </is>
      </c>
      <c r="J115" s="22" t="inlineStr">
        <is>
          <t>Extrato conta corrente - Tenda</t>
        </is>
      </c>
      <c r="K115" s="22">
        <f>VALUE(RIGHT(A115,4))</f>
        <v/>
      </c>
    </row>
    <row r="116" ht="15" customHeight="1">
      <c r="A116" s="19" t="inlineStr">
        <is>
          <t>15/08/2010</t>
        </is>
      </c>
      <c r="B116" s="20" t="inlineStr">
        <is>
          <t>TOTAL CENTRO DE DISTRIBUICAO INTEGRADA LTDA - 12.460.301/0001-87</t>
        </is>
      </c>
      <c r="C116" s="20" t="inlineStr">
        <is>
          <t>FRUGIS REPRESENTACOES LTDA - 11.989.186/0001-70</t>
        </is>
      </c>
      <c r="D116" s="21">
        <f>G116</f>
        <v/>
      </c>
      <c r="E116" s="22" t="inlineStr">
        <is>
          <t>07/2010</t>
        </is>
      </c>
      <c r="F116" s="23" t="n">
        <v>1593.27</v>
      </c>
      <c r="G116" s="23" t="n">
        <v>1593.27</v>
      </c>
      <c r="H116" s="24">
        <f>F116-G116</f>
        <v/>
      </c>
      <c r="I116" s="22" t="inlineStr">
        <is>
          <t>Extrato real</t>
        </is>
      </c>
      <c r="J116" s="22" t="inlineStr">
        <is>
          <t>Extrato conta corrente - Tenda</t>
        </is>
      </c>
      <c r="K116" s="22">
        <f>VALUE(RIGHT(A116,4))</f>
        <v/>
      </c>
    </row>
    <row r="117" ht="15" customHeight="1">
      <c r="A117" s="19" t="inlineStr">
        <is>
          <t>15/09/2010</t>
        </is>
      </c>
      <c r="B117" s="20" t="inlineStr">
        <is>
          <t>TOTAL CENTRO DE DISTRIBUICAO INTEGRADA LTDA - 12.460.301/0001-87</t>
        </is>
      </c>
      <c r="C117" s="20" t="inlineStr">
        <is>
          <t>FRUGIS REPRESENTACOES LTDA - 11.989.186/0001-70</t>
        </is>
      </c>
      <c r="D117" s="21">
        <f>G117</f>
        <v/>
      </c>
      <c r="E117" s="22" t="inlineStr">
        <is>
          <t>08/2010</t>
        </is>
      </c>
      <c r="F117" s="23" t="n">
        <v>2355.27</v>
      </c>
      <c r="G117" s="23" t="n">
        <v>2355.27</v>
      </c>
      <c r="H117" s="24">
        <f>F117-G117</f>
        <v/>
      </c>
      <c r="I117" s="22" t="inlineStr">
        <is>
          <t>Extrato real</t>
        </is>
      </c>
      <c r="J117" s="22" t="inlineStr">
        <is>
          <t>Extrato conta corrente - Tenda</t>
        </is>
      </c>
      <c r="K117" s="22">
        <f>VALUE(RIGHT(A117,4))</f>
        <v/>
      </c>
    </row>
    <row r="118" ht="15" customHeight="1">
      <c r="A118" s="19" t="inlineStr">
        <is>
          <t>15/10/2010</t>
        </is>
      </c>
      <c r="B118" s="20" t="inlineStr">
        <is>
          <t>TOTAL CENTRO DE DISTRIBUICAO INTEGRADA LTDA - 12.460.301/0001-87</t>
        </is>
      </c>
      <c r="C118" s="20" t="inlineStr">
        <is>
          <t>FRUGIS REPRESENTACOES LTDA - 11.989.186/0001-70</t>
        </is>
      </c>
      <c r="D118" s="21">
        <f>G118</f>
        <v/>
      </c>
      <c r="E118" s="22" t="inlineStr">
        <is>
          <t>09/2010</t>
        </is>
      </c>
      <c r="F118" s="23" t="n">
        <v>1832.95</v>
      </c>
      <c r="G118" s="23" t="n">
        <v>1832.95</v>
      </c>
      <c r="H118" s="24">
        <f>F118-G118</f>
        <v/>
      </c>
      <c r="I118" s="22" t="inlineStr">
        <is>
          <t>Extrato real</t>
        </is>
      </c>
      <c r="J118" s="22" t="inlineStr">
        <is>
          <t>Extrato conta corrente - Tenda</t>
        </is>
      </c>
      <c r="K118" s="22">
        <f>VALUE(RIGHT(A118,4))</f>
        <v/>
      </c>
    </row>
    <row r="119" ht="15" customHeight="1">
      <c r="A119" s="16" t="inlineStr">
        <is>
          <t>15/11/2010</t>
        </is>
      </c>
      <c r="B119" s="17" t="inlineStr">
        <is>
          <t>TOTAL CENTRO DE DISTRIBUICAO INTEGRADA LTDA - 12.460.301/0001-87</t>
        </is>
      </c>
      <c r="C119" s="17" t="inlineStr">
        <is>
          <t>FRUGIS REPRESENTACOES LTDA - 11.989.186/0001-70</t>
        </is>
      </c>
      <c r="D119" s="18">
        <f>F119</f>
        <v/>
      </c>
      <c r="E119" s="13" t="inlineStr">
        <is>
          <t>10/2010</t>
        </is>
      </c>
      <c r="F119" s="14" t="n">
        <v>2479.213265397804</v>
      </c>
      <c r="G119" s="14" t="n">
        <v>2440.52</v>
      </c>
      <c r="H119" s="15">
        <f>F119-G119</f>
        <v/>
      </c>
      <c r="I119" s="13" t="inlineStr">
        <is>
          <t>Mantido valor original da base (sem extrato)</t>
        </is>
      </c>
      <c r="J119" s="13" t="inlineStr">
        <is>
          <t>ESTIMADO (média c/ variação)</t>
        </is>
      </c>
      <c r="K119" s="13">
        <f>VALUE(RIGHT(A119,4))</f>
        <v/>
      </c>
    </row>
    <row r="120" ht="15" customHeight="1">
      <c r="A120" s="10" t="inlineStr">
        <is>
          <t>15/12/2010</t>
        </is>
      </c>
      <c r="B120" s="11" t="inlineStr">
        <is>
          <t>TOTAL CENTRO DE DISTRIBUICAO INTEGRADA LTDA - 12.460.301/0001-87</t>
        </is>
      </c>
      <c r="C120" s="11" t="inlineStr">
        <is>
          <t>FRUGIS REPRESENTACOES LTDA - 11.989.186/0001-70</t>
        </is>
      </c>
      <c r="D120" s="12">
        <f>F120</f>
        <v/>
      </c>
      <c r="E120" s="13" t="inlineStr">
        <is>
          <t>11/2010</t>
        </is>
      </c>
      <c r="F120" s="14" t="n">
        <v>2510.7318827763</v>
      </c>
      <c r="G120" s="14" t="n">
        <v>2860.07</v>
      </c>
      <c r="H120" s="15">
        <f>F120-G120</f>
        <v/>
      </c>
      <c r="I120" s="13" t="inlineStr">
        <is>
          <t>Mantido valor original da base (sem extrato)</t>
        </is>
      </c>
      <c r="J120" s="13" t="inlineStr">
        <is>
          <t>ESTIMADO (média c/ variação)</t>
        </is>
      </c>
      <c r="K120" s="13">
        <f>VALUE(RIGHT(A120,4))</f>
        <v/>
      </c>
    </row>
    <row r="121" ht="15" customHeight="1">
      <c r="A121" s="16" t="inlineStr">
        <is>
          <t>15/01/2011</t>
        </is>
      </c>
      <c r="B121" s="17" t="inlineStr">
        <is>
          <t>TOTAL CENTRO DE DISTRIBUICAO INTEGRADA LTDA - 12.460.301/0001-87</t>
        </is>
      </c>
      <c r="C121" s="17" t="inlineStr">
        <is>
          <t>FRUGIS REPRESENTACOES LTDA - 11.989.186/0001-70</t>
        </is>
      </c>
      <c r="D121" s="18">
        <f>F121</f>
        <v/>
      </c>
      <c r="E121" s="13" t="inlineStr">
        <is>
          <t>12/2010</t>
        </is>
      </c>
      <c r="F121" s="14" t="n">
        <v>2458.339007769026</v>
      </c>
      <c r="G121" s="14" t="n">
        <v>2970.45</v>
      </c>
      <c r="H121" s="15">
        <f>F121-G121</f>
        <v/>
      </c>
      <c r="I121" s="13" t="inlineStr">
        <is>
          <t>Mantido valor original da base (sem extrato)</t>
        </is>
      </c>
      <c r="J121" s="13" t="inlineStr">
        <is>
          <t>ESTIMADO (média c/ variação)</t>
        </is>
      </c>
      <c r="K121" s="13">
        <f>VALUE(RIGHT(A121,4))</f>
        <v/>
      </c>
    </row>
    <row r="122" ht="15" customHeight="1">
      <c r="A122" s="10" t="inlineStr">
        <is>
          <t>15/02/2011</t>
        </is>
      </c>
      <c r="B122" s="11" t="inlineStr">
        <is>
          <t>TOTAL CENTRO DE DISTRIBUICAO INTEGRADA LTDA - 12.460.301/0001-87</t>
        </is>
      </c>
      <c r="C122" s="11" t="inlineStr">
        <is>
          <t>FRUGIS REPRESENTACOES LTDA - 11.989.186/0001-70</t>
        </is>
      </c>
      <c r="D122" s="12">
        <f>F122</f>
        <v/>
      </c>
      <c r="E122" s="13" t="inlineStr">
        <is>
          <t>01/2011</t>
        </is>
      </c>
      <c r="F122" s="14" t="n">
        <v>2652.657970248551</v>
      </c>
      <c r="G122" s="14" t="n">
        <v>3393.14</v>
      </c>
      <c r="H122" s="15">
        <f>F122-G122</f>
        <v/>
      </c>
      <c r="I122" s="13" t="inlineStr">
        <is>
          <t>Mantido valor original da base (sem extrato)</t>
        </is>
      </c>
      <c r="J122" s="13" t="inlineStr">
        <is>
          <t>ESTIMADO (média c/ variação)</t>
        </is>
      </c>
      <c r="K122" s="13">
        <f>VALUE(RIGHT(A122,4))</f>
        <v/>
      </c>
    </row>
    <row r="123" ht="15" customHeight="1">
      <c r="A123" s="16" t="inlineStr">
        <is>
          <t>15/03/2011</t>
        </is>
      </c>
      <c r="B123" s="17" t="inlineStr">
        <is>
          <t>TOTAL CENTRO DE DISTRIBUICAO INTEGRADA LTDA - 12.460.301/0001-87</t>
        </is>
      </c>
      <c r="C123" s="17" t="inlineStr">
        <is>
          <t>FRUGIS REPRESENTACOES LTDA - 11.989.186/0001-70</t>
        </is>
      </c>
      <c r="D123" s="18">
        <f>F123</f>
        <v/>
      </c>
      <c r="E123" s="13" t="inlineStr">
        <is>
          <t>02/2011</t>
        </is>
      </c>
      <c r="F123" s="14" t="n">
        <v>2658.340453747375</v>
      </c>
      <c r="G123" s="14" t="n">
        <v>2787.47</v>
      </c>
      <c r="H123" s="15">
        <f>F123-G123</f>
        <v/>
      </c>
      <c r="I123" s="13" t="inlineStr">
        <is>
          <t>Mantido valor original da base (sem extrato)</t>
        </is>
      </c>
      <c r="J123" s="13" t="inlineStr">
        <is>
          <t>ESTIMADO (média c/ variação)</t>
        </is>
      </c>
      <c r="K123" s="13">
        <f>VALUE(RIGHT(A123,4))</f>
        <v/>
      </c>
    </row>
    <row r="124" ht="15" customHeight="1">
      <c r="A124" s="10" t="inlineStr">
        <is>
          <t>15/04/2011</t>
        </is>
      </c>
      <c r="B124" s="11" t="inlineStr">
        <is>
          <t>TOTAL CENTRO DE DISTRIBUICAO INTEGRADA LTDA - 12.460.301/0001-87</t>
        </is>
      </c>
      <c r="C124" s="11" t="inlineStr">
        <is>
          <t>FRUGIS REPRESENTACOES LTDA - 11.989.186/0001-70</t>
        </is>
      </c>
      <c r="D124" s="12">
        <f>F124</f>
        <v/>
      </c>
      <c r="E124" s="13" t="inlineStr">
        <is>
          <t>03/2011</t>
        </is>
      </c>
      <c r="F124" s="14" t="n">
        <v>2564.595173966033</v>
      </c>
      <c r="G124" s="14" t="n">
        <v>2995.85</v>
      </c>
      <c r="H124" s="15">
        <f>F124-G124</f>
        <v/>
      </c>
      <c r="I124" s="13" t="inlineStr">
        <is>
          <t>Mantido valor original da base (sem extrato)</t>
        </is>
      </c>
      <c r="J124" s="13" t="inlineStr">
        <is>
          <t>ESTIMADO (média c/ variação)</t>
        </is>
      </c>
      <c r="K124" s="13">
        <f>VALUE(RIGHT(A124,4))</f>
        <v/>
      </c>
    </row>
    <row r="125" ht="15" customHeight="1">
      <c r="A125" s="16" t="inlineStr">
        <is>
          <t>15/05/2011</t>
        </is>
      </c>
      <c r="B125" s="17" t="inlineStr">
        <is>
          <t>TOTAL CENTRO DE DISTRIBUICAO INTEGRADA LTDA - 12.460.301/0001-87</t>
        </is>
      </c>
      <c r="C125" s="17" t="inlineStr">
        <is>
          <t>FRUGIS REPRESENTACOES LTDA - 11.989.186/0001-70</t>
        </is>
      </c>
      <c r="D125" s="18">
        <f>F125</f>
        <v/>
      </c>
      <c r="E125" s="13" t="inlineStr">
        <is>
          <t>04/2011</t>
        </is>
      </c>
      <c r="F125" s="14" t="n">
        <v>2602.836927840468</v>
      </c>
      <c r="G125" s="14" t="n">
        <v>3471.41</v>
      </c>
      <c r="H125" s="15">
        <f>F125-G125</f>
        <v/>
      </c>
      <c r="I125" s="13" t="inlineStr">
        <is>
          <t>Mantido valor original da base (sem extrato)</t>
        </is>
      </c>
      <c r="J125" s="13" t="inlineStr">
        <is>
          <t>ESTIMADO (média c/ variação)</t>
        </is>
      </c>
      <c r="K125" s="13">
        <f>VALUE(RIGHT(A125,4))</f>
        <v/>
      </c>
    </row>
    <row r="126" ht="15" customHeight="1">
      <c r="A126" s="10" t="inlineStr">
        <is>
          <t>15/06/2011</t>
        </is>
      </c>
      <c r="B126" s="11" t="inlineStr">
        <is>
          <t>TOTAL CENTRO DE DISTRIBUICAO INTEGRADA LTDA - 12.460.301/0001-87</t>
        </is>
      </c>
      <c r="C126" s="11" t="inlineStr">
        <is>
          <t>FRUGIS REPRESENTACOES LTDA - 11.989.186/0001-70</t>
        </is>
      </c>
      <c r="D126" s="12">
        <f>F126</f>
        <v/>
      </c>
      <c r="E126" s="13" t="inlineStr">
        <is>
          <t>05/2011</t>
        </is>
      </c>
      <c r="F126" s="14" t="n">
        <v>2570.218662656206</v>
      </c>
      <c r="G126" s="14" t="n">
        <v>3530.64</v>
      </c>
      <c r="H126" s="15">
        <f>F126-G126</f>
        <v/>
      </c>
      <c r="I126" s="13" t="inlineStr">
        <is>
          <t>Mantido valor original da base (sem extrato)</t>
        </is>
      </c>
      <c r="J126" s="13" t="inlineStr">
        <is>
          <t>ESTIMADO (média c/ variação)</t>
        </is>
      </c>
      <c r="K126" s="13">
        <f>VALUE(RIGHT(A126,4))</f>
        <v/>
      </c>
    </row>
    <row r="127" ht="15" customHeight="1">
      <c r="A127" s="16" t="inlineStr">
        <is>
          <t>15/07/2011</t>
        </is>
      </c>
      <c r="B127" s="17" t="inlineStr">
        <is>
          <t>TOTAL CENTRO DE DISTRIBUICAO INTEGRADA LTDA - 12.460.301/0001-87</t>
        </is>
      </c>
      <c r="C127" s="17" t="inlineStr">
        <is>
          <t>FRUGIS REPRESENTACOES LTDA - 11.989.186/0001-70</t>
        </is>
      </c>
      <c r="D127" s="18">
        <f>F127</f>
        <v/>
      </c>
      <c r="E127" s="13" t="inlineStr">
        <is>
          <t>06/2011</t>
        </is>
      </c>
      <c r="F127" s="14" t="n">
        <v>2670.687843931281</v>
      </c>
      <c r="G127" s="14" t="n">
        <v>3877.72</v>
      </c>
      <c r="H127" s="15">
        <f>F127-G127</f>
        <v/>
      </c>
      <c r="I127" s="13" t="inlineStr">
        <is>
          <t>Mantido valor original da base (sem extrato)</t>
        </is>
      </c>
      <c r="J127" s="13" t="inlineStr">
        <is>
          <t>ESTIMADO (média c/ variação)</t>
        </is>
      </c>
      <c r="K127" s="13">
        <f>VALUE(RIGHT(A127,4))</f>
        <v/>
      </c>
    </row>
    <row r="128" ht="15" customHeight="1">
      <c r="A128" s="10" t="inlineStr">
        <is>
          <t>15/08/2011</t>
        </is>
      </c>
      <c r="B128" s="11" t="inlineStr">
        <is>
          <t>TOTAL CENTRO DE DISTRIBUICAO INTEGRADA LTDA - 12.460.301/0001-87</t>
        </is>
      </c>
      <c r="C128" s="11" t="inlineStr">
        <is>
          <t>FRUGIS REPRESENTACOES LTDA - 11.989.186/0001-70</t>
        </is>
      </c>
      <c r="D128" s="12">
        <f>F128</f>
        <v/>
      </c>
      <c r="E128" s="13" t="inlineStr">
        <is>
          <t>07/2011</t>
        </is>
      </c>
      <c r="F128" s="14" t="n">
        <v>2638.44489159164</v>
      </c>
      <c r="G128" s="14" t="n">
        <v>3728.81</v>
      </c>
      <c r="H128" s="15">
        <f>F128-G128</f>
        <v/>
      </c>
      <c r="I128" s="13" t="inlineStr">
        <is>
          <t>Mantido valor original da base (sem extrato)</t>
        </is>
      </c>
      <c r="J128" s="13" t="inlineStr">
        <is>
          <t>ESTIMADO (média c/ variação)</t>
        </is>
      </c>
      <c r="K128" s="13">
        <f>VALUE(RIGHT(A128,4))</f>
        <v/>
      </c>
    </row>
    <row r="129" ht="15" customHeight="1">
      <c r="A129" s="16" t="inlineStr">
        <is>
          <t>15/09/2011</t>
        </is>
      </c>
      <c r="B129" s="17" t="inlineStr">
        <is>
          <t>TOTAL CENTRO DE DISTRIBUICAO INTEGRADA LTDA - 12.460.301/0001-87</t>
        </is>
      </c>
      <c r="C129" s="17" t="inlineStr">
        <is>
          <t>FRUGIS REPRESENTACOES LTDA - 11.989.186/0001-70</t>
        </is>
      </c>
      <c r="D129" s="18">
        <f>F129</f>
        <v/>
      </c>
      <c r="E129" s="13" t="inlineStr">
        <is>
          <t>08/2011</t>
        </is>
      </c>
      <c r="F129" s="14" t="n">
        <v>2599.130320189299</v>
      </c>
      <c r="G129" s="14" t="n">
        <v>4040.02</v>
      </c>
      <c r="H129" s="15">
        <f>F129-G129</f>
        <v/>
      </c>
      <c r="I129" s="13" t="inlineStr">
        <is>
          <t>Mantido valor original da base (sem extrato)</t>
        </is>
      </c>
      <c r="J129" s="13" t="inlineStr">
        <is>
          <t>ESTIMADO (média c/ variação)</t>
        </is>
      </c>
      <c r="K129" s="13">
        <f>VALUE(RIGHT(A129,4))</f>
        <v/>
      </c>
    </row>
    <row r="130" ht="15" customHeight="1">
      <c r="A130" s="10" t="inlineStr">
        <is>
          <t>15/10/2011</t>
        </is>
      </c>
      <c r="B130" s="11" t="inlineStr">
        <is>
          <t>TOTAL CENTRO DE DISTRIBUICAO INTEGRADA LTDA - 12.460.301/0001-87</t>
        </is>
      </c>
      <c r="C130" s="11" t="inlineStr">
        <is>
          <t>FRUGIS REPRESENTACOES LTDA - 11.989.186/0001-70</t>
        </is>
      </c>
      <c r="D130" s="12">
        <f>F130</f>
        <v/>
      </c>
      <c r="E130" s="13" t="inlineStr">
        <is>
          <t>09/2011</t>
        </is>
      </c>
      <c r="F130" s="14" t="n">
        <v>2563.185241328383</v>
      </c>
      <c r="G130" s="14" t="n">
        <v>4192.88</v>
      </c>
      <c r="H130" s="15">
        <f>F130-G130</f>
        <v/>
      </c>
      <c r="I130" s="13" t="inlineStr">
        <is>
          <t>Mantido valor original da base (sem extrato)</t>
        </is>
      </c>
      <c r="J130" s="13" t="inlineStr">
        <is>
          <t>ESTIMADO (média c/ variação)</t>
        </is>
      </c>
      <c r="K130" s="13">
        <f>VALUE(RIGHT(A130,4))</f>
        <v/>
      </c>
    </row>
    <row r="131" ht="15" customHeight="1">
      <c r="A131" s="16" t="inlineStr">
        <is>
          <t>15/11/2011</t>
        </is>
      </c>
      <c r="B131" s="17" t="inlineStr">
        <is>
          <t>TOTAL CENTRO DE DISTRIBUICAO INTEGRADA LTDA - 12.460.301/0001-87</t>
        </is>
      </c>
      <c r="C131" s="17" t="inlineStr">
        <is>
          <t>FRUGIS REPRESENTACOES LTDA - 11.989.186/0001-70</t>
        </is>
      </c>
      <c r="D131" s="18">
        <f>F131</f>
        <v/>
      </c>
      <c r="E131" s="13" t="inlineStr">
        <is>
          <t>10/2011</t>
        </is>
      </c>
      <c r="F131" s="14" t="n">
        <v>2596.452560066376</v>
      </c>
      <c r="G131" s="14" t="n">
        <v>4283.09</v>
      </c>
      <c r="H131" s="15">
        <f>F131-G131</f>
        <v/>
      </c>
      <c r="I131" s="13" t="inlineStr">
        <is>
          <t>Mantido valor original da base (sem extrato)</t>
        </is>
      </c>
      <c r="J131" s="13" t="inlineStr">
        <is>
          <t>ESTIMADO (média c/ variação)</t>
        </is>
      </c>
      <c r="K131" s="13">
        <f>VALUE(RIGHT(A131,4))</f>
        <v/>
      </c>
    </row>
    <row r="132" ht="15" customHeight="1">
      <c r="A132" s="10" t="inlineStr">
        <is>
          <t>15/12/2011</t>
        </is>
      </c>
      <c r="B132" s="11" t="inlineStr">
        <is>
          <t>TOTAL CENTRO DE DISTRIBUICAO INTEGRADA LTDA - 12.460.301/0001-87</t>
        </is>
      </c>
      <c r="C132" s="11" t="inlineStr">
        <is>
          <t>FRUGIS REPRESENTACOES LTDA - 11.989.186/0001-70</t>
        </is>
      </c>
      <c r="D132" s="12">
        <f>F132</f>
        <v/>
      </c>
      <c r="E132" s="13" t="inlineStr">
        <is>
          <t>11/2011</t>
        </is>
      </c>
      <c r="F132" s="14" t="n">
        <v>2598.361951468582</v>
      </c>
      <c r="G132" s="14" t="n">
        <v>4191.69</v>
      </c>
      <c r="H132" s="15">
        <f>F132-G132</f>
        <v/>
      </c>
      <c r="I132" s="13" t="inlineStr">
        <is>
          <t>Mantido valor original da base (sem extrato)</t>
        </is>
      </c>
      <c r="J132" s="13" t="inlineStr">
        <is>
          <t>ESTIMADO (média c/ variação)</t>
        </is>
      </c>
      <c r="K132" s="13">
        <f>VALUE(RIGHT(A132,4))</f>
        <v/>
      </c>
    </row>
    <row r="133" ht="15" customHeight="1">
      <c r="A133" s="16" t="inlineStr">
        <is>
          <t>15/01/2012</t>
        </is>
      </c>
      <c r="B133" s="17" t="inlineStr">
        <is>
          <t>TOTAL CENTRO DE DISTRIBUICAO INTEGRADA LTDA - 12.460.301/0001-87</t>
        </is>
      </c>
      <c r="C133" s="17" t="inlineStr">
        <is>
          <t>FRUGIS REPRESENTACOES LTDA - 11.989.186/0001-70</t>
        </is>
      </c>
      <c r="D133" s="18">
        <f>F133</f>
        <v/>
      </c>
      <c r="E133" s="13" t="inlineStr">
        <is>
          <t>12/2011</t>
        </is>
      </c>
      <c r="F133" s="14" t="n">
        <v>2652.738510005329</v>
      </c>
      <c r="G133" s="14" t="n">
        <v>3861.13</v>
      </c>
      <c r="H133" s="15">
        <f>F133-G133</f>
        <v/>
      </c>
      <c r="I133" s="13" t="inlineStr">
        <is>
          <t>Mantido valor original da base (sem extrato)</t>
        </is>
      </c>
      <c r="J133" s="13" t="inlineStr">
        <is>
          <t>ESTIMADO (média c/ variação)</t>
        </is>
      </c>
      <c r="K133" s="13">
        <f>VALUE(RIGHT(A133,4))</f>
        <v/>
      </c>
    </row>
    <row r="134" ht="15.6" customHeight="1" thickBot="1">
      <c r="A134" s="31" t="inlineStr">
        <is>
          <t>15/02/2012</t>
        </is>
      </c>
      <c r="B134" s="31" t="inlineStr">
        <is>
          <t>TOTAL CENTRO DE DISTRIBUICAO INTEGRADA LTDA - 12.460.301/0001-87</t>
        </is>
      </c>
      <c r="C134" s="31" t="inlineStr">
        <is>
          <t>FRUGIS REPRESENTACOES LTDA - 11.989.186/0001-70</t>
        </is>
      </c>
      <c r="D134" s="32">
        <f>G134</f>
        <v/>
      </c>
      <c r="E134" s="31" t="inlineStr">
        <is>
          <t>01/2012</t>
        </is>
      </c>
      <c r="F134" s="33" t="n"/>
      <c r="G134" s="33" t="n">
        <v>5189.32</v>
      </c>
      <c r="H134" s="32" t="n"/>
      <c r="I134" s="31" t="inlineStr">
        <is>
          <t>Complementado (não existia na base)</t>
        </is>
      </c>
      <c r="J134" s="31" t="inlineStr">
        <is>
          <t>Extrato conta corrente - Tenda</t>
        </is>
      </c>
      <c r="K134" s="31">
        <f>VALUE(RIGHT(A134,4))</f>
        <v/>
      </c>
    </row>
    <row r="135" ht="15" customHeight="1" thickTop="1">
      <c r="A135" s="31" t="inlineStr">
        <is>
          <t>15/03/2012</t>
        </is>
      </c>
      <c r="B135" s="31" t="inlineStr">
        <is>
          <t>TOTAL CENTRO DE DISTRIBUICAO INTEGRADA LTDA - 12.460.301/0001-87</t>
        </is>
      </c>
      <c r="C135" s="31" t="inlineStr">
        <is>
          <t>FRUGIS REPRESENTACOES LTDA - 11.989.186/0001-70</t>
        </is>
      </c>
      <c r="D135" s="32">
        <f>G135</f>
        <v/>
      </c>
      <c r="E135" s="31" t="inlineStr">
        <is>
          <t>02/2012</t>
        </is>
      </c>
      <c r="F135" s="33" t="n"/>
      <c r="G135" s="33" t="n">
        <v>3832.74</v>
      </c>
      <c r="H135" s="32" t="n"/>
      <c r="I135" s="31" t="inlineStr">
        <is>
          <t>Complementado (não existia na base)</t>
        </is>
      </c>
      <c r="J135" s="31" t="inlineStr">
        <is>
          <t>Extrato conta corrente - Tenda</t>
        </is>
      </c>
      <c r="K135" s="31">
        <f>VALUE(RIGHT(A135,4))</f>
        <v/>
      </c>
    </row>
    <row r="136">
      <c r="A136" s="31" t="inlineStr">
        <is>
          <t>15/04/2012</t>
        </is>
      </c>
      <c r="B136" s="31" t="inlineStr">
        <is>
          <t>TOTAL CENTRO DE DISTRIBUICAO INTEGRADA LTDA - 12.460.301/0001-87</t>
        </is>
      </c>
      <c r="C136" s="31" t="inlineStr">
        <is>
          <t>FRUGIS REPRESENTACOES LTDA - 11.989.186/0001-70</t>
        </is>
      </c>
      <c r="D136" s="32">
        <f>G136</f>
        <v/>
      </c>
      <c r="E136" s="31" t="inlineStr">
        <is>
          <t>03/2012</t>
        </is>
      </c>
      <c r="F136" s="33" t="n"/>
      <c r="G136" s="33" t="n">
        <v>3561.62</v>
      </c>
      <c r="H136" s="32" t="n"/>
      <c r="I136" s="31" t="inlineStr">
        <is>
          <t>Complementado (não existia na base)</t>
        </is>
      </c>
      <c r="J136" s="31" t="inlineStr">
        <is>
          <t>Extrato conta corrente - Tenda</t>
        </is>
      </c>
      <c r="K136" s="31">
        <f>VALUE(RIGHT(A136,4))</f>
        <v/>
      </c>
    </row>
    <row r="137">
      <c r="A137" s="31" t="inlineStr">
        <is>
          <t>15/05/2012</t>
        </is>
      </c>
      <c r="B137" s="31" t="inlineStr">
        <is>
          <t>TOTAL CENTRO DE DISTRIBUICAO INTEGRADA LTDA - 12.460.301/0001-87</t>
        </is>
      </c>
      <c r="C137" s="31" t="inlineStr">
        <is>
          <t>FRUGIS REPRESENTACOES LTDA - 11.989.186/0001-70</t>
        </is>
      </c>
      <c r="D137" s="32">
        <f>G137</f>
        <v/>
      </c>
      <c r="E137" s="31" t="inlineStr">
        <is>
          <t>04/2012</t>
        </is>
      </c>
      <c r="F137" s="33" t="n"/>
      <c r="G137" s="33" t="n">
        <v>3583.48</v>
      </c>
      <c r="H137" s="32" t="n"/>
      <c r="I137" s="31" t="inlineStr">
        <is>
          <t>Complementado (não existia na base)</t>
        </is>
      </c>
      <c r="J137" s="31" t="inlineStr">
        <is>
          <t>Extrato conta corrente - Tenda</t>
        </is>
      </c>
      <c r="K137" s="31">
        <f>VALUE(RIGHT(A137,4))</f>
        <v/>
      </c>
    </row>
    <row r="138">
      <c r="A138" s="31" t="inlineStr">
        <is>
          <t>15/06/2012</t>
        </is>
      </c>
      <c r="B138" s="31" t="inlineStr">
        <is>
          <t>TOTAL CENTRO DE DISTRIBUICAO INTEGRADA LTDA - 12.460.301/0001-87</t>
        </is>
      </c>
      <c r="C138" s="31" t="inlineStr">
        <is>
          <t>FRUGIS REPRESENTACOES LTDA - 11.989.186/0001-70</t>
        </is>
      </c>
      <c r="D138" s="32">
        <f>G138</f>
        <v/>
      </c>
      <c r="E138" s="31" t="inlineStr">
        <is>
          <t>05/2012</t>
        </is>
      </c>
      <c r="F138" s="33" t="n"/>
      <c r="G138" s="33" t="n">
        <v>5454.53</v>
      </c>
      <c r="H138" s="32" t="n"/>
      <c r="I138" s="31" t="inlineStr">
        <is>
          <t>Complementado (não existia na base)</t>
        </is>
      </c>
      <c r="J138" s="31" t="inlineStr">
        <is>
          <t>Extrato conta corrente - Tenda</t>
        </is>
      </c>
      <c r="K138" s="31">
        <f>VALUE(RIGHT(A138,4))</f>
        <v/>
      </c>
    </row>
    <row r="139">
      <c r="A139" s="31" t="inlineStr">
        <is>
          <t>15/07/2012</t>
        </is>
      </c>
      <c r="B139" s="31" t="inlineStr">
        <is>
          <t>TOTAL CENTRO DE DISTRIBUICAO INTEGRADA LTDA - 12.460.301/0001-87</t>
        </is>
      </c>
      <c r="C139" s="31" t="inlineStr">
        <is>
          <t>FRUGIS REPRESENTACOES LTDA - 11.989.186/0001-70</t>
        </is>
      </c>
      <c r="D139" s="32">
        <f>G139</f>
        <v/>
      </c>
      <c r="E139" s="31" t="inlineStr">
        <is>
          <t>06/2012</t>
        </is>
      </c>
      <c r="F139" s="33" t="n"/>
      <c r="G139" s="33" t="n">
        <v>3774.93</v>
      </c>
      <c r="H139" s="32" t="n"/>
      <c r="I139" s="31" t="inlineStr">
        <is>
          <t>Complementado (não existia na base)</t>
        </is>
      </c>
      <c r="J139" s="31" t="inlineStr">
        <is>
          <t>Extrato conta corrente - Tenda</t>
        </is>
      </c>
      <c r="K139" s="31">
        <f>VALUE(RIGHT(A139,4))</f>
        <v/>
      </c>
    </row>
    <row r="140">
      <c r="A140" s="31" t="inlineStr">
        <is>
          <t>15/08/2012</t>
        </is>
      </c>
      <c r="B140" s="31" t="inlineStr">
        <is>
          <t>TOTAL CENTRO DE DISTRIBUICAO INTEGRADA LTDA - 12.460.301/0001-87</t>
        </is>
      </c>
      <c r="C140" s="31" t="inlineStr">
        <is>
          <t>FRUGIS REPRESENTACOES LTDA - 11.989.186/0001-70</t>
        </is>
      </c>
      <c r="D140" s="32">
        <f>G140</f>
        <v/>
      </c>
      <c r="E140" s="31" t="inlineStr">
        <is>
          <t>07/2012</t>
        </is>
      </c>
      <c r="F140" s="33" t="n"/>
      <c r="G140" s="33" t="n">
        <v>3807.7</v>
      </c>
      <c r="H140" s="32" t="n"/>
      <c r="I140" s="31" t="inlineStr">
        <is>
          <t>Complementado (não existia na base)</t>
        </is>
      </c>
      <c r="J140" s="31" t="inlineStr">
        <is>
          <t>Extrato conta corrente - Tenda</t>
        </is>
      </c>
      <c r="K140" s="31">
        <f>VALUE(RIGHT(A140,4))</f>
        <v/>
      </c>
    </row>
    <row r="141">
      <c r="A141" s="31" t="inlineStr">
        <is>
          <t>15/09/2012</t>
        </is>
      </c>
      <c r="B141" s="31" t="inlineStr">
        <is>
          <t>TOTAL CENTRO DE DISTRIBUICAO INTEGRADA LTDA - 12.460.301/0001-87</t>
        </is>
      </c>
      <c r="C141" s="31" t="inlineStr">
        <is>
          <t>FRUGIS REPRESENTACOES LTDA - 11.989.186/0001-70</t>
        </is>
      </c>
      <c r="D141" s="32">
        <f>G141</f>
        <v/>
      </c>
      <c r="E141" s="31" t="inlineStr">
        <is>
          <t>08/2012</t>
        </is>
      </c>
      <c r="F141" s="33" t="n"/>
      <c r="G141" s="33" t="n">
        <v>4823.04</v>
      </c>
      <c r="H141" s="32" t="n"/>
      <c r="I141" s="31" t="inlineStr">
        <is>
          <t>Complementado (não existia na base)</t>
        </is>
      </c>
      <c r="J141" s="31" t="inlineStr">
        <is>
          <t>Extrato conta corrente - Tenda</t>
        </is>
      </c>
      <c r="K141" s="31">
        <f>VALUE(RIGHT(A141,4))</f>
        <v/>
      </c>
    </row>
    <row r="142">
      <c r="A142" s="31" t="inlineStr">
        <is>
          <t>15/10/2012</t>
        </is>
      </c>
      <c r="B142" s="31" t="inlineStr">
        <is>
          <t>TOTAL CENTRO DE DISTRIBUICAO INTEGRADA LTDA - 12.460.301/0001-87</t>
        </is>
      </c>
      <c r="C142" s="31" t="inlineStr">
        <is>
          <t>FRUGIS REPRESENTACOES LTDA - 11.989.186/0001-70</t>
        </is>
      </c>
      <c r="D142" s="32">
        <f>G142</f>
        <v/>
      </c>
      <c r="E142" s="31" t="inlineStr">
        <is>
          <t>09/2012</t>
        </is>
      </c>
      <c r="F142" s="33" t="n"/>
      <c r="G142" s="33" t="n">
        <v>3992.12</v>
      </c>
      <c r="H142" s="32" t="n"/>
      <c r="I142" s="31" t="inlineStr">
        <is>
          <t>Complementado (não existia na base)</t>
        </is>
      </c>
      <c r="J142" s="31" t="inlineStr">
        <is>
          <t>Extrato conta corrente - Tenda</t>
        </is>
      </c>
      <c r="K142" s="31">
        <f>VALUE(RIGHT(A142,4))</f>
        <v/>
      </c>
    </row>
    <row r="143">
      <c r="A143" s="31" t="inlineStr">
        <is>
          <t>15/11/2012</t>
        </is>
      </c>
      <c r="B143" s="31" t="inlineStr">
        <is>
          <t>TOTAL CENTRO DE DISTRIBUICAO INTEGRADA LTDA - 12.460.301/0001-87</t>
        </is>
      </c>
      <c r="C143" s="31" t="inlineStr">
        <is>
          <t>FRUGIS REPRESENTACOES LTDA - 11.989.186/0001-70</t>
        </is>
      </c>
      <c r="D143" s="32">
        <f>G143</f>
        <v/>
      </c>
      <c r="E143" s="31" t="inlineStr">
        <is>
          <t>10/2012</t>
        </is>
      </c>
      <c r="F143" s="33" t="n"/>
      <c r="G143" s="33" t="n">
        <v>4910.5</v>
      </c>
      <c r="H143" s="32" t="n"/>
      <c r="I143" s="31" t="inlineStr">
        <is>
          <t>Complementado (não existia na base)</t>
        </is>
      </c>
      <c r="J143" s="31" t="inlineStr">
        <is>
          <t>Extrato conta corrente - Tenda</t>
        </is>
      </c>
      <c r="K143" s="31">
        <f>VALUE(RIGHT(A143,4))</f>
        <v/>
      </c>
    </row>
    <row r="144">
      <c r="A144" s="31" t="inlineStr">
        <is>
          <t>15/12/2012</t>
        </is>
      </c>
      <c r="B144" s="31" t="inlineStr">
        <is>
          <t>TOTAL CENTRO DE DISTRIBUICAO INTEGRADA LTDA - 12.460.301/0001-87</t>
        </is>
      </c>
      <c r="C144" s="31" t="inlineStr">
        <is>
          <t>FRUGIS REPRESENTACOES LTDA - 11.989.186/0001-70</t>
        </is>
      </c>
      <c r="D144" s="32">
        <f>G144</f>
        <v/>
      </c>
      <c r="E144" s="31" t="inlineStr">
        <is>
          <t>11/2012</t>
        </is>
      </c>
      <c r="F144" s="33" t="n"/>
      <c r="G144" s="33" t="n">
        <v>2820.55</v>
      </c>
      <c r="H144" s="32" t="n"/>
      <c r="I144" s="31" t="inlineStr">
        <is>
          <t>Complementado (não existia na base)</t>
        </is>
      </c>
      <c r="J144" s="31" t="inlineStr">
        <is>
          <t>Extrato conta corrente - Tenda</t>
        </is>
      </c>
      <c r="K144" s="31">
        <f>VALUE(RIGHT(A144,4))</f>
        <v/>
      </c>
    </row>
    <row r="145">
      <c r="A145" s="31" t="inlineStr">
        <is>
          <t>15/01/2013</t>
        </is>
      </c>
      <c r="B145" s="31" t="inlineStr">
        <is>
          <t>TOTAL CENTRO DE DISTRIBUICAO INTEGRADA LTDA - 12.460.301/0001-87</t>
        </is>
      </c>
      <c r="C145" s="31" t="inlineStr">
        <is>
          <t>FRUGIS REPRESENTACOES LTDA - 11.989.186/0001-70</t>
        </is>
      </c>
      <c r="D145" s="32">
        <f>G145</f>
        <v/>
      </c>
      <c r="E145" s="31" t="inlineStr">
        <is>
          <t>12/2012</t>
        </is>
      </c>
      <c r="F145" s="33" t="n"/>
      <c r="G145" s="33" t="n">
        <v>6274.7</v>
      </c>
      <c r="H145" s="32" t="n"/>
      <c r="I145" s="31" t="inlineStr">
        <is>
          <t>Complementado (não existia na base)</t>
        </is>
      </c>
      <c r="J145" s="31" t="inlineStr">
        <is>
          <t>Extrato conta corrente - Tenda</t>
        </is>
      </c>
      <c r="K145" s="31">
        <f>VALUE(RIGHT(A145,4))</f>
        <v/>
      </c>
    </row>
    <row r="146">
      <c r="A146" s="31" t="inlineStr">
        <is>
          <t>15/02/2013</t>
        </is>
      </c>
      <c r="B146" s="31" t="inlineStr">
        <is>
          <t>TOTAL CENTRO DE DISTRIBUICAO INTEGRADA LTDA - 12.460.301/0001-87</t>
        </is>
      </c>
      <c r="C146" s="31" t="inlineStr">
        <is>
          <t>FRUGIS REPRESENTACOES LTDA - 11.989.186/0001-70</t>
        </is>
      </c>
      <c r="D146" s="32">
        <f>G146</f>
        <v/>
      </c>
      <c r="E146" s="31" t="inlineStr">
        <is>
          <t>01/2013</t>
        </is>
      </c>
      <c r="F146" s="33" t="n"/>
      <c r="G146" s="33" t="n">
        <v>4970.35</v>
      </c>
      <c r="H146" s="32" t="n"/>
      <c r="I146" s="31" t="inlineStr">
        <is>
          <t>Complementado (não existia na base)</t>
        </is>
      </c>
      <c r="J146" s="31" t="inlineStr">
        <is>
          <t>Extrato conta corrente - Tenda</t>
        </is>
      </c>
      <c r="K146" s="31">
        <f>VALUE(RIGHT(A146,4))</f>
        <v/>
      </c>
    </row>
    <row r="147">
      <c r="A147" s="31" t="inlineStr">
        <is>
          <t>15/03/2013</t>
        </is>
      </c>
      <c r="B147" s="31" t="inlineStr">
        <is>
          <t>TOTAL CENTRO DE DISTRIBUICAO INTEGRADA LTDA - 12.460.301/0001-87</t>
        </is>
      </c>
      <c r="C147" s="31" t="inlineStr">
        <is>
          <t>FRUGIS REPRESENTACOES LTDA - 11.989.186/0001-70</t>
        </is>
      </c>
      <c r="D147" s="32">
        <f>G147</f>
        <v/>
      </c>
      <c r="E147" s="31" t="inlineStr">
        <is>
          <t>02/2013</t>
        </is>
      </c>
      <c r="F147" s="33" t="n"/>
      <c r="G147" s="33" t="n">
        <v>4659.18</v>
      </c>
      <c r="H147" s="32" t="n"/>
      <c r="I147" s="31" t="inlineStr">
        <is>
          <t>Complementado (não existia na base) - ESTIMADO</t>
        </is>
      </c>
      <c r="J147" s="31" t="inlineStr">
        <is>
          <t>ESTIMADO (média c/ variação)</t>
        </is>
      </c>
      <c r="K147" s="31">
        <f>VALUE(RIGHT(A147,4))</f>
        <v/>
      </c>
    </row>
    <row r="148">
      <c r="A148" s="31" t="inlineStr">
        <is>
          <t>15/04/2013</t>
        </is>
      </c>
      <c r="B148" s="31" t="inlineStr">
        <is>
          <t>TOTAL CENTRO DE DISTRIBUICAO INTEGRADA LTDA - 12.460.301/0001-87</t>
        </is>
      </c>
      <c r="C148" s="31" t="inlineStr">
        <is>
          <t>FRUGIS REPRESENTACOES LTDA - 11.989.186/0001-70</t>
        </is>
      </c>
      <c r="D148" s="32">
        <f>G148</f>
        <v/>
      </c>
      <c r="E148" s="31" t="inlineStr">
        <is>
          <t>03/2013</t>
        </is>
      </c>
      <c r="F148" s="33" t="n"/>
      <c r="G148" s="33" t="n">
        <v>4140.32</v>
      </c>
      <c r="H148" s="32" t="n"/>
      <c r="I148" s="31" t="inlineStr">
        <is>
          <t>Complementado (não existia na base) - ESTIMADO</t>
        </is>
      </c>
      <c r="J148" s="31" t="inlineStr">
        <is>
          <t>ESTIMADO (média c/ variação)</t>
        </is>
      </c>
      <c r="K148" s="31">
        <f>VALUE(RIGHT(A148,4))</f>
        <v/>
      </c>
    </row>
    <row r="149">
      <c r="A149" s="31" t="inlineStr">
        <is>
          <t>15/05/2013</t>
        </is>
      </c>
      <c r="B149" s="31" t="inlineStr">
        <is>
          <t>TOTAL CENTRO DE DISTRIBUICAO INTEGRADA LTDA - 12.460.301/0001-87</t>
        </is>
      </c>
      <c r="C149" s="31" t="inlineStr">
        <is>
          <t>FRUGIS REPRESENTACOES LTDA - 11.989.186/0001-70</t>
        </is>
      </c>
      <c r="D149" s="32">
        <f>G149</f>
        <v/>
      </c>
      <c r="E149" s="31" t="inlineStr">
        <is>
          <t>04/2013</t>
        </is>
      </c>
      <c r="F149" s="33" t="n"/>
      <c r="G149" s="33" t="n">
        <v>5333.82</v>
      </c>
      <c r="H149" s="32" t="n"/>
      <c r="I149" s="31" t="inlineStr">
        <is>
          <t>Complementado (não existia na base) - ESTIMADO</t>
        </is>
      </c>
      <c r="J149" s="31" t="inlineStr">
        <is>
          <t>ESTIMADO (média c/ variação)</t>
        </is>
      </c>
      <c r="K149" s="31">
        <f>VALUE(RIGHT(A149,4))</f>
        <v/>
      </c>
    </row>
    <row r="150">
      <c r="A150" s="31" t="inlineStr">
        <is>
          <t>15/06/2013</t>
        </is>
      </c>
      <c r="B150" s="31" t="inlineStr">
        <is>
          <t>TOTAL CENTRO DE DISTRIBUICAO INTEGRADA LTDA - 12.460.301/0001-87</t>
        </is>
      </c>
      <c r="C150" s="31" t="inlineStr">
        <is>
          <t>FRUGIS REPRESENTACOES LTDA - 11.989.186/0001-70</t>
        </is>
      </c>
      <c r="D150" s="32">
        <f>G150</f>
        <v/>
      </c>
      <c r="E150" s="31" t="inlineStr">
        <is>
          <t>05/2013</t>
        </is>
      </c>
      <c r="F150" s="33" t="n"/>
      <c r="G150" s="33" t="n">
        <v>4977.94</v>
      </c>
      <c r="H150" s="32" t="n"/>
      <c r="I150" s="31" t="inlineStr">
        <is>
          <t>Complementado (não existia na base) - ESTIMADO</t>
        </is>
      </c>
      <c r="J150" s="31" t="inlineStr">
        <is>
          <t>ESTIMADO (média c/ variação)</t>
        </is>
      </c>
      <c r="K150" s="31">
        <f>VALUE(RIGHT(A150,4))</f>
        <v/>
      </c>
    </row>
    <row r="151">
      <c r="A151" s="31" t="inlineStr">
        <is>
          <t>15/07/2013</t>
        </is>
      </c>
      <c r="B151" s="31" t="inlineStr">
        <is>
          <t>TOTAL CENTRO DE DISTRIBUICAO INTEGRADA LTDA - 12.460.301/0001-87</t>
        </is>
      </c>
      <c r="C151" s="31" t="inlineStr">
        <is>
          <t>FRUGIS REPRESENTACOES LTDA - 11.989.186/0001-70</t>
        </is>
      </c>
      <c r="D151" s="32">
        <f>G151</f>
        <v/>
      </c>
      <c r="E151" s="31" t="inlineStr">
        <is>
          <t>06/2013</t>
        </is>
      </c>
      <c r="F151" s="33" t="n"/>
      <c r="G151" s="33" t="n">
        <v>5731.88</v>
      </c>
      <c r="H151" s="32" t="n"/>
      <c r="I151" s="31" t="inlineStr">
        <is>
          <t>Complementado (não existia na base) - ESTIMADO</t>
        </is>
      </c>
      <c r="J151" s="31" t="inlineStr">
        <is>
          <t>ESTIMADO (média c/ variação)</t>
        </is>
      </c>
      <c r="K151" s="31">
        <f>VALUE(RIGHT(A151,4))</f>
        <v/>
      </c>
    </row>
    <row r="152">
      <c r="A152" s="31" t="inlineStr">
        <is>
          <t>15/08/2013</t>
        </is>
      </c>
      <c r="B152" s="31" t="inlineStr">
        <is>
          <t>TOTAL CENTRO DE DISTRIBUICAO INTEGRADA LTDA - 12.460.301/0001-87</t>
        </is>
      </c>
      <c r="C152" s="31" t="inlineStr">
        <is>
          <t>FRUGIS REPRESENTACOES LTDA - 11.989.186/0001-70</t>
        </is>
      </c>
      <c r="D152" s="32">
        <f>G152</f>
        <v/>
      </c>
      <c r="E152" s="31" t="inlineStr">
        <is>
          <t>07/2013</t>
        </is>
      </c>
      <c r="F152" s="33" t="n"/>
      <c r="G152" s="33" t="n">
        <v>5722.05</v>
      </c>
      <c r="H152" s="32" t="n"/>
      <c r="I152" s="31" t="inlineStr">
        <is>
          <t>Complementado (não existia na base) - ESTIMADO</t>
        </is>
      </c>
      <c r="J152" s="31" t="inlineStr">
        <is>
          <t>ESTIMADO (média c/ variação)</t>
        </is>
      </c>
      <c r="K152" s="31">
        <f>VALUE(RIGHT(A152,4))</f>
        <v/>
      </c>
    </row>
    <row r="153">
      <c r="A153" s="31" t="inlineStr">
        <is>
          <t>15/09/2013</t>
        </is>
      </c>
      <c r="B153" s="31" t="inlineStr">
        <is>
          <t>TOTAL CENTRO DE DISTRIBUICAO INTEGRADA LTDA - 12.460.301/0001-87</t>
        </is>
      </c>
      <c r="C153" s="31" t="inlineStr">
        <is>
          <t>FRUGIS REPRESENTACOES LTDA - 11.989.186/0001-70</t>
        </is>
      </c>
      <c r="D153" s="32">
        <f>G153</f>
        <v/>
      </c>
      <c r="E153" s="31" t="inlineStr">
        <is>
          <t>08/2013</t>
        </is>
      </c>
      <c r="F153" s="33" t="n"/>
      <c r="G153" s="33" t="n">
        <v>5905.34</v>
      </c>
      <c r="H153" s="32" t="n"/>
      <c r="I153" s="31" t="inlineStr">
        <is>
          <t>Complementado (não existia na base) - ESTIMADO</t>
        </is>
      </c>
      <c r="J153" s="31" t="inlineStr">
        <is>
          <t>ESTIMADO (média c/ variação)</t>
        </is>
      </c>
      <c r="K153" s="31">
        <f>VALUE(RIGHT(A153,4))</f>
        <v/>
      </c>
    </row>
    <row r="154">
      <c r="A154" s="31" t="inlineStr">
        <is>
          <t>15/10/2013</t>
        </is>
      </c>
      <c r="B154" s="31" t="inlineStr">
        <is>
          <t>TOTAL CENTRO DE DISTRIBUICAO INTEGRADA LTDA - 12.460.301/0001-87</t>
        </is>
      </c>
      <c r="C154" s="31" t="inlineStr">
        <is>
          <t>FRUGIS REPRESENTACOES LTDA - 11.989.186/0001-70</t>
        </is>
      </c>
      <c r="D154" s="32">
        <f>G154</f>
        <v/>
      </c>
      <c r="E154" s="31" t="inlineStr">
        <is>
          <t>09/2013</t>
        </is>
      </c>
      <c r="F154" s="33" t="n"/>
      <c r="G154" s="33" t="n">
        <v>5284.16</v>
      </c>
      <c r="H154" s="32" t="n"/>
      <c r="I154" s="31" t="inlineStr">
        <is>
          <t>Complementado (não existia na base) - ESTIMADO</t>
        </is>
      </c>
      <c r="J154" s="31" t="inlineStr">
        <is>
          <t>ESTIMADO (média c/ variação)</t>
        </is>
      </c>
      <c r="K154" s="31">
        <f>VALUE(RIGHT(A154,4))</f>
        <v/>
      </c>
    </row>
    <row r="155">
      <c r="A155" s="31" t="inlineStr">
        <is>
          <t>15/11/2013</t>
        </is>
      </c>
      <c r="B155" s="31" t="inlineStr">
        <is>
          <t>TOTAL CENTRO DE DISTRIBUICAO INTEGRADA LTDA - 12.460.301/0001-87</t>
        </is>
      </c>
      <c r="C155" s="31" t="inlineStr">
        <is>
          <t>FRUGIS REPRESENTACOES LTDA - 11.989.186/0001-70</t>
        </is>
      </c>
      <c r="D155" s="32">
        <f>G155</f>
        <v/>
      </c>
      <c r="E155" s="31" t="inlineStr">
        <is>
          <t>10/2013</t>
        </is>
      </c>
      <c r="F155" s="33" t="n"/>
      <c r="G155" s="33" t="n">
        <v>5525.47</v>
      </c>
      <c r="H155" s="32" t="n"/>
      <c r="I155" s="31" t="inlineStr">
        <is>
          <t>Complementado (não existia na base) - ESTIMADO</t>
        </is>
      </c>
      <c r="J155" s="31" t="inlineStr">
        <is>
          <t>ESTIMADO (média c/ variação)</t>
        </is>
      </c>
      <c r="K155" s="31">
        <f>VALUE(RIGHT(A155,4))</f>
        <v/>
      </c>
    </row>
    <row r="156">
      <c r="A156" s="31" t="inlineStr">
        <is>
          <t>15/12/2013</t>
        </is>
      </c>
      <c r="B156" s="31" t="inlineStr">
        <is>
          <t>TOTAL CENTRO DE DISTRIBUICAO INTEGRADA LTDA - 12.460.301/0001-87</t>
        </is>
      </c>
      <c r="C156" s="31" t="inlineStr">
        <is>
          <t>FRUGIS REPRESENTACOES LTDA - 11.989.186/0001-70</t>
        </is>
      </c>
      <c r="D156" s="32">
        <f>G156</f>
        <v/>
      </c>
      <c r="E156" s="31" t="inlineStr">
        <is>
          <t>11/2013</t>
        </is>
      </c>
      <c r="F156" s="33" t="n"/>
      <c r="G156" s="33" t="n">
        <v>7039.55</v>
      </c>
      <c r="H156" s="32" t="n"/>
      <c r="I156" s="31" t="inlineStr">
        <is>
          <t>Complementado (não existia na base) - ESTIMADO</t>
        </is>
      </c>
      <c r="J156" s="31" t="inlineStr">
        <is>
          <t>ESTIMADO (média c/ variação)</t>
        </is>
      </c>
      <c r="K156" s="31">
        <f>VALUE(RIGHT(A156,4))</f>
        <v/>
      </c>
    </row>
    <row r="157">
      <c r="A157" s="31" t="inlineStr">
        <is>
          <t>15/01/2014</t>
        </is>
      </c>
      <c r="B157" s="31" t="inlineStr">
        <is>
          <t>TOTAL CENTRO DE DISTRIBUICAO INTEGRADA LTDA - 12.460.301/0001-87</t>
        </is>
      </c>
      <c r="C157" s="31" t="inlineStr">
        <is>
          <t>FRUGIS REPRESENTACOES LTDA - 11.989.186/0001-70</t>
        </is>
      </c>
      <c r="D157" s="32">
        <f>G157</f>
        <v/>
      </c>
      <c r="E157" s="31" t="inlineStr">
        <is>
          <t>12/2013</t>
        </is>
      </c>
      <c r="F157" s="33" t="n"/>
      <c r="G157" s="33" t="n">
        <v>7152.81</v>
      </c>
      <c r="H157" s="32" t="n"/>
      <c r="I157" s="31" t="inlineStr">
        <is>
          <t>Complementado (não existia na base) - ESTIMADO</t>
        </is>
      </c>
      <c r="J157" s="31" t="inlineStr">
        <is>
          <t>ESTIMADO (média c/ variação)</t>
        </is>
      </c>
      <c r="K157" s="31">
        <f>VALUE(RIGHT(A157,4))</f>
        <v/>
      </c>
    </row>
    <row r="158">
      <c r="A158" s="31" t="inlineStr">
        <is>
          <t>15/02/2014</t>
        </is>
      </c>
      <c r="B158" s="31" t="inlineStr">
        <is>
          <t>TOTAL CENTRO DE DISTRIBUICAO INTEGRADA LTDA - 12.460.301/0001-87</t>
        </is>
      </c>
      <c r="C158" s="31" t="inlineStr">
        <is>
          <t>FRUGIS REPRESENTACOES LTDA - 11.989.186/0001-70</t>
        </is>
      </c>
      <c r="D158" s="32">
        <f>G158</f>
        <v/>
      </c>
      <c r="E158" s="31" t="inlineStr">
        <is>
          <t>01/2014</t>
        </is>
      </c>
      <c r="F158" s="33" t="n"/>
      <c r="G158" s="33" t="n">
        <v>7116.41</v>
      </c>
      <c r="H158" s="32" t="n"/>
      <c r="I158" s="31" t="inlineStr">
        <is>
          <t>Complementado (não existia na base) - ESTIMADO</t>
        </is>
      </c>
      <c r="J158" s="31" t="inlineStr">
        <is>
          <t>ESTIMADO (média c/ variação)</t>
        </is>
      </c>
      <c r="K158" s="31">
        <f>VALUE(RIGHT(A158,4))</f>
        <v/>
      </c>
    </row>
    <row r="159">
      <c r="A159" s="31" t="inlineStr">
        <is>
          <t>15/03/2014</t>
        </is>
      </c>
      <c r="B159" s="31" t="inlineStr">
        <is>
          <t>TOTAL CENTRO DE DISTRIBUICAO INTEGRADA LTDA - 12.460.301/0001-87</t>
        </is>
      </c>
      <c r="C159" s="31" t="inlineStr">
        <is>
          <t>FRUGIS REPRESENTACOES LTDA - 11.989.186/0001-70</t>
        </is>
      </c>
      <c r="D159" s="32">
        <f>G159</f>
        <v/>
      </c>
      <c r="E159" s="31" t="inlineStr">
        <is>
          <t>02/2014</t>
        </is>
      </c>
      <c r="F159" s="33" t="n"/>
      <c r="G159" s="33" t="n">
        <v>7707.83</v>
      </c>
      <c r="H159" s="32" t="n"/>
      <c r="I159" s="31" t="inlineStr">
        <is>
          <t>Complementado (não existia na base) - ESTIMADO</t>
        </is>
      </c>
      <c r="J159" s="31" t="inlineStr">
        <is>
          <t>ESTIMADO (média c/ variação)</t>
        </is>
      </c>
      <c r="K159" s="31">
        <f>VALUE(RIGHT(A159,4))</f>
        <v/>
      </c>
    </row>
    <row r="160">
      <c r="A160" s="31" t="inlineStr">
        <is>
          <t>15/04/2014</t>
        </is>
      </c>
      <c r="B160" s="31" t="inlineStr">
        <is>
          <t>TOTAL CENTRO DE DISTRIBUICAO INTEGRADA LTDA - 12.460.301/0001-87</t>
        </is>
      </c>
      <c r="C160" s="31" t="inlineStr">
        <is>
          <t>FRUGIS REPRESENTACOES LTDA - 11.989.186/0001-70</t>
        </is>
      </c>
      <c r="D160" s="32">
        <f>G160</f>
        <v/>
      </c>
      <c r="E160" s="31" t="inlineStr">
        <is>
          <t>03/2014</t>
        </is>
      </c>
      <c r="F160" s="33" t="n"/>
      <c r="G160" s="33" t="n">
        <v>6914.48</v>
      </c>
      <c r="H160" s="32" t="n"/>
      <c r="I160" s="31" t="inlineStr">
        <is>
          <t>Complementado (não existia na base) - ESTIMADO</t>
        </is>
      </c>
      <c r="J160" s="31" t="inlineStr">
        <is>
          <t>ESTIMADO (média c/ variação)</t>
        </is>
      </c>
      <c r="K160" s="31">
        <f>VALUE(RIGHT(A160,4))</f>
        <v/>
      </c>
    </row>
    <row r="161">
      <c r="A161" s="31" t="inlineStr">
        <is>
          <t>15/05/2014</t>
        </is>
      </c>
      <c r="B161" s="31" t="inlineStr">
        <is>
          <t>TOTAL CENTRO DE DISTRIBUICAO INTEGRADA LTDA - 12.460.301/0001-87</t>
        </is>
      </c>
      <c r="C161" s="31" t="inlineStr">
        <is>
          <t>FRUGIS REPRESENTACOES LTDA - 11.989.186/0001-70</t>
        </is>
      </c>
      <c r="D161" s="32">
        <f>G161</f>
        <v/>
      </c>
      <c r="E161" s="31" t="inlineStr">
        <is>
          <t>04/2014</t>
        </is>
      </c>
      <c r="F161" s="33" t="n"/>
      <c r="G161" s="33" t="n">
        <v>6170.91</v>
      </c>
      <c r="H161" s="32" t="n"/>
      <c r="I161" s="31" t="inlineStr">
        <is>
          <t>Complementado (não existia na base) - ESTIMADO</t>
        </is>
      </c>
      <c r="J161" s="31" t="inlineStr">
        <is>
          <t>ESTIMADO (média c/ variação)</t>
        </is>
      </c>
      <c r="K161" s="31">
        <f>VALUE(RIGHT(A161,4))</f>
        <v/>
      </c>
    </row>
    <row r="162">
      <c r="A162" s="31" t="inlineStr">
        <is>
          <t>15/06/2014</t>
        </is>
      </c>
      <c r="B162" s="31" t="inlineStr">
        <is>
          <t>TOTAL CENTRO DE DISTRIBUICAO INTEGRADA LTDA - 12.460.301/0001-87</t>
        </is>
      </c>
      <c r="C162" s="31" t="inlineStr">
        <is>
          <t>FRUGIS REPRESENTACOES LTDA - 11.989.186/0001-70</t>
        </is>
      </c>
      <c r="D162" s="32">
        <f>G162</f>
        <v/>
      </c>
      <c r="E162" s="31" t="inlineStr">
        <is>
          <t>05/2014</t>
        </is>
      </c>
      <c r="F162" s="33" t="n"/>
      <c r="G162" s="33" t="n">
        <v>6905.24</v>
      </c>
      <c r="H162" s="32" t="n"/>
      <c r="I162" s="31" t="inlineStr">
        <is>
          <t>Complementado (não existia na base) - ESTIMADO</t>
        </is>
      </c>
      <c r="J162" s="31" t="inlineStr">
        <is>
          <t>ESTIMADO (média c/ variação)</t>
        </is>
      </c>
      <c r="K162" s="31">
        <f>VALUE(RIGHT(A162,4))</f>
        <v/>
      </c>
    </row>
    <row r="163">
      <c r="A163" s="31" t="inlineStr">
        <is>
          <t>15/07/2014</t>
        </is>
      </c>
      <c r="B163" s="31" t="inlineStr">
        <is>
          <t>TOTAL CENTRO DE DISTRIBUICAO INTEGRADA LTDA - 12.460.301/0001-87</t>
        </is>
      </c>
      <c r="C163" s="31" t="inlineStr">
        <is>
          <t>FRUGIS REPRESENTACOES LTDA - 11.989.186/0001-70</t>
        </is>
      </c>
      <c r="D163" s="32">
        <f>G163</f>
        <v/>
      </c>
      <c r="E163" s="31" t="inlineStr">
        <is>
          <t>06/2014</t>
        </is>
      </c>
      <c r="F163" s="33" t="n"/>
      <c r="G163" s="33" t="n">
        <v>7563.73</v>
      </c>
      <c r="H163" s="32" t="n"/>
      <c r="I163" s="31" t="inlineStr">
        <is>
          <t>Complementado (não existia na base) - ESTIMADO</t>
        </is>
      </c>
      <c r="J163" s="31" t="inlineStr">
        <is>
          <t>ESTIMADO (média c/ variação)</t>
        </is>
      </c>
      <c r="K163" s="31">
        <f>VALUE(RIGHT(A163,4))</f>
        <v/>
      </c>
    </row>
    <row r="164">
      <c r="A164" s="31" t="inlineStr">
        <is>
          <t>15/08/2014</t>
        </is>
      </c>
      <c r="B164" s="31" t="inlineStr">
        <is>
          <t>TOTAL CENTRO DE DISTRIBUICAO INTEGRADA LTDA - 12.460.301/0001-87</t>
        </is>
      </c>
      <c r="C164" s="31" t="inlineStr">
        <is>
          <t>FRUGIS REPRESENTACOES LTDA - 11.989.186/0001-70</t>
        </is>
      </c>
      <c r="D164" s="32">
        <f>G164</f>
        <v/>
      </c>
      <c r="E164" s="31" t="inlineStr">
        <is>
          <t>07/2014</t>
        </is>
      </c>
      <c r="F164" s="33" t="n"/>
      <c r="G164" s="33" t="n">
        <v>7143.61</v>
      </c>
      <c r="H164" s="32" t="n"/>
      <c r="I164" s="31" t="inlineStr">
        <is>
          <t>Complementado (não existia na base) - ESTIMADO</t>
        </is>
      </c>
      <c r="J164" s="31" t="inlineStr">
        <is>
          <t>ESTIMADO (média c/ variação)</t>
        </is>
      </c>
      <c r="K164" s="31">
        <f>VALUE(RIGHT(A164,4))</f>
        <v/>
      </c>
    </row>
    <row r="165">
      <c r="A165" s="31" t="inlineStr">
        <is>
          <t>15/09/2014</t>
        </is>
      </c>
      <c r="B165" s="31" t="inlineStr">
        <is>
          <t>TOTAL CENTRO DE DISTRIBUICAO INTEGRADA LTDA - 12.460.301/0001-87</t>
        </is>
      </c>
      <c r="C165" s="31" t="inlineStr">
        <is>
          <t>FRUGIS REPRESENTACOES LTDA - 11.989.186/0001-70</t>
        </is>
      </c>
      <c r="D165" s="32">
        <f>G165</f>
        <v/>
      </c>
      <c r="E165" s="31" t="inlineStr">
        <is>
          <t>08/2014</t>
        </is>
      </c>
      <c r="F165" s="33" t="n"/>
      <c r="G165" s="33" t="n">
        <v>7702.36</v>
      </c>
      <c r="H165" s="32" t="n"/>
      <c r="I165" s="31" t="inlineStr">
        <is>
          <t>Complementado (não existia na base) - ESTIMADO</t>
        </is>
      </c>
      <c r="J165" s="31" t="inlineStr">
        <is>
          <t>ESTIMADO (média c/ variação)</t>
        </is>
      </c>
      <c r="K165" s="31">
        <f>VALUE(RIGHT(A165,4))</f>
        <v/>
      </c>
    </row>
    <row r="166">
      <c r="A166" s="31" t="inlineStr">
        <is>
          <t>15/10/2014</t>
        </is>
      </c>
      <c r="B166" s="31" t="inlineStr">
        <is>
          <t>TOTAL CENTRO DE DISTRIBUICAO INTEGRADA LTDA - 12.460.301/0001-87</t>
        </is>
      </c>
      <c r="C166" s="31" t="inlineStr">
        <is>
          <t>FRUGIS REPRESENTACOES LTDA - 11.989.186/0001-70</t>
        </is>
      </c>
      <c r="D166" s="32">
        <f>G166</f>
        <v/>
      </c>
      <c r="E166" s="31" t="inlineStr">
        <is>
          <t>09/2014</t>
        </is>
      </c>
      <c r="F166" s="33" t="n"/>
      <c r="G166" s="33" t="n">
        <v>8886.98</v>
      </c>
      <c r="H166" s="32" t="n"/>
      <c r="I166" s="31" t="inlineStr">
        <is>
          <t>Complementado (não existia na base) - ESTIMADO</t>
        </is>
      </c>
      <c r="J166" s="31" t="inlineStr">
        <is>
          <t>ESTIMADO (média c/ variação)</t>
        </is>
      </c>
      <c r="K166" s="31">
        <f>VALUE(RIGHT(A166,4))</f>
        <v/>
      </c>
    </row>
    <row r="167">
      <c r="A167" s="31" t="inlineStr">
        <is>
          <t>15/11/2014</t>
        </is>
      </c>
      <c r="B167" s="31" t="inlineStr">
        <is>
          <t>TOTAL CENTRO DE DISTRIBUICAO INTEGRADA LTDA - 12.460.301/0001-87</t>
        </is>
      </c>
      <c r="C167" s="31" t="inlineStr">
        <is>
          <t>FRUGIS REPRESENTACOES LTDA - 11.989.186/0001-70</t>
        </is>
      </c>
      <c r="D167" s="32">
        <f>G167</f>
        <v/>
      </c>
      <c r="E167" s="31" t="inlineStr">
        <is>
          <t>10/2014</t>
        </is>
      </c>
      <c r="F167" s="33" t="n"/>
      <c r="G167" s="33" t="n">
        <v>8668.549999999999</v>
      </c>
      <c r="H167" s="32" t="n"/>
      <c r="I167" s="31" t="inlineStr">
        <is>
          <t>Complementado (não existia na base) - ESTIMADO</t>
        </is>
      </c>
      <c r="J167" s="31" t="inlineStr">
        <is>
          <t>ESTIMADO (média c/ variação)</t>
        </is>
      </c>
      <c r="K167" s="31">
        <f>VALUE(RIGHT(A167,4))</f>
        <v/>
      </c>
    </row>
    <row r="168">
      <c r="A168" s="31" t="inlineStr">
        <is>
          <t>15/12/2014</t>
        </is>
      </c>
      <c r="B168" s="31" t="inlineStr">
        <is>
          <t>TOTAL CENTRO DE DISTRIBUICAO INTEGRADA LTDA - 12.460.301/0001-87</t>
        </is>
      </c>
      <c r="C168" s="31" t="inlineStr">
        <is>
          <t>FRUGIS REPRESENTACOES LTDA - 11.989.186/0001-70</t>
        </is>
      </c>
      <c r="D168" s="32">
        <f>G168</f>
        <v/>
      </c>
      <c r="E168" s="31" t="inlineStr">
        <is>
          <t>11/2014</t>
        </is>
      </c>
      <c r="F168" s="33" t="n"/>
      <c r="G168" s="33" t="n">
        <v>8545.59</v>
      </c>
      <c r="H168" s="32" t="n"/>
      <c r="I168" s="31" t="inlineStr">
        <is>
          <t>Complementado (não existia na base) - ESTIMADO</t>
        </is>
      </c>
      <c r="J168" s="31" t="inlineStr">
        <is>
          <t>ESTIMADO (média c/ variação)</t>
        </is>
      </c>
      <c r="K168" s="31">
        <f>VALUE(RIGHT(A168,4))</f>
        <v/>
      </c>
    </row>
    <row r="169">
      <c r="A169" s="31" t="inlineStr">
        <is>
          <t>15/01/2015</t>
        </is>
      </c>
      <c r="B169" s="31" t="inlineStr">
        <is>
          <t>TOTAL CENTRO DE DISTRIBUICAO INTEGRADA LTDA - 12.460.301/0001-87</t>
        </is>
      </c>
      <c r="C169" s="31" t="inlineStr">
        <is>
          <t>FRUGIS REPRESENTACOES LTDA - 11.989.186/0001-70</t>
        </is>
      </c>
      <c r="D169" s="32">
        <f>G169</f>
        <v/>
      </c>
      <c r="E169" s="31" t="inlineStr">
        <is>
          <t>12/2014</t>
        </is>
      </c>
      <c r="F169" s="33" t="n"/>
      <c r="G169" s="33" t="n">
        <v>7317.93</v>
      </c>
      <c r="H169" s="32" t="n"/>
      <c r="I169" s="31" t="inlineStr">
        <is>
          <t>Complementado (não existia na base) - ESTIMADO</t>
        </is>
      </c>
      <c r="J169" s="31" t="inlineStr">
        <is>
          <t>ESTIMADO (média c/ variação)</t>
        </is>
      </c>
      <c r="K169" s="31">
        <f>VALUE(RIGHT(A169,4))</f>
        <v/>
      </c>
    </row>
    <row r="170">
      <c r="A170" s="31" t="inlineStr">
        <is>
          <t>15/02/2015</t>
        </is>
      </c>
      <c r="B170" s="31" t="inlineStr">
        <is>
          <t>TOTAL CENTRO DE DISTRIBUICAO INTEGRADA LTDA - 12.460.301/0001-87</t>
        </is>
      </c>
      <c r="C170" s="31" t="inlineStr">
        <is>
          <t>FRUGIS REPRESENTACOES LTDA - 11.989.186/0001-70</t>
        </is>
      </c>
      <c r="D170" s="32">
        <f>G170</f>
        <v/>
      </c>
      <c r="E170" s="31" t="inlineStr">
        <is>
          <t>01/2015</t>
        </is>
      </c>
      <c r="F170" s="33" t="n"/>
      <c r="G170" s="33" t="n">
        <v>9270.08</v>
      </c>
      <c r="H170" s="32" t="n"/>
      <c r="I170" s="31" t="inlineStr">
        <is>
          <t>Complementado (não existia na base) - ESTIMADO</t>
        </is>
      </c>
      <c r="J170" s="31" t="inlineStr">
        <is>
          <t>ESTIMADO (média c/ variação)</t>
        </is>
      </c>
      <c r="K170" s="31">
        <f>VALUE(RIGHT(A170,4))</f>
        <v/>
      </c>
    </row>
    <row r="171">
      <c r="A171" s="31" t="inlineStr">
        <is>
          <t>15/03/2015</t>
        </is>
      </c>
      <c r="B171" s="31" t="inlineStr">
        <is>
          <t>TOTAL CENTRO DE DISTRIBUICAO INTEGRADA LTDA - 12.460.301/0001-87</t>
        </is>
      </c>
      <c r="C171" s="31" t="inlineStr">
        <is>
          <t>FRUGIS REPRESENTACOES LTDA - 11.989.186/0001-70</t>
        </is>
      </c>
      <c r="D171" s="32">
        <f>G171</f>
        <v/>
      </c>
      <c r="E171" s="31" t="inlineStr">
        <is>
          <t>02/2015</t>
        </is>
      </c>
      <c r="F171" s="33" t="n"/>
      <c r="G171" s="33" t="n">
        <v>8537.35</v>
      </c>
      <c r="H171" s="32" t="n"/>
      <c r="I171" s="31" t="inlineStr">
        <is>
          <t>Complementado (não existia na base) - ESTIMADO</t>
        </is>
      </c>
      <c r="J171" s="31" t="inlineStr">
        <is>
          <t>ESTIMADO (média c/ variação)</t>
        </is>
      </c>
      <c r="K171" s="31">
        <f>VALUE(RIGHT(A171,4))</f>
        <v/>
      </c>
    </row>
    <row r="172">
      <c r="A172" s="31" t="inlineStr">
        <is>
          <t>15/04/2015</t>
        </is>
      </c>
      <c r="B172" s="31" t="inlineStr">
        <is>
          <t>TOTAL CENTRO DE DISTRIBUICAO INTEGRADA LTDA - 12.460.301/0001-87</t>
        </is>
      </c>
      <c r="C172" s="31" t="inlineStr">
        <is>
          <t>FRUGIS REPRESENTACOES LTDA - 11.989.186/0001-70</t>
        </is>
      </c>
      <c r="D172" s="32">
        <f>G172</f>
        <v/>
      </c>
      <c r="E172" s="31" t="inlineStr">
        <is>
          <t>03/2015</t>
        </is>
      </c>
      <c r="F172" s="33" t="n"/>
      <c r="G172" s="33" t="n">
        <v>8872.950000000001</v>
      </c>
      <c r="H172" s="32" t="n"/>
      <c r="I172" s="31" t="inlineStr">
        <is>
          <t>Complementado (não existia na base) - ESTIMADO</t>
        </is>
      </c>
      <c r="J172" s="31" t="inlineStr">
        <is>
          <t>ESTIMADO (média c/ variação)</t>
        </is>
      </c>
      <c r="K172" s="31">
        <f>VALUE(RIGHT(A172,4))</f>
        <v/>
      </c>
    </row>
    <row r="173">
      <c r="A173" s="31" t="inlineStr">
        <is>
          <t>15/05/2015</t>
        </is>
      </c>
      <c r="B173" s="31" t="inlineStr">
        <is>
          <t>TOTAL CENTRO DE DISTRIBUICAO INTEGRADA LTDA - 12.460.301/0001-87</t>
        </is>
      </c>
      <c r="C173" s="31" t="inlineStr">
        <is>
          <t>FRUGIS REPRESENTACOES LTDA - 11.989.186/0001-70</t>
        </is>
      </c>
      <c r="D173" s="32">
        <f>G173</f>
        <v/>
      </c>
      <c r="E173" s="31" t="inlineStr">
        <is>
          <t>04/2015</t>
        </is>
      </c>
      <c r="F173" s="33" t="n"/>
      <c r="G173" s="33" t="n">
        <v>8986.07</v>
      </c>
      <c r="H173" s="32" t="n"/>
      <c r="I173" s="31" t="inlineStr">
        <is>
          <t>Complementado (não existia na base) - ESTIMADO</t>
        </is>
      </c>
      <c r="J173" s="31" t="inlineStr">
        <is>
          <t>ESTIMADO (média c/ variação)</t>
        </is>
      </c>
      <c r="K173" s="31">
        <f>VALUE(RIGHT(A173,4))</f>
        <v/>
      </c>
    </row>
    <row r="174">
      <c r="A174" s="31" t="inlineStr">
        <is>
          <t>15/06/2015</t>
        </is>
      </c>
      <c r="B174" s="31" t="inlineStr">
        <is>
          <t>TOTAL CENTRO DE DISTRIBUICAO INTEGRADA LTDA - 12.460.301/0001-87</t>
        </is>
      </c>
      <c r="C174" s="31" t="inlineStr">
        <is>
          <t>FRUGIS REPRESENTACOES LTDA - 11.989.186/0001-70</t>
        </is>
      </c>
      <c r="D174" s="32">
        <f>G174</f>
        <v/>
      </c>
      <c r="E174" s="31" t="inlineStr">
        <is>
          <t>05/2015</t>
        </is>
      </c>
      <c r="F174" s="33" t="n"/>
      <c r="G174" s="33" t="n">
        <v>9693.9</v>
      </c>
      <c r="H174" s="32" t="n"/>
      <c r="I174" s="31" t="inlineStr">
        <is>
          <t>Complementado (não existia na base) - ESTIMADO</t>
        </is>
      </c>
      <c r="J174" s="31" t="inlineStr">
        <is>
          <t>ESTIMADO (média c/ variação)</t>
        </is>
      </c>
      <c r="K174" s="31">
        <f>VALUE(RIGHT(A174,4))</f>
        <v/>
      </c>
    </row>
    <row r="175">
      <c r="A175" s="31" t="inlineStr">
        <is>
          <t>15/07/2015</t>
        </is>
      </c>
      <c r="B175" s="31" t="inlineStr">
        <is>
          <t>TOTAL CENTRO DE DISTRIBUICAO INTEGRADA LTDA - 12.460.301/0001-87</t>
        </is>
      </c>
      <c r="C175" s="31" t="inlineStr">
        <is>
          <t>FRUGIS REPRESENTACOES LTDA - 11.989.186/0001-70</t>
        </is>
      </c>
      <c r="D175" s="32">
        <f>G175</f>
        <v/>
      </c>
      <c r="E175" s="31" t="inlineStr">
        <is>
          <t>06/2015</t>
        </is>
      </c>
      <c r="F175" s="33" t="n"/>
      <c r="G175" s="33" t="n">
        <v>9629.389999999999</v>
      </c>
      <c r="H175" s="32" t="n"/>
      <c r="I175" s="31" t="inlineStr">
        <is>
          <t>Complementado (não existia na base) - ESTIMADO</t>
        </is>
      </c>
      <c r="J175" s="31" t="inlineStr">
        <is>
          <t>ESTIMADO (média c/ variação)</t>
        </is>
      </c>
      <c r="K175" s="31">
        <f>VALUE(RIGHT(A175,4))</f>
        <v/>
      </c>
    </row>
    <row r="176">
      <c r="A176" s="31" t="inlineStr">
        <is>
          <t>15/08/2015</t>
        </is>
      </c>
      <c r="B176" s="31" t="inlineStr">
        <is>
          <t>TOTAL CENTRO DE DISTRIBUICAO INTEGRADA LTDA - 12.460.301/0001-87</t>
        </is>
      </c>
      <c r="C176" s="31" t="inlineStr">
        <is>
          <t>FRUGIS REPRESENTACOES LTDA - 11.989.186/0001-70</t>
        </is>
      </c>
      <c r="D176" s="32">
        <f>G176</f>
        <v/>
      </c>
      <c r="E176" s="31" t="inlineStr">
        <is>
          <t>07/2015</t>
        </is>
      </c>
      <c r="F176" s="33" t="n"/>
      <c r="G176" s="33" t="n">
        <v>8687.43</v>
      </c>
      <c r="H176" s="32" t="n"/>
      <c r="I176" s="31" t="inlineStr">
        <is>
          <t>Complementado (não existia na base) - ESTIMADO</t>
        </is>
      </c>
      <c r="J176" s="31" t="inlineStr">
        <is>
          <t>ESTIMADO (média c/ variação)</t>
        </is>
      </c>
      <c r="K176" s="31">
        <f>VALUE(RIGHT(A176,4))</f>
        <v/>
      </c>
    </row>
    <row r="177">
      <c r="A177" s="31" t="inlineStr">
        <is>
          <t>15/09/2015</t>
        </is>
      </c>
      <c r="B177" s="31" t="inlineStr">
        <is>
          <t>TOTAL CENTRO DE DISTRIBUICAO INTEGRADA LTDA - 12.460.301/0001-87</t>
        </is>
      </c>
      <c r="C177" s="31" t="inlineStr">
        <is>
          <t>FRUGIS REPRESENTACOES LTDA - 11.989.186/0001-70</t>
        </is>
      </c>
      <c r="D177" s="32">
        <f>G177</f>
        <v/>
      </c>
      <c r="E177" s="31" t="inlineStr">
        <is>
          <t>08/2015</t>
        </is>
      </c>
      <c r="F177" s="33" t="n"/>
      <c r="G177" s="33" t="n">
        <v>10019.61</v>
      </c>
      <c r="H177" s="32" t="n"/>
      <c r="I177" s="31" t="inlineStr">
        <is>
          <t>Complementado (não existia na base) - ESTIMADO</t>
        </is>
      </c>
      <c r="J177" s="31" t="inlineStr">
        <is>
          <t>ESTIMADO (média c/ variação)</t>
        </is>
      </c>
      <c r="K177" s="31">
        <f>VALUE(RIGHT(A177,4))</f>
        <v/>
      </c>
    </row>
    <row r="178">
      <c r="A178" s="31" t="inlineStr">
        <is>
          <t>15/10/2015</t>
        </is>
      </c>
      <c r="B178" s="31" t="inlineStr">
        <is>
          <t>TOTAL CENTRO DE DISTRIBUICAO INTEGRADA LTDA - 12.460.301/0001-87</t>
        </is>
      </c>
      <c r="C178" s="31" t="inlineStr">
        <is>
          <t>FRUGIS REPRESENTACOES LTDA - 11.989.186/0001-70</t>
        </is>
      </c>
      <c r="D178" s="32">
        <f>G178</f>
        <v/>
      </c>
      <c r="E178" s="31" t="inlineStr">
        <is>
          <t>09/2015</t>
        </is>
      </c>
      <c r="F178" s="33" t="n"/>
      <c r="G178" s="33" t="n">
        <v>10947.59</v>
      </c>
      <c r="H178" s="32" t="n"/>
      <c r="I178" s="31" t="inlineStr">
        <is>
          <t>Complementado (não existia na base) - ESTIMADO</t>
        </is>
      </c>
      <c r="J178" s="31" t="inlineStr">
        <is>
          <t>ESTIMADO (média c/ variação)</t>
        </is>
      </c>
      <c r="K178" s="31">
        <f>VALUE(RIGHT(A178,4))</f>
        <v/>
      </c>
    </row>
    <row r="179">
      <c r="A179" s="31" t="inlineStr">
        <is>
          <t>15/11/2015</t>
        </is>
      </c>
      <c r="B179" s="31" t="inlineStr">
        <is>
          <t>TOTAL CENTRO DE DISTRIBUICAO INTEGRADA LTDA - 12.460.301/0001-87</t>
        </is>
      </c>
      <c r="C179" s="31" t="inlineStr">
        <is>
          <t>FRUGIS REPRESENTACOES LTDA - 11.989.186/0001-70</t>
        </is>
      </c>
      <c r="D179" s="32">
        <f>G179</f>
        <v/>
      </c>
      <c r="E179" s="31" t="inlineStr">
        <is>
          <t>10/2015</t>
        </is>
      </c>
      <c r="F179" s="33" t="n"/>
      <c r="G179" s="33" t="n">
        <v>10678.01</v>
      </c>
      <c r="H179" s="32" t="n"/>
      <c r="I179" s="31" t="inlineStr">
        <is>
          <t>Complementado (não existia na base) - ESTIMADO</t>
        </is>
      </c>
      <c r="J179" s="31" t="inlineStr">
        <is>
          <t>ESTIMADO (média c/ variação)</t>
        </is>
      </c>
      <c r="K179" s="31">
        <f>VALUE(RIGHT(A179,4))</f>
        <v/>
      </c>
    </row>
    <row r="180">
      <c r="A180" s="31" t="inlineStr">
        <is>
          <t>15/12/2015</t>
        </is>
      </c>
      <c r="B180" s="31" t="inlineStr">
        <is>
          <t>TOTAL CENTRO DE DISTRIBUICAO INTEGRADA LTDA - 12.460.301/0001-87</t>
        </is>
      </c>
      <c r="C180" s="31" t="inlineStr">
        <is>
          <t>FRUGIS REPRESENTACOES LTDA - 11.989.186/0001-70</t>
        </is>
      </c>
      <c r="D180" s="32">
        <f>G180</f>
        <v/>
      </c>
      <c r="E180" s="31" t="inlineStr">
        <is>
          <t>11/2015</t>
        </is>
      </c>
      <c r="F180" s="33" t="n"/>
      <c r="G180" s="33" t="n">
        <v>10521.72</v>
      </c>
      <c r="H180" s="32" t="n"/>
      <c r="I180" s="31" t="inlineStr">
        <is>
          <t>Complementado (não existia na base) - ESTIMADO</t>
        </is>
      </c>
      <c r="J180" s="31" t="inlineStr">
        <is>
          <t>ESTIMADO (média c/ variação)</t>
        </is>
      </c>
      <c r="K180" s="31">
        <f>VALUE(RIGHT(A180,4))</f>
        <v/>
      </c>
    </row>
    <row r="181">
      <c r="A181" s="31" t="inlineStr">
        <is>
          <t>15/01/2016</t>
        </is>
      </c>
      <c r="B181" s="31" t="inlineStr">
        <is>
          <t>TOTAL CENTRO DE DISTRIBUICAO INTEGRADA LTDA - 12.460.301/0001-87</t>
        </is>
      </c>
      <c r="C181" s="31" t="inlineStr">
        <is>
          <t>FRUGIS REPRESENTACOES LTDA - 11.989.186/0001-70</t>
        </is>
      </c>
      <c r="D181" s="32">
        <f>G181</f>
        <v/>
      </c>
      <c r="E181" s="31" t="inlineStr">
        <is>
          <t>12/2015</t>
        </is>
      </c>
      <c r="F181" s="33" t="n"/>
      <c r="G181" s="33" t="n">
        <v>12075.07</v>
      </c>
      <c r="H181" s="32" t="n"/>
      <c r="I181" s="31" t="inlineStr">
        <is>
          <t>Complementado (não existia na base) - ESTIMADO</t>
        </is>
      </c>
      <c r="J181" s="31" t="inlineStr">
        <is>
          <t>ESTIMADO (média c/ variação)</t>
        </is>
      </c>
      <c r="K181" s="31">
        <f>VALUE(RIGHT(A181,4))</f>
        <v/>
      </c>
    </row>
    <row r="182">
      <c r="A182" s="31" t="inlineStr">
        <is>
          <t>15/02/2016</t>
        </is>
      </c>
      <c r="B182" s="31" t="inlineStr">
        <is>
          <t>TOTAL CENTRO DE DISTRIBUICAO INTEGRADA LTDA - 12.460.301/0001-87</t>
        </is>
      </c>
      <c r="C182" s="31" t="inlineStr">
        <is>
          <t>FRUGIS REPRESENTACOES LTDA - 11.989.186/0001-70</t>
        </is>
      </c>
      <c r="D182" s="32">
        <f>G182</f>
        <v/>
      </c>
      <c r="E182" s="31" t="inlineStr">
        <is>
          <t>01/2016</t>
        </is>
      </c>
      <c r="F182" s="33" t="n"/>
      <c r="G182" s="33" t="n">
        <v>10126.24</v>
      </c>
      <c r="H182" s="32" t="n"/>
      <c r="I182" s="31" t="inlineStr">
        <is>
          <t>Complementado (não existia na base) - ESTIMADO</t>
        </is>
      </c>
      <c r="J182" s="31" t="inlineStr">
        <is>
          <t>ESTIMADO (média c/ variação)</t>
        </is>
      </c>
      <c r="K182" s="31">
        <f>VALUE(RIGHT(A182,4))</f>
        <v/>
      </c>
    </row>
    <row r="183">
      <c r="A183" s="31" t="inlineStr">
        <is>
          <t>15/03/2016</t>
        </is>
      </c>
      <c r="B183" s="31" t="inlineStr">
        <is>
          <t>TOTAL CENTRO DE DISTRIBUICAO INTEGRADA LTDA - 12.460.301/0001-87</t>
        </is>
      </c>
      <c r="C183" s="31" t="inlineStr">
        <is>
          <t>FRUGIS REPRESENTACOES LTDA - 11.989.186/0001-70</t>
        </is>
      </c>
      <c r="D183" s="32">
        <f>G183</f>
        <v/>
      </c>
      <c r="E183" s="31" t="inlineStr">
        <is>
          <t>02/2016</t>
        </is>
      </c>
      <c r="F183" s="33" t="n"/>
      <c r="G183" s="33" t="n">
        <v>10833.4</v>
      </c>
      <c r="H183" s="32" t="n"/>
      <c r="I183" s="31" t="inlineStr">
        <is>
          <t>Complementado (não existia na base) - ESTIMADO</t>
        </is>
      </c>
      <c r="J183" s="31" t="inlineStr">
        <is>
          <t>ESTIMADO (média c/ variação)</t>
        </is>
      </c>
      <c r="K183" s="31">
        <f>VALUE(RIGHT(A183,4))</f>
        <v/>
      </c>
    </row>
    <row r="184">
      <c r="A184" s="31" t="inlineStr">
        <is>
          <t>15/04/2016</t>
        </is>
      </c>
      <c r="B184" s="31" t="inlineStr">
        <is>
          <t>TOTAL CENTRO DE DISTRIBUICAO INTEGRADA LTDA - 12.460.301/0001-87</t>
        </is>
      </c>
      <c r="C184" s="31" t="inlineStr">
        <is>
          <t>FRUGIS REPRESENTACOES LTDA - 11.989.186/0001-70</t>
        </is>
      </c>
      <c r="D184" s="32">
        <f>G184</f>
        <v/>
      </c>
      <c r="E184" s="31" t="inlineStr">
        <is>
          <t>03/2016</t>
        </is>
      </c>
      <c r="F184" s="33" t="n"/>
      <c r="G184" s="33" t="n">
        <v>12726.09</v>
      </c>
      <c r="H184" s="32" t="n"/>
      <c r="I184" s="31" t="inlineStr">
        <is>
          <t>Complementado (não existia na base) - ESTIMADO</t>
        </is>
      </c>
      <c r="J184" s="31" t="inlineStr">
        <is>
          <t>ESTIMADO (média c/ variação)</t>
        </is>
      </c>
      <c r="K184" s="31">
        <f>VALUE(RIGHT(A184,4))</f>
        <v/>
      </c>
    </row>
    <row r="185">
      <c r="A185" s="31" t="inlineStr">
        <is>
          <t>15/05/2016</t>
        </is>
      </c>
      <c r="B185" s="31" t="inlineStr">
        <is>
          <t>TOTAL CENTRO DE DISTRIBUICAO INTEGRADA LTDA - 12.460.301/0001-87</t>
        </is>
      </c>
      <c r="C185" s="31" t="inlineStr">
        <is>
          <t>FRUGIS REPRESENTACOES LTDA - 11.989.186/0001-70</t>
        </is>
      </c>
      <c r="D185" s="32">
        <f>G185</f>
        <v/>
      </c>
      <c r="E185" s="31" t="inlineStr">
        <is>
          <t>04/2016</t>
        </is>
      </c>
      <c r="F185" s="33" t="n"/>
      <c r="G185" s="33" t="n">
        <v>11395.1</v>
      </c>
      <c r="H185" s="32" t="n"/>
      <c r="I185" s="31" t="inlineStr">
        <is>
          <t>Complementado (não existia na base) - ESTIMADO</t>
        </is>
      </c>
      <c r="J185" s="31" t="inlineStr">
        <is>
          <t>ESTIMADO (média c/ variação)</t>
        </is>
      </c>
      <c r="K185" s="31">
        <f>VALUE(RIGHT(A185,4))</f>
        <v/>
      </c>
    </row>
    <row r="186">
      <c r="A186" s="31" t="inlineStr">
        <is>
          <t>15/06/2016</t>
        </is>
      </c>
      <c r="B186" s="31" t="inlineStr">
        <is>
          <t>TOTAL CENTRO DE DISTRIBUICAO INTEGRADA LTDA - 12.460.301/0001-87</t>
        </is>
      </c>
      <c r="C186" s="31" t="inlineStr">
        <is>
          <t>FRUGIS REPRESENTACOES LTDA - 11.989.186/0001-70</t>
        </is>
      </c>
      <c r="D186" s="32">
        <f>G186</f>
        <v/>
      </c>
      <c r="E186" s="31" t="inlineStr">
        <is>
          <t>05/2016</t>
        </is>
      </c>
      <c r="F186" s="33" t="n"/>
      <c r="G186" s="33" t="n">
        <v>11712.3</v>
      </c>
      <c r="H186" s="32" t="n"/>
      <c r="I186" s="31" t="inlineStr">
        <is>
          <t>Complementado (não existia na base) - ESTIMADO</t>
        </is>
      </c>
      <c r="J186" s="31" t="inlineStr">
        <is>
          <t>ESTIMADO (média c/ variação)</t>
        </is>
      </c>
      <c r="K186" s="31">
        <f>VALUE(RIGHT(A186,4))</f>
        <v/>
      </c>
    </row>
    <row r="187">
      <c r="A187" s="31" t="inlineStr">
        <is>
          <t>15/07/2016</t>
        </is>
      </c>
      <c r="B187" s="31" t="inlineStr">
        <is>
          <t>TOTAL CENTRO DE DISTRIBUICAO INTEGRADA LTDA - 12.460.301/0001-87</t>
        </is>
      </c>
      <c r="C187" s="31" t="inlineStr">
        <is>
          <t>FRUGIS REPRESENTACOES LTDA - 11.989.186/0001-70</t>
        </is>
      </c>
      <c r="D187" s="32">
        <f>G187</f>
        <v/>
      </c>
      <c r="E187" s="31" t="inlineStr">
        <is>
          <t>06/2016</t>
        </is>
      </c>
      <c r="F187" s="33" t="n"/>
      <c r="G187" s="33" t="n">
        <v>10147.63</v>
      </c>
      <c r="H187" s="32" t="n"/>
      <c r="I187" s="31" t="inlineStr">
        <is>
          <t>Complementado (não existia na base) - ESTIMADO</t>
        </is>
      </c>
      <c r="J187" s="31" t="inlineStr">
        <is>
          <t>ESTIMADO (média c/ variação)</t>
        </is>
      </c>
      <c r="K187" s="31">
        <f>VALUE(RIGHT(A187,4))</f>
        <v/>
      </c>
    </row>
    <row r="188">
      <c r="A188" s="31" t="inlineStr">
        <is>
          <t>15/08/2016</t>
        </is>
      </c>
      <c r="B188" s="31" t="inlineStr">
        <is>
          <t>TOTAL CENTRO DE DISTRIBUICAO INTEGRADA LTDA - 12.460.301/0001-87</t>
        </is>
      </c>
      <c r="C188" s="31" t="inlineStr">
        <is>
          <t>FRUGIS REPRESENTACOES LTDA - 11.989.186/0001-70</t>
        </is>
      </c>
      <c r="D188" s="32">
        <f>G188</f>
        <v/>
      </c>
      <c r="E188" s="31" t="inlineStr">
        <is>
          <t>07/2016</t>
        </is>
      </c>
      <c r="F188" s="33" t="n"/>
      <c r="G188" s="33" t="n">
        <v>11023.28</v>
      </c>
      <c r="H188" s="32" t="n"/>
      <c r="I188" s="31" t="inlineStr">
        <is>
          <t>Complementado (não existia na base) - ESTIMADO</t>
        </is>
      </c>
      <c r="J188" s="31" t="inlineStr">
        <is>
          <t>ESTIMADO (média c/ variação)</t>
        </is>
      </c>
      <c r="K188" s="31">
        <f>VALUE(RIGHT(A188,4))</f>
        <v/>
      </c>
    </row>
    <row r="189">
      <c r="A189" s="31" t="inlineStr">
        <is>
          <t>15/09/2016</t>
        </is>
      </c>
      <c r="B189" s="31" t="inlineStr">
        <is>
          <t>TOTAL CENTRO DE DISTRIBUICAO INTEGRADA LTDA - 12.460.301/0001-87</t>
        </is>
      </c>
      <c r="C189" s="31" t="inlineStr">
        <is>
          <t>FRUGIS REPRESENTACOES LTDA - 11.989.186/0001-70</t>
        </is>
      </c>
      <c r="D189" s="32">
        <f>G189</f>
        <v/>
      </c>
      <c r="E189" s="31" t="inlineStr">
        <is>
          <t>08/2016</t>
        </is>
      </c>
      <c r="F189" s="33" t="n"/>
      <c r="G189" s="33" t="n">
        <v>10841.24</v>
      </c>
      <c r="H189" s="32" t="n"/>
      <c r="I189" s="31" t="inlineStr">
        <is>
          <t>Complementado (não existia na base) - ESTIMADO</t>
        </is>
      </c>
      <c r="J189" s="31" t="inlineStr">
        <is>
          <t>ESTIMADO (média c/ variação)</t>
        </is>
      </c>
      <c r="K189" s="31">
        <f>VALUE(RIGHT(A189,4))</f>
        <v/>
      </c>
    </row>
    <row r="190">
      <c r="A190" s="31" t="inlineStr">
        <is>
          <t>15/10/2016</t>
        </is>
      </c>
      <c r="B190" s="31" t="inlineStr">
        <is>
          <t>TOTAL CENTRO DE DISTRIBUICAO INTEGRADA LTDA - 12.460.301/0001-87</t>
        </is>
      </c>
      <c r="C190" s="31" t="inlineStr">
        <is>
          <t>FRUGIS REPRESENTACOES LTDA - 11.989.186/0001-70</t>
        </is>
      </c>
      <c r="D190" s="32">
        <f>G190</f>
        <v/>
      </c>
      <c r="E190" s="31" t="inlineStr">
        <is>
          <t>09/2016</t>
        </is>
      </c>
      <c r="F190" s="33" t="n"/>
      <c r="G190" s="33" t="n">
        <v>10706.87</v>
      </c>
      <c r="H190" s="32" t="n"/>
      <c r="I190" s="31" t="inlineStr">
        <is>
          <t>Complementado (não existia na base) - ESTIMADO</t>
        </is>
      </c>
      <c r="J190" s="31" t="inlineStr">
        <is>
          <t>ESTIMADO (média c/ variação)</t>
        </is>
      </c>
      <c r="K190" s="31">
        <f>VALUE(RIGHT(A190,4))</f>
        <v/>
      </c>
    </row>
    <row r="191">
      <c r="A191" s="31" t="inlineStr">
        <is>
          <t>15/11/2016</t>
        </is>
      </c>
      <c r="B191" s="31" t="inlineStr">
        <is>
          <t>TOTAL CENTRO DE DISTRIBUICAO INTEGRADA LTDA - 12.460.301/0001-87</t>
        </is>
      </c>
      <c r="C191" s="31" t="inlineStr">
        <is>
          <t>FRUGIS REPRESENTACOES LTDA - 11.989.186/0001-70</t>
        </is>
      </c>
      <c r="D191" s="32">
        <f>G191</f>
        <v/>
      </c>
      <c r="E191" s="31" t="inlineStr">
        <is>
          <t>10/2016</t>
        </is>
      </c>
      <c r="F191" s="33" t="n"/>
      <c r="G191" s="33" t="n">
        <v>13336.89</v>
      </c>
      <c r="H191" s="32" t="n"/>
      <c r="I191" s="31" t="inlineStr">
        <is>
          <t>Complementado (não existia na base) - ESTIMADO</t>
        </is>
      </c>
      <c r="J191" s="31" t="inlineStr">
        <is>
          <t>ESTIMADO (média c/ variação)</t>
        </is>
      </c>
      <c r="K191" s="31">
        <f>VALUE(RIGHT(A191,4))</f>
        <v/>
      </c>
    </row>
    <row r="192">
      <c r="A192" s="31" t="inlineStr">
        <is>
          <t>15/12/2016</t>
        </is>
      </c>
      <c r="B192" s="31" t="inlineStr">
        <is>
          <t>TOTAL CENTRO DE DISTRIBUICAO INTEGRADA LTDA - 12.460.301/0001-87</t>
        </is>
      </c>
      <c r="C192" s="31" t="inlineStr">
        <is>
          <t>FRUGIS REPRESENTACOES LTDA - 11.989.186/0001-70</t>
        </is>
      </c>
      <c r="D192" s="32">
        <f>G192</f>
        <v/>
      </c>
      <c r="E192" s="31" t="inlineStr">
        <is>
          <t>11/2016</t>
        </is>
      </c>
      <c r="F192" s="33" t="n"/>
      <c r="G192" s="33" t="n">
        <v>14227.41</v>
      </c>
      <c r="H192" s="32" t="n"/>
      <c r="I192" s="31" t="inlineStr">
        <is>
          <t>Complementado (não existia na base) - ESTIMADO</t>
        </is>
      </c>
      <c r="J192" s="31" t="inlineStr">
        <is>
          <t>ESTIMADO (média c/ variação)</t>
        </is>
      </c>
      <c r="K192" s="31">
        <f>VALUE(RIGHT(A192,4))</f>
        <v/>
      </c>
    </row>
    <row r="193">
      <c r="A193" s="31" t="inlineStr">
        <is>
          <t>15/01/2017</t>
        </is>
      </c>
      <c r="B193" s="31" t="inlineStr">
        <is>
          <t>TOTAL CENTRO DE DISTRIBUICAO INTEGRADA LTDA - 12.460.301/0001-87</t>
        </is>
      </c>
      <c r="C193" s="31" t="inlineStr">
        <is>
          <t>FRUGIS REPRESENTACOES LTDA - 11.989.186/0001-70</t>
        </is>
      </c>
      <c r="D193" s="32">
        <f>G193</f>
        <v/>
      </c>
      <c r="E193" s="31" t="inlineStr">
        <is>
          <t>12/2016</t>
        </is>
      </c>
      <c r="F193" s="33" t="n"/>
      <c r="G193" s="33" t="n">
        <v>11390.31</v>
      </c>
      <c r="H193" s="32" t="n"/>
      <c r="I193" s="31" t="inlineStr">
        <is>
          <t>Complementado (não existia na base) - ESTIMADO</t>
        </is>
      </c>
      <c r="J193" s="31" t="inlineStr">
        <is>
          <t>ESTIMADO (média c/ variação)</t>
        </is>
      </c>
      <c r="K193" s="31">
        <f>VALUE(RIGHT(A193,4))</f>
        <v/>
      </c>
    </row>
    <row r="194">
      <c r="A194" s="31" t="inlineStr">
        <is>
          <t>15/02/2017</t>
        </is>
      </c>
      <c r="B194" s="31" t="inlineStr">
        <is>
          <t>TOTAL CENTRO DE DISTRIBUICAO INTEGRADA LTDA - 12.460.301/0001-87</t>
        </is>
      </c>
      <c r="C194" s="31" t="inlineStr">
        <is>
          <t>FRUGIS REPRESENTACOES LTDA - 11.989.186/0001-70</t>
        </is>
      </c>
      <c r="D194" s="32">
        <f>G194</f>
        <v/>
      </c>
      <c r="E194" s="31" t="inlineStr">
        <is>
          <t>01/2017</t>
        </is>
      </c>
      <c r="F194" s="33" t="n"/>
      <c r="G194" s="33" t="n">
        <v>13596.29</v>
      </c>
      <c r="H194" s="32" t="n"/>
      <c r="I194" s="31" t="inlineStr">
        <is>
          <t>Complementado (não existia na base) - ESTIMADO</t>
        </is>
      </c>
      <c r="J194" s="31" t="inlineStr">
        <is>
          <t>ESTIMADO (média c/ variação)</t>
        </is>
      </c>
      <c r="K194" s="31">
        <f>VALUE(RIGHT(A194,4))</f>
        <v/>
      </c>
    </row>
    <row r="195">
      <c r="A195" s="31" t="inlineStr">
        <is>
          <t>15/03/2017</t>
        </is>
      </c>
      <c r="B195" s="31" t="inlineStr">
        <is>
          <t>TOTAL CENTRO DE DISTRIBUICAO INTEGRADA LTDA - 12.460.301/0001-87</t>
        </is>
      </c>
      <c r="C195" s="31" t="inlineStr">
        <is>
          <t>FRUGIS REPRESENTACOES LTDA - 11.989.186/0001-70</t>
        </is>
      </c>
      <c r="D195" s="32">
        <f>G195</f>
        <v/>
      </c>
      <c r="E195" s="31" t="inlineStr">
        <is>
          <t>02/2017</t>
        </is>
      </c>
      <c r="F195" s="33" t="n"/>
      <c r="G195" s="33" t="n">
        <v>13178.49</v>
      </c>
      <c r="H195" s="32" t="n"/>
      <c r="I195" s="31" t="inlineStr">
        <is>
          <t>Complementado (não existia na base) - ESTIMADO</t>
        </is>
      </c>
      <c r="J195" s="31" t="inlineStr">
        <is>
          <t>ESTIMADO (média c/ variação)</t>
        </is>
      </c>
      <c r="K195" s="31">
        <f>VALUE(RIGHT(A195,4))</f>
        <v/>
      </c>
    </row>
    <row r="196">
      <c r="A196" s="31" t="inlineStr">
        <is>
          <t>15/04/2017</t>
        </is>
      </c>
      <c r="B196" s="31" t="inlineStr">
        <is>
          <t>TOTAL CENTRO DE DISTRIBUICAO INTEGRADA LTDA - 12.460.301/0001-87</t>
        </is>
      </c>
      <c r="C196" s="31" t="inlineStr">
        <is>
          <t>FRUGIS REPRESENTACOES LTDA - 11.989.186/0001-70</t>
        </is>
      </c>
      <c r="D196" s="32">
        <f>G196</f>
        <v/>
      </c>
      <c r="E196" s="31" t="inlineStr">
        <is>
          <t>03/2017</t>
        </is>
      </c>
      <c r="F196" s="33" t="n"/>
      <c r="G196" s="33" t="n">
        <v>13408.57</v>
      </c>
      <c r="H196" s="32" t="n"/>
      <c r="I196" s="31" t="inlineStr">
        <is>
          <t>Complementado (não existia na base) - ESTIMADO</t>
        </is>
      </c>
      <c r="J196" s="31" t="inlineStr">
        <is>
          <t>ESTIMADO (média c/ variação)</t>
        </is>
      </c>
      <c r="K196" s="31">
        <f>VALUE(RIGHT(A196,4))</f>
        <v/>
      </c>
    </row>
    <row r="197">
      <c r="A197" s="31" t="inlineStr">
        <is>
          <t>15/05/2017</t>
        </is>
      </c>
      <c r="B197" s="31" t="inlineStr">
        <is>
          <t>TOTAL CENTRO DE DISTRIBUICAO INTEGRADA LTDA - 12.460.301/0001-87</t>
        </is>
      </c>
      <c r="C197" s="31" t="inlineStr">
        <is>
          <t>FRUGIS REPRESENTACOES LTDA - 11.989.186/0001-70</t>
        </is>
      </c>
      <c r="D197" s="32">
        <f>G197</f>
        <v/>
      </c>
      <c r="E197" s="31" t="inlineStr">
        <is>
          <t>04/2017</t>
        </is>
      </c>
      <c r="F197" s="33" t="n"/>
      <c r="G197" s="33" t="n">
        <v>12553.64</v>
      </c>
      <c r="H197" s="32" t="n"/>
      <c r="I197" s="31" t="inlineStr">
        <is>
          <t>Complementado (não existia na base) - ESTIMADO</t>
        </is>
      </c>
      <c r="J197" s="31" t="inlineStr">
        <is>
          <t>ESTIMADO (média c/ variação)</t>
        </is>
      </c>
      <c r="K197" s="31">
        <f>VALUE(RIGHT(A197,4))</f>
        <v/>
      </c>
    </row>
    <row r="198">
      <c r="A198" s="31" t="inlineStr">
        <is>
          <t>15/06/2017</t>
        </is>
      </c>
      <c r="B198" s="31" t="inlineStr">
        <is>
          <t>TOTAL CENTRO DE DISTRIBUICAO INTEGRADA LTDA - 12.460.301/0001-87</t>
        </is>
      </c>
      <c r="C198" s="31" t="inlineStr">
        <is>
          <t>FRUGIS REPRESENTACOES LTDA - 11.989.186/0001-70</t>
        </is>
      </c>
      <c r="D198" s="32">
        <f>G198</f>
        <v/>
      </c>
      <c r="E198" s="31" t="inlineStr">
        <is>
          <t>05/2017</t>
        </is>
      </c>
      <c r="F198" s="33" t="n"/>
      <c r="G198" s="33" t="n">
        <v>15451.33</v>
      </c>
      <c r="H198" s="32" t="n"/>
      <c r="I198" s="31" t="inlineStr">
        <is>
          <t>Complementado (não existia na base) - ESTIMADO</t>
        </is>
      </c>
      <c r="J198" s="31" t="inlineStr">
        <is>
          <t>ESTIMADO (média c/ variação)</t>
        </is>
      </c>
      <c r="K198" s="31">
        <f>VALUE(RIGHT(A198,4))</f>
        <v/>
      </c>
    </row>
    <row r="199">
      <c r="A199" s="31" t="inlineStr">
        <is>
          <t>15/07/2017</t>
        </is>
      </c>
      <c r="B199" s="31" t="inlineStr">
        <is>
          <t>TOTAL CENTRO DE DISTRIBUICAO INTEGRADA LTDA - 12.460.301/0001-87</t>
        </is>
      </c>
      <c r="C199" s="31" t="inlineStr">
        <is>
          <t>FRUGIS REPRESENTACOES LTDA - 11.989.186/0001-70</t>
        </is>
      </c>
      <c r="D199" s="32">
        <f>G199</f>
        <v/>
      </c>
      <c r="E199" s="31" t="inlineStr">
        <is>
          <t>06/2017</t>
        </is>
      </c>
      <c r="F199" s="33" t="n"/>
      <c r="G199" s="33" t="n">
        <v>16505.24</v>
      </c>
      <c r="H199" s="32" t="n"/>
      <c r="I199" s="31" t="inlineStr">
        <is>
          <t>Complementado (não existia na base)</t>
        </is>
      </c>
      <c r="J199" s="31" t="inlineStr">
        <is>
          <t>Extrato conta corrente - Tenda</t>
        </is>
      </c>
      <c r="K199" s="31">
        <f>VALUE(RIGHT(A199,4))</f>
        <v/>
      </c>
    </row>
    <row r="200">
      <c r="A200" s="31" t="inlineStr">
        <is>
          <t>15/08/2017</t>
        </is>
      </c>
      <c r="B200" s="31" t="inlineStr">
        <is>
          <t>TOTAL CENTRO DE DISTRIBUICAO INTEGRADA LTDA - 12.460.301/0001-87</t>
        </is>
      </c>
      <c r="C200" s="31" t="inlineStr">
        <is>
          <t>FRUGIS REPRESENTACOES LTDA - 11.989.186/0001-70</t>
        </is>
      </c>
      <c r="D200" s="32">
        <f>G200</f>
        <v/>
      </c>
      <c r="E200" s="31" t="inlineStr">
        <is>
          <t>07/2017</t>
        </is>
      </c>
      <c r="F200" s="33" t="n"/>
      <c r="G200" s="33" t="n">
        <v>10006.34</v>
      </c>
      <c r="H200" s="32" t="n"/>
      <c r="I200" s="31" t="inlineStr">
        <is>
          <t>Complementado (não existia na base)</t>
        </is>
      </c>
      <c r="J200" s="31" t="inlineStr">
        <is>
          <t>Extrato conta corrente - Tenda</t>
        </is>
      </c>
      <c r="K200" s="31">
        <f>VALUE(RIGHT(A200,4))</f>
        <v/>
      </c>
    </row>
    <row r="201">
      <c r="A201" s="31" t="inlineStr">
        <is>
          <t>15/09/2017</t>
        </is>
      </c>
      <c r="B201" s="31" t="inlineStr">
        <is>
          <t>TOTAL CENTRO DE DISTRIBUICAO INTEGRADA LTDA - 12.460.301/0001-87</t>
        </is>
      </c>
      <c r="C201" s="31" t="inlineStr">
        <is>
          <t>FRUGIS REPRESENTACOES LTDA - 11.989.186/0001-70</t>
        </is>
      </c>
      <c r="D201" s="32">
        <f>G201</f>
        <v/>
      </c>
      <c r="E201" s="31" t="inlineStr">
        <is>
          <t>08/2017</t>
        </is>
      </c>
      <c r="F201" s="33" t="n"/>
      <c r="G201" s="33" t="n">
        <v>13326.76</v>
      </c>
      <c r="H201" s="32" t="n"/>
      <c r="I201" s="31" t="inlineStr">
        <is>
          <t>Complementado (não existia na base)</t>
        </is>
      </c>
      <c r="J201" s="31" t="inlineStr">
        <is>
          <t>Extrato conta corrente - Tenda</t>
        </is>
      </c>
      <c r="K201" s="31">
        <f>VALUE(RIGHT(A201,4))</f>
        <v/>
      </c>
    </row>
    <row r="202">
      <c r="A202" s="31" t="inlineStr">
        <is>
          <t>15/10/2017</t>
        </is>
      </c>
      <c r="B202" s="31" t="inlineStr">
        <is>
          <t>TOTAL CENTRO DE DISTRIBUICAO INTEGRADA LTDA - 12.460.301/0001-87</t>
        </is>
      </c>
      <c r="C202" s="31" t="inlineStr">
        <is>
          <t>FRUGIS REPRESENTACOES LTDA - 11.989.186/0001-70</t>
        </is>
      </c>
      <c r="D202" s="32">
        <f>G202</f>
        <v/>
      </c>
      <c r="E202" s="31" t="inlineStr">
        <is>
          <t>09/2017</t>
        </is>
      </c>
      <c r="F202" s="33" t="n"/>
      <c r="G202" s="33" t="n">
        <v>6016.75</v>
      </c>
      <c r="H202" s="32" t="n"/>
      <c r="I202" s="31" t="inlineStr">
        <is>
          <t>Complementado (não existia na base)</t>
        </is>
      </c>
      <c r="J202" s="31" t="inlineStr">
        <is>
          <t>Extrato conta corrente - Tenda</t>
        </is>
      </c>
      <c r="K202" s="31">
        <f>VALUE(RIGHT(A202,4))</f>
        <v/>
      </c>
    </row>
    <row r="203">
      <c r="A203" s="31" t="inlineStr">
        <is>
          <t>15/11/2017</t>
        </is>
      </c>
      <c r="B203" s="31" t="inlineStr">
        <is>
          <t>TOTAL CENTRO DE DISTRIBUICAO INTEGRADA LTDA - 12.460.301/0001-87</t>
        </is>
      </c>
      <c r="C203" s="31" t="inlineStr">
        <is>
          <t>FRUGIS REPRESENTACOES LTDA - 11.989.186/0001-70</t>
        </is>
      </c>
      <c r="D203" s="32">
        <f>G203</f>
        <v/>
      </c>
      <c r="E203" s="31" t="inlineStr">
        <is>
          <t>10/2017</t>
        </is>
      </c>
      <c r="F203" s="33" t="n"/>
      <c r="G203" s="33" t="n">
        <v>17373.63</v>
      </c>
      <c r="H203" s="32" t="n"/>
      <c r="I203" s="31" t="inlineStr">
        <is>
          <t>Complementado (não existia na base)</t>
        </is>
      </c>
      <c r="J203" s="31" t="inlineStr">
        <is>
          <t>Extrato conta corrente - Tenda</t>
        </is>
      </c>
      <c r="K203" s="31">
        <f>VALUE(RIGHT(A203,4))</f>
        <v/>
      </c>
    </row>
    <row r="204">
      <c r="A204" s="31" t="inlineStr">
        <is>
          <t>15/12/2017</t>
        </is>
      </c>
      <c r="B204" s="31" t="inlineStr">
        <is>
          <t>TOTAL CENTRO DE DISTRIBUICAO INTEGRADA LTDA - 12.460.301/0001-87</t>
        </is>
      </c>
      <c r="C204" s="31" t="inlineStr">
        <is>
          <t>FRUGIS REPRESENTACOES LTDA - 11.989.186/0001-70</t>
        </is>
      </c>
      <c r="D204" s="32">
        <f>G204</f>
        <v/>
      </c>
      <c r="E204" s="31" t="inlineStr">
        <is>
          <t>11/2017</t>
        </is>
      </c>
      <c r="F204" s="33" t="n"/>
      <c r="G204" s="33" t="n">
        <v>27593.78</v>
      </c>
      <c r="H204" s="32" t="n"/>
      <c r="I204" s="31" t="inlineStr">
        <is>
          <t>Complementado (não existia na base)</t>
        </is>
      </c>
      <c r="J204" s="31" t="inlineStr">
        <is>
          <t>Extrato conta corrente - Tenda</t>
        </is>
      </c>
      <c r="K204" s="31">
        <f>VALUE(RIGHT(A204,4))</f>
        <v/>
      </c>
    </row>
    <row r="205">
      <c r="A205" s="31" t="inlineStr">
        <is>
          <t>15/01/2018</t>
        </is>
      </c>
      <c r="B205" s="31" t="inlineStr">
        <is>
          <t>TOTAL CENTRO DE DISTRIBUICAO INTEGRADA LTDA - 12.460.301/0001-87</t>
        </is>
      </c>
      <c r="C205" s="31" t="inlineStr">
        <is>
          <t>FRUGIS REPRESENTACOES LTDA - 11.989.186/0001-70</t>
        </is>
      </c>
      <c r="D205" s="32">
        <f>G205</f>
        <v/>
      </c>
      <c r="E205" s="31" t="inlineStr">
        <is>
          <t>12/2017</t>
        </is>
      </c>
      <c r="F205" s="33" t="n"/>
      <c r="G205" s="33" t="n">
        <v>12809.08</v>
      </c>
      <c r="H205" s="32" t="n"/>
      <c r="I205" s="31" t="inlineStr">
        <is>
          <t>Complementado (não existia na base)</t>
        </is>
      </c>
      <c r="J205" s="31" t="inlineStr">
        <is>
          <t>Extrato conta corrente - Tenda</t>
        </is>
      </c>
      <c r="K205" s="31">
        <f>VALUE(RIGHT(A205,4))</f>
        <v/>
      </c>
    </row>
    <row r="206">
      <c r="A206" s="31" t="inlineStr">
        <is>
          <t>15/02/2018</t>
        </is>
      </c>
      <c r="B206" s="31" t="inlineStr">
        <is>
          <t>TOTAL CENTRO DE DISTRIBUICAO INTEGRADA LTDA - 12.460.301/0001-87</t>
        </is>
      </c>
      <c r="C206" s="31" t="inlineStr">
        <is>
          <t>FRUGIS REPRESENTACOES LTDA - 11.989.186/0001-70</t>
        </is>
      </c>
      <c r="D206" s="32">
        <f>G206</f>
        <v/>
      </c>
      <c r="E206" s="31" t="inlineStr">
        <is>
          <t>01/2018</t>
        </is>
      </c>
      <c r="F206" s="33" t="n"/>
      <c r="G206" s="33" t="n">
        <v>15281.8</v>
      </c>
      <c r="H206" s="32" t="n"/>
      <c r="I206" s="31" t="inlineStr">
        <is>
          <t>Complementado (não existia na base)</t>
        </is>
      </c>
      <c r="J206" s="31" t="inlineStr">
        <is>
          <t>Extrato conta corrente - Tenda</t>
        </is>
      </c>
      <c r="K206" s="31">
        <f>VALUE(RIGHT(A206,4))</f>
        <v/>
      </c>
    </row>
    <row r="207">
      <c r="A207" s="31" t="inlineStr">
        <is>
          <t>15/03/2018</t>
        </is>
      </c>
      <c r="B207" s="31" t="inlineStr">
        <is>
          <t>TOTAL CENTRO DE DISTRIBUICAO INTEGRADA LTDA - 12.460.301/0001-87</t>
        </is>
      </c>
      <c r="C207" s="31" t="inlineStr">
        <is>
          <t>FRUGIS REPRESENTACOES LTDA - 11.989.186/0001-70</t>
        </is>
      </c>
      <c r="D207" s="32">
        <f>G207</f>
        <v/>
      </c>
      <c r="E207" s="31" t="inlineStr">
        <is>
          <t>02/2018</t>
        </is>
      </c>
      <c r="F207" s="33" t="n"/>
      <c r="G207" s="33" t="n">
        <v>13060.72</v>
      </c>
      <c r="H207" s="32" t="n"/>
      <c r="I207" s="31" t="inlineStr">
        <is>
          <t>Complementado (não existia na base)</t>
        </is>
      </c>
      <c r="J207" s="31" t="inlineStr">
        <is>
          <t>Extrato conta corrente - Tenda</t>
        </is>
      </c>
      <c r="K207" s="31">
        <f>VALUE(RIGHT(A207,4))</f>
        <v/>
      </c>
    </row>
    <row r="208">
      <c r="A208" s="31" t="inlineStr">
        <is>
          <t>15/04/2018</t>
        </is>
      </c>
      <c r="B208" s="31" t="inlineStr">
        <is>
          <t>TOTAL CENTRO DE DISTRIBUICAO INTEGRADA LTDA - 12.460.301/0001-87</t>
        </is>
      </c>
      <c r="C208" s="31" t="inlineStr">
        <is>
          <t>FRUGIS REPRESENTACOES LTDA - 11.989.186/0001-70</t>
        </is>
      </c>
      <c r="D208" s="32">
        <f>G208</f>
        <v/>
      </c>
      <c r="E208" s="31" t="inlineStr">
        <is>
          <t>03/2018</t>
        </is>
      </c>
      <c r="F208" s="33" t="n"/>
      <c r="G208" s="33" t="n">
        <v>14737.8</v>
      </c>
      <c r="H208" s="32" t="n"/>
      <c r="I208" s="31" t="inlineStr">
        <is>
          <t>Complementado (não existia na base)</t>
        </is>
      </c>
      <c r="J208" s="31" t="inlineStr">
        <is>
          <t>Extrato conta corrente - Tenda</t>
        </is>
      </c>
      <c r="K208" s="31">
        <f>VALUE(RIGHT(A208,4))</f>
        <v/>
      </c>
    </row>
    <row r="209">
      <c r="A209" s="31" t="inlineStr">
        <is>
          <t>15/05/2018</t>
        </is>
      </c>
      <c r="B209" s="31" t="inlineStr">
        <is>
          <t>TOTAL CENTRO DE DISTRIBUICAO INTEGRADA LTDA - 12.460.301/0001-87</t>
        </is>
      </c>
      <c r="C209" s="31" t="inlineStr">
        <is>
          <t>FRUGIS REPRESENTACOES LTDA - 11.989.186/0001-70</t>
        </is>
      </c>
      <c r="D209" s="32">
        <f>G209</f>
        <v/>
      </c>
      <c r="E209" s="31" t="inlineStr">
        <is>
          <t>04/2018</t>
        </is>
      </c>
      <c r="F209" s="33" t="n"/>
      <c r="G209" s="33" t="n">
        <v>11470.52</v>
      </c>
      <c r="H209" s="32" t="n"/>
      <c r="I209" s="31" t="inlineStr">
        <is>
          <t>Complementado (não existia na base)</t>
        </is>
      </c>
      <c r="J209" s="31" t="inlineStr">
        <is>
          <t>Extrato conta corrente - Tenda</t>
        </is>
      </c>
      <c r="K209" s="31">
        <f>VALUE(RIGHT(A209,4))</f>
        <v/>
      </c>
    </row>
    <row r="210">
      <c r="A210" s="31" t="inlineStr">
        <is>
          <t>15/06/2018</t>
        </is>
      </c>
      <c r="B210" s="31" t="inlineStr">
        <is>
          <t>TOTAL CENTRO DE DISTRIBUICAO INTEGRADA LTDA - 12.460.301/0001-87</t>
        </is>
      </c>
      <c r="C210" s="31" t="inlineStr">
        <is>
          <t>FRUGIS REPRESENTACOES LTDA - 11.989.186/0001-70</t>
        </is>
      </c>
      <c r="D210" s="32">
        <f>G210</f>
        <v/>
      </c>
      <c r="E210" s="31" t="inlineStr">
        <is>
          <t>05/2018</t>
        </is>
      </c>
      <c r="F210" s="33" t="n"/>
      <c r="G210" s="33" t="n">
        <v>10022.26</v>
      </c>
      <c r="H210" s="32" t="n"/>
      <c r="I210" s="31" t="inlineStr">
        <is>
          <t>Complementado (não existia na base)</t>
        </is>
      </c>
      <c r="J210" s="31" t="inlineStr">
        <is>
          <t>Extrato conta corrente - Tenda</t>
        </is>
      </c>
      <c r="K210" s="31">
        <f>VALUE(RIGHT(A210,4))</f>
        <v/>
      </c>
    </row>
    <row r="211">
      <c r="A211" s="31" t="inlineStr">
        <is>
          <t>15/07/2018</t>
        </is>
      </c>
      <c r="B211" s="31" t="inlineStr">
        <is>
          <t>TOTAL CENTRO DE DISTRIBUICAO INTEGRADA LTDA - 12.460.301/0001-87</t>
        </is>
      </c>
      <c r="C211" s="31" t="inlineStr">
        <is>
          <t>FRUGIS REPRESENTACOES LTDA - 11.989.186/0001-70</t>
        </is>
      </c>
      <c r="D211" s="32">
        <f>G211</f>
        <v/>
      </c>
      <c r="E211" s="31" t="inlineStr">
        <is>
          <t>06/2018</t>
        </is>
      </c>
      <c r="F211" s="33" t="n"/>
      <c r="G211" s="33" t="n">
        <v>24849.62</v>
      </c>
      <c r="H211" s="32" t="n"/>
      <c r="I211" s="31" t="inlineStr">
        <is>
          <t>Complementado (não existia na base)</t>
        </is>
      </c>
      <c r="J211" s="31" t="inlineStr">
        <is>
          <t>Extrato conta corrente - Tenda</t>
        </is>
      </c>
      <c r="K211" s="31">
        <f>VALUE(RIGHT(A211,4))</f>
        <v/>
      </c>
    </row>
    <row r="212">
      <c r="A212" s="31" t="inlineStr">
        <is>
          <t>15/08/2018</t>
        </is>
      </c>
      <c r="B212" s="31" t="inlineStr">
        <is>
          <t>TOTAL CENTRO DE DISTRIBUICAO INTEGRADA LTDA - 12.460.301/0001-87</t>
        </is>
      </c>
      <c r="C212" s="31" t="inlineStr">
        <is>
          <t>FRUGIS REPRESENTACOES LTDA - 11.989.186/0001-70</t>
        </is>
      </c>
      <c r="D212" s="32">
        <f>G212</f>
        <v/>
      </c>
      <c r="E212" s="31" t="inlineStr">
        <is>
          <t>07/2018</t>
        </is>
      </c>
      <c r="F212" s="33" t="n"/>
      <c r="G212" s="33" t="n">
        <v>28765.55</v>
      </c>
      <c r="H212" s="32" t="n"/>
      <c r="I212" s="31" t="inlineStr">
        <is>
          <t>Complementado (não existia na base)</t>
        </is>
      </c>
      <c r="J212" s="31" t="inlineStr">
        <is>
          <t>Extrato conta corrente - Tenda</t>
        </is>
      </c>
      <c r="K212" s="31">
        <f>VALUE(RIGHT(A212,4))</f>
        <v/>
      </c>
    </row>
    <row r="213">
      <c r="A213" s="31" t="inlineStr">
        <is>
          <t>15/09/2018</t>
        </is>
      </c>
      <c r="B213" s="31" t="inlineStr">
        <is>
          <t>TOTAL CENTRO DE DISTRIBUICAO INTEGRADA LTDA - 12.460.301/0001-87</t>
        </is>
      </c>
      <c r="C213" s="31" t="inlineStr">
        <is>
          <t>FRUGIS REPRESENTACOES LTDA - 11.989.186/0001-70</t>
        </is>
      </c>
      <c r="D213" s="32">
        <f>G213</f>
        <v/>
      </c>
      <c r="E213" s="31" t="inlineStr">
        <is>
          <t>08/2018</t>
        </is>
      </c>
      <c r="F213" s="33" t="n"/>
      <c r="G213" s="33" t="n">
        <v>10458.31</v>
      </c>
      <c r="H213" s="32" t="n"/>
      <c r="I213" s="31" t="inlineStr">
        <is>
          <t>Complementado (não existia na base)</t>
        </is>
      </c>
      <c r="J213" s="31" t="inlineStr">
        <is>
          <t>Extrato conta corrente - Tenda</t>
        </is>
      </c>
      <c r="K213" s="31">
        <f>VALUE(RIGHT(A213,4))</f>
        <v/>
      </c>
    </row>
    <row r="214">
      <c r="A214" s="31" t="inlineStr">
        <is>
          <t>15/10/2018</t>
        </is>
      </c>
      <c r="B214" s="31" t="inlineStr">
        <is>
          <t>TOTAL CENTRO DE DISTRIBUICAO INTEGRADA LTDA - 12.460.301/0001-87</t>
        </is>
      </c>
      <c r="C214" s="31" t="inlineStr">
        <is>
          <t>FRUGIS REPRESENTACOES LTDA - 11.989.186/0001-70</t>
        </is>
      </c>
      <c r="D214" s="32">
        <f>G214</f>
        <v/>
      </c>
      <c r="E214" s="31" t="inlineStr">
        <is>
          <t>09/2018</t>
        </is>
      </c>
      <c r="F214" s="33" t="n"/>
      <c r="G214" s="33" t="n">
        <v>28371.96</v>
      </c>
      <c r="H214" s="32" t="n"/>
      <c r="I214" s="31" t="inlineStr">
        <is>
          <t>Complementado (não existia na base)</t>
        </is>
      </c>
      <c r="J214" s="31" t="inlineStr">
        <is>
          <t>Extrato conta corrente - Tenda</t>
        </is>
      </c>
      <c r="K214" s="31">
        <f>VALUE(RIGHT(A214,4))</f>
        <v/>
      </c>
    </row>
    <row r="215">
      <c r="A215" s="31" t="inlineStr">
        <is>
          <t>15/11/2018</t>
        </is>
      </c>
      <c r="B215" s="31" t="inlineStr">
        <is>
          <t>TOTAL CENTRO DE DISTRIBUICAO INTEGRADA LTDA - 12.460.301/0001-87</t>
        </is>
      </c>
      <c r="C215" s="31" t="inlineStr">
        <is>
          <t>FRUGIS REPRESENTACOES LTDA - 11.989.186/0001-70</t>
        </is>
      </c>
      <c r="D215" s="32">
        <f>G215</f>
        <v/>
      </c>
      <c r="E215" s="31" t="inlineStr">
        <is>
          <t>10/2018</t>
        </is>
      </c>
      <c r="F215" s="33" t="n"/>
      <c r="G215" s="33" t="n">
        <v>13833.33</v>
      </c>
      <c r="H215" s="32" t="n"/>
      <c r="I215" s="31" t="inlineStr">
        <is>
          <t>Complementado (não existia na base)</t>
        </is>
      </c>
      <c r="J215" s="31" t="inlineStr">
        <is>
          <t>Extrato conta corrente - Tenda</t>
        </is>
      </c>
      <c r="K215" s="31">
        <f>VALUE(RIGHT(A215,4))</f>
        <v/>
      </c>
    </row>
    <row r="216">
      <c r="A216" s="31" t="inlineStr">
        <is>
          <t>15/12/2018</t>
        </is>
      </c>
      <c r="B216" s="31" t="inlineStr">
        <is>
          <t>TOTAL CENTRO DE DISTRIBUICAO INTEGRADA LTDA - 12.460.301/0001-87</t>
        </is>
      </c>
      <c r="C216" s="31" t="inlineStr">
        <is>
          <t>FRUGIS REPRESENTACOES LTDA - 11.989.186/0001-70</t>
        </is>
      </c>
      <c r="D216" s="32">
        <f>G216</f>
        <v/>
      </c>
      <c r="E216" s="31" t="inlineStr">
        <is>
          <t>11/2018</t>
        </is>
      </c>
      <c r="F216" s="33" t="n"/>
      <c r="G216" s="33" t="n">
        <v>12272.46</v>
      </c>
      <c r="H216" s="32" t="n"/>
      <c r="I216" s="31" t="inlineStr">
        <is>
          <t>Complementado (não existia na base)</t>
        </is>
      </c>
      <c r="J216" s="31" t="inlineStr">
        <is>
          <t>Extrato conta corrente - Tenda</t>
        </is>
      </c>
      <c r="K216" s="31">
        <f>VALUE(RIGHT(A216,4))</f>
        <v/>
      </c>
    </row>
    <row r="217">
      <c r="A217" s="31" t="inlineStr">
        <is>
          <t>15/01/2019</t>
        </is>
      </c>
      <c r="B217" s="31" t="inlineStr">
        <is>
          <t>TOTAL CENTRO DE DISTRIBUICAO INTEGRADA LTDA - 12.460.301/0001-87</t>
        </is>
      </c>
      <c r="C217" s="31" t="inlineStr">
        <is>
          <t>FRUGIS REPRESENTACOES LTDA - 11.989.186/0001-70</t>
        </is>
      </c>
      <c r="D217" s="32">
        <f>G217</f>
        <v/>
      </c>
      <c r="E217" s="31" t="inlineStr">
        <is>
          <t>12/2018</t>
        </is>
      </c>
      <c r="F217" s="33" t="n"/>
      <c r="G217" s="33" t="n">
        <v>15459.74</v>
      </c>
      <c r="H217" s="32" t="n"/>
      <c r="I217" s="31" t="inlineStr">
        <is>
          <t>Complementado (não existia na base)</t>
        </is>
      </c>
      <c r="J217" s="31" t="inlineStr">
        <is>
          <t>Extrato conta corrente - Tenda</t>
        </is>
      </c>
      <c r="K217" s="31">
        <f>VALUE(RIGHT(A217,4))</f>
        <v/>
      </c>
    </row>
    <row r="218">
      <c r="A218" s="31" t="inlineStr">
        <is>
          <t>15/02/2019</t>
        </is>
      </c>
      <c r="B218" s="31" t="inlineStr">
        <is>
          <t>TOTAL CENTRO DE DISTRIBUICAO INTEGRADA LTDA - 12.460.301/0001-87</t>
        </is>
      </c>
      <c r="C218" s="31" t="inlineStr">
        <is>
          <t>FRUGIS REPRESENTACOES LTDA - 11.989.186/0001-70</t>
        </is>
      </c>
      <c r="D218" s="32">
        <f>G218</f>
        <v/>
      </c>
      <c r="E218" s="31" t="inlineStr">
        <is>
          <t>01/2019</t>
        </is>
      </c>
      <c r="F218" s="33" t="n"/>
      <c r="G218" s="33" t="n">
        <v>27130.27</v>
      </c>
      <c r="H218" s="32" t="n"/>
      <c r="I218" s="31" t="inlineStr">
        <is>
          <t>Complementado (não existia na base)</t>
        </is>
      </c>
      <c r="J218" s="31" t="inlineStr">
        <is>
          <t>Extrato conta corrente - Tenda</t>
        </is>
      </c>
      <c r="K218" s="31">
        <f>VALUE(RIGHT(A218,4))</f>
        <v/>
      </c>
    </row>
    <row r="219">
      <c r="A219" s="31" t="inlineStr">
        <is>
          <t>15/03/2019</t>
        </is>
      </c>
      <c r="B219" s="31" t="inlineStr">
        <is>
          <t>TOTAL CENTRO DE DISTRIBUICAO INTEGRADA LTDA - 12.460.301/0001-87</t>
        </is>
      </c>
      <c r="C219" s="31" t="inlineStr">
        <is>
          <t>FRUGIS REPRESENTACOES LTDA - 11.989.186/0001-70</t>
        </is>
      </c>
      <c r="D219" s="32">
        <f>G219</f>
        <v/>
      </c>
      <c r="E219" s="31" t="inlineStr">
        <is>
          <t>02/2019</t>
        </is>
      </c>
      <c r="F219" s="33" t="n"/>
      <c r="G219" s="33" t="n">
        <v>18462.31</v>
      </c>
      <c r="H219" s="32" t="n"/>
      <c r="I219" s="31" t="inlineStr">
        <is>
          <t>Complementado (não existia na base)</t>
        </is>
      </c>
      <c r="J219" s="31" t="inlineStr">
        <is>
          <t>Extrato conta corrente - Tenda</t>
        </is>
      </c>
      <c r="K219" s="31">
        <f>VALUE(RIGHT(A219,4))</f>
        <v/>
      </c>
    </row>
    <row r="220">
      <c r="A220" s="31" t="inlineStr">
        <is>
          <t>15/04/2019</t>
        </is>
      </c>
      <c r="B220" s="31" t="inlineStr">
        <is>
          <t>TOTAL CENTRO DE DISTRIBUICAO INTEGRADA LTDA - 12.460.301/0001-87</t>
        </is>
      </c>
      <c r="C220" s="31" t="inlineStr">
        <is>
          <t>FRUGIS REPRESENTACOES LTDA - 11.989.186/0001-70</t>
        </is>
      </c>
      <c r="D220" s="32">
        <f>G220</f>
        <v/>
      </c>
      <c r="E220" s="31" t="inlineStr">
        <is>
          <t>03/2019</t>
        </is>
      </c>
      <c r="F220" s="33" t="n"/>
      <c r="G220" s="33" t="n">
        <v>14029.01</v>
      </c>
      <c r="H220" s="32" t="n"/>
      <c r="I220" s="31" t="inlineStr">
        <is>
          <t>Complementado (não existia na base)</t>
        </is>
      </c>
      <c r="J220" s="31" t="inlineStr">
        <is>
          <t>Extrato conta corrente - Tenda</t>
        </is>
      </c>
      <c r="K220" s="31">
        <f>VALUE(RIGHT(A220,4))</f>
        <v/>
      </c>
    </row>
    <row r="221">
      <c r="A221" s="31" t="inlineStr">
        <is>
          <t>15/05/2019</t>
        </is>
      </c>
      <c r="B221" s="31" t="inlineStr">
        <is>
          <t>TOTAL CENTRO DE DISTRIBUICAO INTEGRADA LTDA - 12.460.301/0001-87</t>
        </is>
      </c>
      <c r="C221" s="31" t="inlineStr">
        <is>
          <t>FRUGIS REPRESENTACOES LTDA - 11.989.186/0001-70</t>
        </is>
      </c>
      <c r="D221" s="32">
        <f>G221</f>
        <v/>
      </c>
      <c r="E221" s="31" t="inlineStr">
        <is>
          <t>04/2019</t>
        </is>
      </c>
      <c r="F221" s="33" t="n"/>
      <c r="G221" s="33" t="n">
        <v>21233.78</v>
      </c>
      <c r="H221" s="32" t="n"/>
      <c r="I221" s="31" t="inlineStr">
        <is>
          <t>Complementado (não existia na base)</t>
        </is>
      </c>
      <c r="J221" s="31" t="inlineStr">
        <is>
          <t>Extrato conta corrente - Tenda</t>
        </is>
      </c>
      <c r="K221" s="31">
        <f>VALUE(RIGHT(A221,4))</f>
        <v/>
      </c>
    </row>
    <row r="222">
      <c r="A222" s="31" t="inlineStr">
        <is>
          <t>15/06/2019</t>
        </is>
      </c>
      <c r="B222" s="31" t="inlineStr">
        <is>
          <t>TOTAL CENTRO DE DISTRIBUICAO INTEGRADA LTDA - 12.460.301/0001-87</t>
        </is>
      </c>
      <c r="C222" s="31" t="inlineStr">
        <is>
          <t>FRUGIS REPRESENTACOES LTDA - 11.989.186/0001-70</t>
        </is>
      </c>
      <c r="D222" s="32">
        <f>G222</f>
        <v/>
      </c>
      <c r="E222" s="31" t="inlineStr">
        <is>
          <t>05/2019</t>
        </is>
      </c>
      <c r="F222" s="33" t="n"/>
      <c r="G222" s="33" t="n">
        <v>17526.25</v>
      </c>
      <c r="H222" s="32" t="n"/>
      <c r="I222" s="31" t="inlineStr">
        <is>
          <t>Complementado (não existia na base)</t>
        </is>
      </c>
      <c r="J222" s="31" t="inlineStr">
        <is>
          <t>Extrato conta corrente - Tenda</t>
        </is>
      </c>
      <c r="K222" s="31">
        <f>VALUE(RIGHT(A222,4))</f>
        <v/>
      </c>
    </row>
    <row r="223">
      <c r="A223" s="31" t="inlineStr">
        <is>
          <t>15/07/2019</t>
        </is>
      </c>
      <c r="B223" s="31" t="inlineStr">
        <is>
          <t>TOTAL CENTRO DE DISTRIBUICAO INTEGRADA LTDA - 12.460.301/0001-87</t>
        </is>
      </c>
      <c r="C223" s="31" t="inlineStr">
        <is>
          <t>FRUGIS REPRESENTACOES LTDA - 11.989.186/0001-70</t>
        </is>
      </c>
      <c r="D223" s="32">
        <f>G223</f>
        <v/>
      </c>
      <c r="E223" s="31" t="inlineStr">
        <is>
          <t>06/2019</t>
        </is>
      </c>
      <c r="F223" s="33" t="n"/>
      <c r="G223" s="33" t="n">
        <v>17259.12</v>
      </c>
      <c r="H223" s="32" t="n"/>
      <c r="I223" s="31" t="inlineStr">
        <is>
          <t>Complementado (não existia na base)</t>
        </is>
      </c>
      <c r="J223" s="31" t="inlineStr">
        <is>
          <t>Extrato conta corrente - Tenda</t>
        </is>
      </c>
      <c r="K223" s="31">
        <f>VALUE(RIGHT(A223,4))</f>
        <v/>
      </c>
    </row>
    <row r="224">
      <c r="A224" s="31" t="inlineStr">
        <is>
          <t>15/08/2019</t>
        </is>
      </c>
      <c r="B224" s="31" t="inlineStr">
        <is>
          <t>TOTAL CENTRO DE DISTRIBUICAO INTEGRADA LTDA - 12.460.301/0001-87</t>
        </is>
      </c>
      <c r="C224" s="31" t="inlineStr">
        <is>
          <t>FRUGIS REPRESENTACOES LTDA - 11.989.186/0001-70</t>
        </is>
      </c>
      <c r="D224" s="32">
        <f>G224</f>
        <v/>
      </c>
      <c r="E224" s="31" t="inlineStr">
        <is>
          <t>07/2019</t>
        </is>
      </c>
      <c r="F224" s="33" t="n"/>
      <c r="G224" s="33" t="n">
        <v>15429.02</v>
      </c>
      <c r="H224" s="32" t="n"/>
      <c r="I224" s="31" t="inlineStr">
        <is>
          <t>Complementado (não existia na base)</t>
        </is>
      </c>
      <c r="J224" s="31" t="inlineStr">
        <is>
          <t>Extrato conta corrente - Tenda</t>
        </is>
      </c>
      <c r="K224" s="31">
        <f>VALUE(RIGHT(A224,4))</f>
        <v/>
      </c>
    </row>
    <row r="225">
      <c r="A225" s="31" t="inlineStr">
        <is>
          <t>15/09/2019</t>
        </is>
      </c>
      <c r="B225" s="31" t="inlineStr">
        <is>
          <t>TOTAL CENTRO DE DISTRIBUICAO INTEGRADA LTDA - 12.460.301/0001-87</t>
        </is>
      </c>
      <c r="C225" s="31" t="inlineStr">
        <is>
          <t>FRUGIS REPRESENTACOES LTDA - 11.989.186/0001-70</t>
        </is>
      </c>
      <c r="D225" s="32">
        <f>G225</f>
        <v/>
      </c>
      <c r="E225" s="31" t="inlineStr">
        <is>
          <t>08/2019</t>
        </is>
      </c>
      <c r="F225" s="33" t="n"/>
      <c r="G225" s="33" t="n">
        <v>8014.05</v>
      </c>
      <c r="H225" s="32" t="n"/>
      <c r="I225" s="31" t="inlineStr">
        <is>
          <t>Complementado (não existia na base)</t>
        </is>
      </c>
      <c r="J225" s="31" t="inlineStr">
        <is>
          <t>Extrato conta corrente - Tenda</t>
        </is>
      </c>
      <c r="K225" s="31">
        <f>VALUE(RIGHT(A225,4))</f>
        <v/>
      </c>
    </row>
    <row r="226">
      <c r="A226" s="31" t="inlineStr">
        <is>
          <t>15/10/2019</t>
        </is>
      </c>
      <c r="B226" s="31" t="inlineStr">
        <is>
          <t>TOTAL CENTRO DE DISTRIBUICAO INTEGRADA LTDA - 12.460.301/0001-87</t>
        </is>
      </c>
      <c r="C226" s="31" t="inlineStr">
        <is>
          <t>FRUGIS REPRESENTACOES LTDA - 11.989.186/0001-70</t>
        </is>
      </c>
      <c r="D226" s="32">
        <f>G226</f>
        <v/>
      </c>
      <c r="E226" s="31" t="inlineStr">
        <is>
          <t>09/2019</t>
        </is>
      </c>
      <c r="F226" s="33" t="n"/>
      <c r="G226" s="33" t="n">
        <v>31375.59</v>
      </c>
      <c r="H226" s="32" t="n"/>
      <c r="I226" s="31" t="inlineStr">
        <is>
          <t>Complementado (não existia na base)</t>
        </is>
      </c>
      <c r="J226" s="31" t="inlineStr">
        <is>
          <t>Extrato conta corrente - Tenda</t>
        </is>
      </c>
      <c r="K226" s="31">
        <f>VALUE(RIGHT(A226,4))</f>
        <v/>
      </c>
    </row>
    <row r="227">
      <c r="A227" s="31" t="inlineStr">
        <is>
          <t>15/11/2019</t>
        </is>
      </c>
      <c r="B227" s="31" t="inlineStr">
        <is>
          <t>TOTAL CENTRO DE DISTRIBUICAO INTEGRADA LTDA - 12.460.301/0001-87</t>
        </is>
      </c>
      <c r="C227" s="31" t="inlineStr">
        <is>
          <t>FRUGIS REPRESENTACOES LTDA - 11.989.186/0001-70</t>
        </is>
      </c>
      <c r="D227" s="32">
        <f>G227</f>
        <v/>
      </c>
      <c r="E227" s="31" t="inlineStr">
        <is>
          <t>10/2019</t>
        </is>
      </c>
      <c r="F227" s="33" t="n"/>
      <c r="G227" s="33" t="n">
        <v>24170.86</v>
      </c>
      <c r="H227" s="32" t="n"/>
      <c r="I227" s="31" t="inlineStr">
        <is>
          <t>Complementado (não existia na base)</t>
        </is>
      </c>
      <c r="J227" s="31" t="inlineStr">
        <is>
          <t>Extrato conta corrente - Tenda</t>
        </is>
      </c>
      <c r="K227" s="31">
        <f>VALUE(RIGHT(A227,4))</f>
        <v/>
      </c>
    </row>
    <row r="228">
      <c r="A228" s="31" t="inlineStr">
        <is>
          <t>15/12/2019</t>
        </is>
      </c>
      <c r="B228" s="31" t="inlineStr">
        <is>
          <t>TOTAL CENTRO DE DISTRIBUICAO INTEGRADA LTDA - 12.460.301/0001-87</t>
        </is>
      </c>
      <c r="C228" s="31" t="inlineStr">
        <is>
          <t>FRUGIS REPRESENTACOES LTDA - 11.989.186/0001-70</t>
        </is>
      </c>
      <c r="D228" s="32">
        <f>G228</f>
        <v/>
      </c>
      <c r="E228" s="31" t="inlineStr">
        <is>
          <t>11/2019</t>
        </is>
      </c>
      <c r="F228" s="33" t="n"/>
      <c r="G228" s="33" t="n">
        <v>37474.07</v>
      </c>
      <c r="H228" s="32" t="n"/>
      <c r="I228" s="31" t="inlineStr">
        <is>
          <t>Complementado (não existia na base)</t>
        </is>
      </c>
      <c r="J228" s="31" t="inlineStr">
        <is>
          <t>Extrato conta corrente - Tenda</t>
        </is>
      </c>
      <c r="K228" s="31">
        <f>VALUE(RIGHT(A228,4))</f>
        <v/>
      </c>
    </row>
    <row r="229">
      <c r="A229" s="31" t="inlineStr">
        <is>
          <t>15/01/2020</t>
        </is>
      </c>
      <c r="B229" s="31" t="inlineStr">
        <is>
          <t>TOTAL CENTRO DE DISTRIBUICAO INTEGRADA LTDA - 12.460.301/0001-87</t>
        </is>
      </c>
      <c r="C229" s="31" t="inlineStr">
        <is>
          <t>FRUGIS REPRESENTACOES LTDA - 11.989.186/0001-70</t>
        </is>
      </c>
      <c r="D229" s="32">
        <f>G229</f>
        <v/>
      </c>
      <c r="E229" s="31" t="inlineStr">
        <is>
          <t>12/2019</t>
        </is>
      </c>
      <c r="F229" s="33" t="n"/>
      <c r="G229" s="33" t="n">
        <v>21231.7</v>
      </c>
      <c r="H229" s="32" t="n"/>
      <c r="I229" s="31" t="inlineStr">
        <is>
          <t>Complementado (não existia na base)</t>
        </is>
      </c>
      <c r="J229" s="31" t="inlineStr">
        <is>
          <t>Extrato conta corrente - Tenda</t>
        </is>
      </c>
      <c r="K229" s="31">
        <f>VALUE(RIGHT(A229,4))</f>
        <v/>
      </c>
    </row>
    <row r="230">
      <c r="A230" s="31" t="inlineStr">
        <is>
          <t>15/02/2020</t>
        </is>
      </c>
      <c r="B230" s="31" t="inlineStr">
        <is>
          <t>TOTAL CENTRO DE DISTRIBUICAO INTEGRADA LTDA - 12.460.301/0001-87</t>
        </is>
      </c>
      <c r="C230" s="31" t="inlineStr">
        <is>
          <t>FRUGIS REPRESENTACOES LTDA - 11.989.186/0001-70</t>
        </is>
      </c>
      <c r="D230" s="32">
        <f>G230</f>
        <v/>
      </c>
      <c r="E230" s="31" t="inlineStr">
        <is>
          <t>01/2020</t>
        </is>
      </c>
      <c r="F230" s="33" t="n"/>
      <c r="G230" s="33" t="n">
        <v>20788.47</v>
      </c>
      <c r="H230" s="32" t="n"/>
      <c r="I230" s="31" t="inlineStr">
        <is>
          <t>Complementado (não existia na base)</t>
        </is>
      </c>
      <c r="J230" s="31" t="inlineStr">
        <is>
          <t>Extrato conta corrente - Tenda</t>
        </is>
      </c>
      <c r="K230" s="31">
        <f>VALUE(RIGHT(A230,4))</f>
        <v/>
      </c>
    </row>
    <row r="231">
      <c r="A231" s="31" t="inlineStr">
        <is>
          <t>15/03/2020</t>
        </is>
      </c>
      <c r="B231" s="31" t="inlineStr">
        <is>
          <t>TOTAL CENTRO DE DISTRIBUICAO INTEGRADA LTDA - 12.460.301/0001-87</t>
        </is>
      </c>
      <c r="C231" s="31" t="inlineStr">
        <is>
          <t>FRUGIS REPRESENTACOES LTDA - 11.989.186/0001-70</t>
        </is>
      </c>
      <c r="D231" s="32">
        <f>G231</f>
        <v/>
      </c>
      <c r="E231" s="31" t="inlineStr">
        <is>
          <t>02/2020</t>
        </is>
      </c>
      <c r="F231" s="33" t="n"/>
      <c r="G231" s="33" t="n">
        <v>11132.21</v>
      </c>
      <c r="H231" s="32" t="n"/>
      <c r="I231" s="31" t="inlineStr">
        <is>
          <t>Complementado (não existia na base)</t>
        </is>
      </c>
      <c r="J231" s="31" t="inlineStr">
        <is>
          <t>Extrato conta corrente - Tenda</t>
        </is>
      </c>
      <c r="K231" s="31">
        <f>VALUE(RIGHT(A231,4))</f>
        <v/>
      </c>
    </row>
    <row r="232">
      <c r="A232" s="31" t="inlineStr">
        <is>
          <t>15/04/2020</t>
        </is>
      </c>
      <c r="B232" s="31" t="inlineStr">
        <is>
          <t>TOTAL CENTRO DE DISTRIBUICAO INTEGRADA LTDA - 12.460.301/0001-87</t>
        </is>
      </c>
      <c r="C232" s="31" t="inlineStr">
        <is>
          <t>FRUGIS REPRESENTACOES LTDA - 11.989.186/0001-70</t>
        </is>
      </c>
      <c r="D232" s="32">
        <f>G232</f>
        <v/>
      </c>
      <c r="E232" s="31" t="inlineStr">
        <is>
          <t>03/2020</t>
        </is>
      </c>
      <c r="F232" s="33" t="n"/>
      <c r="G232" s="33" t="n">
        <v>17055.62</v>
      </c>
      <c r="H232" s="32" t="n"/>
      <c r="I232" s="31" t="inlineStr">
        <is>
          <t>Complementado (não existia na base)</t>
        </is>
      </c>
      <c r="J232" s="31" t="inlineStr">
        <is>
          <t>Extrato conta corrente - Tenda</t>
        </is>
      </c>
      <c r="K232" s="31">
        <f>VALUE(RIGHT(A232,4))</f>
        <v/>
      </c>
    </row>
    <row r="233">
      <c r="A233" s="31" t="inlineStr">
        <is>
          <t>15/05/2020</t>
        </is>
      </c>
      <c r="B233" s="31" t="inlineStr">
        <is>
          <t>TOTAL CENTRO DE DISTRIBUICAO INTEGRADA LTDA - 12.460.301/0001-87</t>
        </is>
      </c>
      <c r="C233" s="31" t="inlineStr">
        <is>
          <t>FRUGIS REPRESENTACOES LTDA - 11.989.186/0001-70</t>
        </is>
      </c>
      <c r="D233" s="32">
        <f>G233</f>
        <v/>
      </c>
      <c r="E233" s="31" t="inlineStr">
        <is>
          <t>04/2020</t>
        </is>
      </c>
      <c r="F233" s="33" t="n"/>
      <c r="G233" s="33" t="n">
        <v>20717.44</v>
      </c>
      <c r="H233" s="32" t="n"/>
      <c r="I233" s="31" t="inlineStr">
        <is>
          <t>Complementado (não existia na base)</t>
        </is>
      </c>
      <c r="J233" s="31" t="inlineStr">
        <is>
          <t>Extrato conta corrente - Tenda</t>
        </is>
      </c>
      <c r="K233" s="31">
        <f>VALUE(RIGHT(A233,4))</f>
        <v/>
      </c>
    </row>
    <row r="234">
      <c r="A234" s="31" t="inlineStr">
        <is>
          <t>15/06/2020</t>
        </is>
      </c>
      <c r="B234" s="31" t="inlineStr">
        <is>
          <t>TOTAL CENTRO DE DISTRIBUICAO INTEGRADA LTDA - 12.460.301/0001-87</t>
        </is>
      </c>
      <c r="C234" s="31" t="inlineStr">
        <is>
          <t>FRUGIS REPRESENTACOES LTDA - 11.989.186/0001-70</t>
        </is>
      </c>
      <c r="D234" s="32">
        <f>G234</f>
        <v/>
      </c>
      <c r="E234" s="31" t="inlineStr">
        <is>
          <t>05/2020</t>
        </is>
      </c>
      <c r="F234" s="33" t="n"/>
      <c r="G234" s="33" t="n">
        <v>55534.04</v>
      </c>
      <c r="H234" s="32" t="n"/>
      <c r="I234" s="31" t="inlineStr">
        <is>
          <t>Complementado (não existia na base)</t>
        </is>
      </c>
      <c r="J234" s="31" t="inlineStr">
        <is>
          <t>Extrato conta corrente - Tenda</t>
        </is>
      </c>
      <c r="K234" s="31">
        <f>VALUE(RIGHT(A234,4))</f>
        <v/>
      </c>
    </row>
    <row r="235">
      <c r="A235" s="31" t="inlineStr">
        <is>
          <t>15/07/2020</t>
        </is>
      </c>
      <c r="B235" s="31" t="inlineStr">
        <is>
          <t>TOTAL CENTRO DE DISTRIBUICAO INTEGRADA LTDA - 12.460.301/0001-87</t>
        </is>
      </c>
      <c r="C235" s="31" t="inlineStr">
        <is>
          <t>FRUGIS REPRESENTACOES LTDA - 11.989.186/0001-70</t>
        </is>
      </c>
      <c r="D235" s="32">
        <f>G235</f>
        <v/>
      </c>
      <c r="E235" s="31" t="inlineStr">
        <is>
          <t>06/2020</t>
        </is>
      </c>
      <c r="F235" s="33" t="n"/>
      <c r="G235" s="33" t="n">
        <v>29876.01</v>
      </c>
      <c r="H235" s="32" t="n"/>
      <c r="I235" s="31" t="inlineStr">
        <is>
          <t>Complementado (não existia na base)</t>
        </is>
      </c>
      <c r="J235" s="31" t="inlineStr">
        <is>
          <t>Extrato conta corrente - Tenda</t>
        </is>
      </c>
      <c r="K235" s="31">
        <f>VALUE(RIGHT(A235,4))</f>
        <v/>
      </c>
    </row>
    <row r="236">
      <c r="A236" s="31" t="inlineStr">
        <is>
          <t>15/08/2020</t>
        </is>
      </c>
      <c r="B236" s="31" t="inlineStr">
        <is>
          <t>TOTAL CENTRO DE DISTRIBUICAO INTEGRADA LTDA - 12.460.301/0001-87</t>
        </is>
      </c>
      <c r="C236" s="31" t="inlineStr">
        <is>
          <t>FRUGIS REPRESENTACOES LTDA - 11.989.186/0001-70</t>
        </is>
      </c>
      <c r="D236" s="32">
        <f>G236</f>
        <v/>
      </c>
      <c r="E236" s="31" t="inlineStr">
        <is>
          <t>07/2020</t>
        </is>
      </c>
      <c r="F236" s="33" t="n"/>
      <c r="G236" s="33" t="n">
        <v>34489.73</v>
      </c>
      <c r="H236" s="32" t="n"/>
      <c r="I236" s="31" t="inlineStr">
        <is>
          <t>Complementado (não existia na base)</t>
        </is>
      </c>
      <c r="J236" s="31" t="inlineStr">
        <is>
          <t>Extrato conta corrente - Tenda</t>
        </is>
      </c>
      <c r="K236" s="31">
        <f>VALUE(RIGHT(A236,4))</f>
        <v/>
      </c>
    </row>
    <row r="237">
      <c r="A237" s="31" t="inlineStr">
        <is>
          <t>15/09/2020</t>
        </is>
      </c>
      <c r="B237" s="31" t="inlineStr">
        <is>
          <t>TOTAL CENTRO DE DISTRIBUICAO INTEGRADA LTDA - 12.460.301/0001-87</t>
        </is>
      </c>
      <c r="C237" s="31" t="inlineStr">
        <is>
          <t>FRUGIS REPRESENTACOES LTDA - 11.989.186/0001-70</t>
        </is>
      </c>
      <c r="D237" s="32">
        <f>G237</f>
        <v/>
      </c>
      <c r="E237" s="31" t="inlineStr">
        <is>
          <t>08/2020</t>
        </is>
      </c>
      <c r="F237" s="33" t="n"/>
      <c r="G237" s="33" t="n">
        <v>14638.42</v>
      </c>
      <c r="H237" s="32" t="n"/>
      <c r="I237" s="31" t="inlineStr">
        <is>
          <t>Complementado (não existia na base)</t>
        </is>
      </c>
      <c r="J237" s="31" t="inlineStr">
        <is>
          <t>Extrato conta corrente - Tenda</t>
        </is>
      </c>
      <c r="K237" s="31">
        <f>VALUE(RIGHT(A237,4))</f>
        <v/>
      </c>
    </row>
    <row r="238">
      <c r="A238" s="31" t="inlineStr">
        <is>
          <t>15/10/2020</t>
        </is>
      </c>
      <c r="B238" s="31" t="inlineStr">
        <is>
          <t>TOTAL CENTRO DE DISTRIBUICAO INTEGRADA LTDA - 12.460.301/0001-87</t>
        </is>
      </c>
      <c r="C238" s="31" t="inlineStr">
        <is>
          <t>FRUGIS REPRESENTACOES LTDA - 11.989.186/0001-70</t>
        </is>
      </c>
      <c r="D238" s="32">
        <f>G238</f>
        <v/>
      </c>
      <c r="E238" s="31" t="inlineStr">
        <is>
          <t>09/2020</t>
        </is>
      </c>
      <c r="F238" s="33" t="n"/>
      <c r="G238" s="33" t="n">
        <v>15194.29</v>
      </c>
      <c r="H238" s="32" t="n"/>
      <c r="I238" s="31" t="inlineStr">
        <is>
          <t>Complementado (não existia na base)</t>
        </is>
      </c>
      <c r="J238" s="31" t="inlineStr">
        <is>
          <t>Extrato conta corrente - Tenda</t>
        </is>
      </c>
      <c r="K238" s="31">
        <f>VALUE(RIGHT(A238,4))</f>
        <v/>
      </c>
    </row>
    <row r="239">
      <c r="A239" s="31" t="inlineStr">
        <is>
          <t>15/11/2020</t>
        </is>
      </c>
      <c r="B239" s="31" t="inlineStr">
        <is>
          <t>TOTAL CENTRO DE DISTRIBUICAO INTEGRADA LTDA - 12.460.301/0001-87</t>
        </is>
      </c>
      <c r="C239" s="31" t="inlineStr">
        <is>
          <t>FRUGIS REPRESENTACOES LTDA - 11.989.186/0001-70</t>
        </is>
      </c>
      <c r="D239" s="32">
        <f>G239</f>
        <v/>
      </c>
      <c r="E239" s="31" t="inlineStr">
        <is>
          <t>10/2020</t>
        </is>
      </c>
      <c r="F239" s="33" t="n"/>
      <c r="G239" s="33" t="n">
        <v>18268.27</v>
      </c>
      <c r="H239" s="32" t="n"/>
      <c r="I239" s="31" t="inlineStr">
        <is>
          <t>Complementado (não existia na base)</t>
        </is>
      </c>
      <c r="J239" s="31" t="inlineStr">
        <is>
          <t>Extrato conta corrente - Tenda</t>
        </is>
      </c>
      <c r="K239" s="31">
        <f>VALUE(RIGHT(A239,4))</f>
        <v/>
      </c>
    </row>
    <row r="240">
      <c r="A240" s="31" t="inlineStr">
        <is>
          <t>15/12/2020</t>
        </is>
      </c>
      <c r="B240" s="31" t="inlineStr">
        <is>
          <t>TOTAL CENTRO DE DISTRIBUICAO INTEGRADA LTDA - 12.460.301/0001-87</t>
        </is>
      </c>
      <c r="C240" s="31" t="inlineStr">
        <is>
          <t>FRUGIS REPRESENTACOES LTDA - 11.989.186/0001-70</t>
        </is>
      </c>
      <c r="D240" s="32">
        <f>G240</f>
        <v/>
      </c>
      <c r="E240" s="31" t="inlineStr">
        <is>
          <t>11/2020</t>
        </is>
      </c>
      <c r="F240" s="33" t="n"/>
      <c r="G240" s="33" t="n">
        <v>14367.29</v>
      </c>
      <c r="H240" s="32" t="n"/>
      <c r="I240" s="31" t="inlineStr">
        <is>
          <t>Complementado (não existia na base)</t>
        </is>
      </c>
      <c r="J240" s="31" t="inlineStr">
        <is>
          <t>Extrato conta corrente - Tenda</t>
        </is>
      </c>
      <c r="K240" s="31">
        <f>VALUE(RIGHT(A240,4))</f>
        <v/>
      </c>
    </row>
    <row r="241">
      <c r="A241" s="31" t="inlineStr">
        <is>
          <t>15/01/2021</t>
        </is>
      </c>
      <c r="B241" s="31" t="inlineStr">
        <is>
          <t>TOTAL CENTRO DE DISTRIBUICAO INTEGRADA LTDA - 12.460.301/0001-87</t>
        </is>
      </c>
      <c r="C241" s="31" t="inlineStr">
        <is>
          <t>FRUGIS REPRESENTACOES LTDA - 11.989.186/0001-70</t>
        </is>
      </c>
      <c r="D241" s="32">
        <f>G241</f>
        <v/>
      </c>
      <c r="E241" s="31" t="inlineStr">
        <is>
          <t>12/2020</t>
        </is>
      </c>
      <c r="F241" s="33" t="n"/>
      <c r="G241" s="33" t="n">
        <v>20950.58</v>
      </c>
      <c r="H241" s="32" t="n"/>
      <c r="I241" s="31" t="inlineStr">
        <is>
          <t>Complementado (não existia na base)</t>
        </is>
      </c>
      <c r="J241" s="31" t="inlineStr">
        <is>
          <t>Extrato conta corrente - Tenda</t>
        </is>
      </c>
      <c r="K241" s="31">
        <f>VALUE(RIGHT(A241,4))</f>
        <v/>
      </c>
    </row>
    <row r="242">
      <c r="A242" s="31" t="inlineStr">
        <is>
          <t>15/02/2021</t>
        </is>
      </c>
      <c r="B242" s="31" t="inlineStr">
        <is>
          <t>TOTAL CENTRO DE DISTRIBUICAO INTEGRADA LTDA - 12.460.301/0001-87</t>
        </is>
      </c>
      <c r="C242" s="31" t="inlineStr">
        <is>
          <t>FRUGIS REPRESENTACOES LTDA - 11.989.186/0001-70</t>
        </is>
      </c>
      <c r="D242" s="32">
        <f>G242</f>
        <v/>
      </c>
      <c r="E242" s="31" t="inlineStr">
        <is>
          <t>01/2021</t>
        </is>
      </c>
      <c r="F242" s="33" t="n"/>
      <c r="G242" s="33" t="n">
        <v>11833.2</v>
      </c>
      <c r="H242" s="32" t="n"/>
      <c r="I242" s="31" t="inlineStr">
        <is>
          <t>Complementado (não existia na base)</t>
        </is>
      </c>
      <c r="J242" s="31" t="inlineStr">
        <is>
          <t>Extrato conta corrente - Tenda</t>
        </is>
      </c>
      <c r="K242" s="31">
        <f>VALUE(RIGHT(A242,4))</f>
        <v/>
      </c>
    </row>
    <row r="243">
      <c r="A243" s="31" t="inlineStr">
        <is>
          <t>15/03/2021</t>
        </is>
      </c>
      <c r="B243" s="31" t="inlineStr">
        <is>
          <t>TOTAL CENTRO DE DISTRIBUICAO INTEGRADA LTDA - 12.460.301/0001-87</t>
        </is>
      </c>
      <c r="C243" s="31" t="inlineStr">
        <is>
          <t>FRUGIS REPRESENTACOES LTDA - 11.989.186/0001-70</t>
        </is>
      </c>
      <c r="D243" s="32">
        <f>G243</f>
        <v/>
      </c>
      <c r="E243" s="31" t="inlineStr">
        <is>
          <t>02/2021</t>
        </is>
      </c>
      <c r="F243" s="33" t="n"/>
      <c r="G243" s="33" t="n">
        <v>16494.84</v>
      </c>
      <c r="H243" s="32" t="n"/>
      <c r="I243" s="31" t="inlineStr">
        <is>
          <t>Complementado (não existia na base)</t>
        </is>
      </c>
      <c r="J243" s="31" t="inlineStr">
        <is>
          <t>Extrato conta corrente - Tenda</t>
        </is>
      </c>
      <c r="K243" s="31">
        <f>VALUE(RIGHT(A243,4))</f>
        <v/>
      </c>
    </row>
    <row r="244">
      <c r="A244" s="31" t="inlineStr">
        <is>
          <t>15/04/2021</t>
        </is>
      </c>
      <c r="B244" s="31" t="inlineStr">
        <is>
          <t>TOTAL CENTRO DE DISTRIBUICAO INTEGRADA LTDA - 12.460.301/0001-87</t>
        </is>
      </c>
      <c r="C244" s="31" t="inlineStr">
        <is>
          <t>FRUGIS REPRESENTACOES LTDA - 11.989.186/0001-70</t>
        </is>
      </c>
      <c r="D244" s="32">
        <f>G244</f>
        <v/>
      </c>
      <c r="E244" s="31" t="inlineStr">
        <is>
          <t>03/2021</t>
        </is>
      </c>
      <c r="F244" s="33" t="n"/>
      <c r="G244" s="33" t="n">
        <v>36339.65</v>
      </c>
      <c r="H244" s="32" t="n"/>
      <c r="I244" s="31" t="inlineStr">
        <is>
          <t>Complementado (não existia na base)</t>
        </is>
      </c>
      <c r="J244" s="31" t="inlineStr">
        <is>
          <t>Extrato conta corrente - Tenda</t>
        </is>
      </c>
      <c r="K244" s="31">
        <f>VALUE(RIGHT(A244,4))</f>
        <v/>
      </c>
    </row>
    <row r="245">
      <c r="A245" s="31" t="inlineStr">
        <is>
          <t>15/05/2021</t>
        </is>
      </c>
      <c r="B245" s="31" t="inlineStr">
        <is>
          <t>TOTAL CENTRO DE DISTRIBUICAO INTEGRADA LTDA - 12.460.301/0001-87</t>
        </is>
      </c>
      <c r="C245" s="31" t="inlineStr">
        <is>
          <t>FRUGIS REPRESENTACOES LTDA - 11.989.186/0001-70</t>
        </is>
      </c>
      <c r="D245" s="32">
        <f>G245</f>
        <v/>
      </c>
      <c r="E245" s="31" t="inlineStr">
        <is>
          <t>04/2021</t>
        </is>
      </c>
      <c r="F245" s="33" t="n"/>
      <c r="G245" s="33" t="n">
        <v>16613.09</v>
      </c>
      <c r="H245" s="32" t="n"/>
      <c r="I245" s="31" t="inlineStr">
        <is>
          <t>Complementado (não existia na base)</t>
        </is>
      </c>
      <c r="J245" s="31" t="inlineStr">
        <is>
          <t>Extrato conta corrente - Tenda</t>
        </is>
      </c>
      <c r="K245" s="31">
        <f>VALUE(RIGHT(A245,4))</f>
        <v/>
      </c>
    </row>
    <row r="246">
      <c r="A246" s="31" t="inlineStr">
        <is>
          <t>15/06/2021</t>
        </is>
      </c>
      <c r="B246" s="31" t="inlineStr">
        <is>
          <t>TOTAL CENTRO DE DISTRIBUICAO INTEGRADA LTDA - 12.460.301/0001-87</t>
        </is>
      </c>
      <c r="C246" s="31" t="inlineStr">
        <is>
          <t>FRUGIS REPRESENTACOES LTDA - 11.989.186/0001-70</t>
        </is>
      </c>
      <c r="D246" s="32">
        <f>G246</f>
        <v/>
      </c>
      <c r="E246" s="31" t="inlineStr">
        <is>
          <t>05/2021</t>
        </is>
      </c>
      <c r="F246" s="33" t="n"/>
      <c r="G246" s="33" t="n">
        <v>17074.19</v>
      </c>
      <c r="H246" s="32" t="n"/>
      <c r="I246" s="31" t="inlineStr">
        <is>
          <t>Complementado (não existia na base)</t>
        </is>
      </c>
      <c r="J246" s="31" t="inlineStr">
        <is>
          <t>Extrato conta corrente - Tenda</t>
        </is>
      </c>
      <c r="K246" s="31">
        <f>VALUE(RIGHT(A246,4))</f>
        <v/>
      </c>
    </row>
    <row r="247">
      <c r="A247" s="31" t="inlineStr">
        <is>
          <t>15/07/2021</t>
        </is>
      </c>
      <c r="B247" s="31" t="inlineStr">
        <is>
          <t>TOTAL CENTRO DE DISTRIBUICAO INTEGRADA LTDA - 12.460.301/0001-87</t>
        </is>
      </c>
      <c r="C247" s="31" t="inlineStr">
        <is>
          <t>FRUGIS REPRESENTACOES LTDA - 11.989.186/0001-70</t>
        </is>
      </c>
      <c r="D247" s="32">
        <f>G247</f>
        <v/>
      </c>
      <c r="E247" s="31" t="inlineStr">
        <is>
          <t>06/2021</t>
        </is>
      </c>
      <c r="F247" s="33" t="n"/>
      <c r="G247" s="33" t="n">
        <v>21162.03</v>
      </c>
      <c r="H247" s="32" t="n"/>
      <c r="I247" s="31" t="inlineStr">
        <is>
          <t>Complementado (não existia na base)</t>
        </is>
      </c>
      <c r="J247" s="31" t="inlineStr">
        <is>
          <t>Extrato conta corrente - Tenda</t>
        </is>
      </c>
      <c r="K247" s="31">
        <f>VALUE(RIGHT(A247,4))</f>
        <v/>
      </c>
    </row>
    <row r="248">
      <c r="A248" s="31" t="inlineStr">
        <is>
          <t>15/08/2021</t>
        </is>
      </c>
      <c r="B248" s="31" t="inlineStr">
        <is>
          <t>TOTAL CENTRO DE DISTRIBUICAO INTEGRADA LTDA - 12.460.301/0001-87</t>
        </is>
      </c>
      <c r="C248" s="31" t="inlineStr">
        <is>
          <t>FRUGIS REPRESENTACOES LTDA - 11.989.186/0001-70</t>
        </is>
      </c>
      <c r="D248" s="32">
        <f>G248</f>
        <v/>
      </c>
      <c r="E248" s="31" t="inlineStr">
        <is>
          <t>07/2021</t>
        </is>
      </c>
      <c r="F248" s="33" t="n"/>
      <c r="G248" s="33" t="n">
        <v>12403.52</v>
      </c>
      <c r="H248" s="32" t="n"/>
      <c r="I248" s="31" t="inlineStr">
        <is>
          <t>Complementado (não existia na base)</t>
        </is>
      </c>
      <c r="J248" s="31" t="inlineStr">
        <is>
          <t>Extrato conta corrente - Tenda</t>
        </is>
      </c>
      <c r="K248" s="31">
        <f>VALUE(RIGHT(A248,4))</f>
        <v/>
      </c>
    </row>
    <row r="249">
      <c r="A249" s="31" t="inlineStr">
        <is>
          <t>15/09/2021</t>
        </is>
      </c>
      <c r="B249" s="31" t="inlineStr">
        <is>
          <t>TOTAL CENTRO DE DISTRIBUICAO INTEGRADA LTDA - 12.460.301/0001-87</t>
        </is>
      </c>
      <c r="C249" s="31" t="inlineStr">
        <is>
          <t>FRUGIS REPRESENTACOES LTDA - 11.989.186/0001-70</t>
        </is>
      </c>
      <c r="D249" s="32">
        <f>G249</f>
        <v/>
      </c>
      <c r="E249" s="31" t="inlineStr">
        <is>
          <t>08/2021</t>
        </is>
      </c>
      <c r="F249" s="33" t="n"/>
      <c r="G249" s="33" t="n">
        <v>16331.09</v>
      </c>
      <c r="H249" s="32" t="n"/>
      <c r="I249" s="31" t="inlineStr">
        <is>
          <t>Complementado (não existia na base)</t>
        </is>
      </c>
      <c r="J249" s="31" t="inlineStr">
        <is>
          <t>Extrato conta corrente - Tenda</t>
        </is>
      </c>
      <c r="K249" s="31">
        <f>VALUE(RIGHT(A249,4))</f>
        <v/>
      </c>
    </row>
    <row r="250">
      <c r="A250" s="31" t="inlineStr">
        <is>
          <t>15/10/2021</t>
        </is>
      </c>
      <c r="B250" s="31" t="inlineStr">
        <is>
          <t>TOTAL CENTRO DE DISTRIBUICAO INTEGRADA LTDA - 12.460.301/0001-87</t>
        </is>
      </c>
      <c r="C250" s="31" t="inlineStr">
        <is>
          <t>FRUGIS REPRESENTACOES LTDA - 11.989.186/0001-70</t>
        </is>
      </c>
      <c r="D250" s="32">
        <f>G250</f>
        <v/>
      </c>
      <c r="E250" s="31" t="inlineStr">
        <is>
          <t>09/2021</t>
        </is>
      </c>
      <c r="F250" s="33" t="n"/>
      <c r="G250" s="33" t="n">
        <v>8853.66</v>
      </c>
      <c r="H250" s="32" t="n"/>
      <c r="I250" s="31" t="inlineStr">
        <is>
          <t>Complementado (não existia na base)</t>
        </is>
      </c>
      <c r="J250" s="31" t="inlineStr">
        <is>
          <t>Extrato conta corrente - Tenda</t>
        </is>
      </c>
      <c r="K250" s="31">
        <f>VALUE(RIGHT(A250,4))</f>
        <v/>
      </c>
    </row>
    <row r="251">
      <c r="A251" s="31" t="inlineStr">
        <is>
          <t>15/11/2021</t>
        </is>
      </c>
      <c r="B251" s="31" t="inlineStr">
        <is>
          <t>TOTAL CENTRO DE DISTRIBUICAO INTEGRADA LTDA - 12.460.301/0001-87</t>
        </is>
      </c>
      <c r="C251" s="31" t="inlineStr">
        <is>
          <t>FRUGIS REPRESENTACOES LTDA - 11.989.186/0001-70</t>
        </is>
      </c>
      <c r="D251" s="32">
        <f>G251</f>
        <v/>
      </c>
      <c r="E251" s="31" t="inlineStr">
        <is>
          <t>10/2021</t>
        </is>
      </c>
      <c r="F251" s="33" t="n"/>
      <c r="G251" s="33" t="n">
        <v>25051.33</v>
      </c>
      <c r="H251" s="32" t="n"/>
      <c r="I251" s="31" t="inlineStr">
        <is>
          <t>Complementado (não existia na base)</t>
        </is>
      </c>
      <c r="J251" s="31" t="inlineStr">
        <is>
          <t>Extrato conta corrente - Tenda</t>
        </is>
      </c>
      <c r="K251" s="31">
        <f>VALUE(RIGHT(A251,4))</f>
        <v/>
      </c>
    </row>
    <row r="252">
      <c r="A252" s="31" t="inlineStr">
        <is>
          <t>15/12/2021</t>
        </is>
      </c>
      <c r="B252" s="31" t="inlineStr">
        <is>
          <t>TOTAL CENTRO DE DISTRIBUICAO INTEGRADA LTDA - 12.460.301/0001-87</t>
        </is>
      </c>
      <c r="C252" s="31" t="inlineStr">
        <is>
          <t>FRUGIS REPRESENTACOES LTDA - 11.989.186/0001-70</t>
        </is>
      </c>
      <c r="D252" s="32">
        <f>G252</f>
        <v/>
      </c>
      <c r="E252" s="31" t="inlineStr">
        <is>
          <t>11/2021</t>
        </is>
      </c>
      <c r="F252" s="33" t="n"/>
      <c r="G252" s="33" t="n">
        <v>25878.19</v>
      </c>
      <c r="H252" s="32" t="n"/>
      <c r="I252" s="31" t="inlineStr">
        <is>
          <t>Complementado (não existia na base)</t>
        </is>
      </c>
      <c r="J252" s="31" t="inlineStr">
        <is>
          <t>Extrato conta corrente - Tenda</t>
        </is>
      </c>
      <c r="K252" s="31">
        <f>VALUE(RIGHT(A252,4))</f>
        <v/>
      </c>
    </row>
    <row r="253">
      <c r="A253" s="31" t="inlineStr">
        <is>
          <t>15/01/2022</t>
        </is>
      </c>
      <c r="B253" s="31" t="inlineStr">
        <is>
          <t>TOTAL CENTRO DE DISTRIBUICAO INTEGRADA LTDA - 12.460.301/0001-87</t>
        </is>
      </c>
      <c r="C253" s="31" t="inlineStr">
        <is>
          <t>FRUGIS REPRESENTACOES LTDA - 11.989.186/0001-70</t>
        </is>
      </c>
      <c r="D253" s="32">
        <f>G253</f>
        <v/>
      </c>
      <c r="E253" s="31" t="inlineStr">
        <is>
          <t>12/2021</t>
        </is>
      </c>
      <c r="F253" s="33" t="n"/>
      <c r="G253" s="33" t="n">
        <v>1400.56</v>
      </c>
      <c r="H253" s="32" t="n"/>
      <c r="I253" s="31" t="inlineStr">
        <is>
          <t>Complementado (não existia na base)</t>
        </is>
      </c>
      <c r="J253" s="31" t="inlineStr">
        <is>
          <t>Extrato conta corrente - Tenda</t>
        </is>
      </c>
      <c r="K253" s="31">
        <f>VALUE(RIGHT(A253,4))</f>
        <v/>
      </c>
    </row>
    <row r="254">
      <c r="A254" s="31" t="inlineStr">
        <is>
          <t>15/02/2022</t>
        </is>
      </c>
      <c r="B254" s="31" t="inlineStr">
        <is>
          <t>TOTAL CENTRO DE DISTRIBUICAO INTEGRADA LTDA - 12.460.301/0001-87</t>
        </is>
      </c>
      <c r="C254" s="31" t="inlineStr">
        <is>
          <t>FRUGIS REPRESENTACOES LTDA - 11.989.186/0001-70</t>
        </is>
      </c>
      <c r="D254" s="32">
        <f>G254</f>
        <v/>
      </c>
      <c r="E254" s="31" t="inlineStr">
        <is>
          <t>01/2022</t>
        </is>
      </c>
      <c r="F254" s="33" t="n"/>
      <c r="G254" s="33" t="n">
        <v>23739.59</v>
      </c>
      <c r="H254" s="32" t="n"/>
      <c r="I254" s="31" t="inlineStr">
        <is>
          <t>Complementado (não existia na base)</t>
        </is>
      </c>
      <c r="J254" s="31" t="inlineStr">
        <is>
          <t>Extrato conta corrente - Tenda</t>
        </is>
      </c>
      <c r="K254" s="31">
        <f>VALUE(RIGHT(A254,4))</f>
        <v/>
      </c>
    </row>
    <row r="255">
      <c r="A255" s="31" t="inlineStr">
        <is>
          <t>15/03/2022</t>
        </is>
      </c>
      <c r="B255" s="31" t="inlineStr">
        <is>
          <t>TOTAL CENTRO DE DISTRIBUICAO INTEGRADA LTDA - 12.460.301/0001-87</t>
        </is>
      </c>
      <c r="C255" s="31" t="inlineStr">
        <is>
          <t>FRUGIS REPRESENTACOES LTDA - 11.989.186/0001-70</t>
        </is>
      </c>
      <c r="D255" s="32">
        <f>G255</f>
        <v/>
      </c>
      <c r="E255" s="31" t="inlineStr">
        <is>
          <t>02/2022</t>
        </is>
      </c>
      <c r="F255" s="33" t="n"/>
      <c r="G255" s="33" t="n">
        <v>6103.45</v>
      </c>
      <c r="H255" s="32" t="n"/>
      <c r="I255" s="31" t="inlineStr">
        <is>
          <t>Complementado (não existia na base)</t>
        </is>
      </c>
      <c r="J255" s="31" t="inlineStr">
        <is>
          <t>Extrato conta corrente - Tenda</t>
        </is>
      </c>
      <c r="K255" s="31">
        <f>VALUE(RIGHT(A255,4))</f>
        <v/>
      </c>
    </row>
    <row r="256">
      <c r="A256" s="31" t="inlineStr">
        <is>
          <t>15/04/2022</t>
        </is>
      </c>
      <c r="B256" s="31" t="inlineStr">
        <is>
          <t>TOTAL CENTRO DE DISTRIBUICAO INTEGRADA LTDA - 12.460.301/0001-87</t>
        </is>
      </c>
      <c r="C256" s="31" t="inlineStr">
        <is>
          <t>FRUGIS REPRESENTACOES LTDA - 11.989.186/0001-70</t>
        </is>
      </c>
      <c r="D256" s="32">
        <f>G256</f>
        <v/>
      </c>
      <c r="E256" s="31" t="inlineStr">
        <is>
          <t>03/2022</t>
        </is>
      </c>
      <c r="F256" s="33" t="n"/>
      <c r="G256" s="33" t="n">
        <v>21026.03</v>
      </c>
      <c r="H256" s="32" t="n"/>
      <c r="I256" s="31" t="inlineStr">
        <is>
          <t>Complementado (não existia na base)</t>
        </is>
      </c>
      <c r="J256" s="31" t="inlineStr">
        <is>
          <t>Extrato conta corrente - Tenda</t>
        </is>
      </c>
      <c r="K256" s="31">
        <f>VALUE(RIGHT(A256,4))</f>
        <v/>
      </c>
    </row>
    <row r="257">
      <c r="A257" s="31" t="inlineStr">
        <is>
          <t>15/05/2022</t>
        </is>
      </c>
      <c r="B257" s="31" t="inlineStr">
        <is>
          <t>TOTAL CENTRO DE DISTRIBUICAO INTEGRADA LTDA - 12.460.301/0001-87</t>
        </is>
      </c>
      <c r="C257" s="31" t="inlineStr">
        <is>
          <t>FRUGIS REPRESENTACOES LTDA - 11.989.186/0001-70</t>
        </is>
      </c>
      <c r="D257" s="32">
        <f>G257</f>
        <v/>
      </c>
      <c r="E257" s="31" t="inlineStr">
        <is>
          <t>04/2022</t>
        </is>
      </c>
      <c r="F257" s="33" t="n"/>
      <c r="G257" s="33" t="n">
        <v>3426.73</v>
      </c>
      <c r="H257" s="32" t="n"/>
      <c r="I257" s="31" t="inlineStr">
        <is>
          <t>Complementado (não existia na base)</t>
        </is>
      </c>
      <c r="J257" s="31" t="inlineStr">
        <is>
          <t>Extrato conta corrente - Tenda</t>
        </is>
      </c>
      <c r="K257" s="31">
        <f>VALUE(RIGHT(A257,4))</f>
        <v/>
      </c>
    </row>
    <row r="258">
      <c r="A258" s="31" t="inlineStr">
        <is>
          <t>15/06/2022</t>
        </is>
      </c>
      <c r="B258" s="31" t="inlineStr">
        <is>
          <t>TOTAL CENTRO DE DISTRIBUICAO INTEGRADA LTDA - 12.460.301/0001-87</t>
        </is>
      </c>
      <c r="C258" s="31" t="inlineStr">
        <is>
          <t>FRUGIS REPRESENTACOES LTDA - 11.989.186/0001-70</t>
        </is>
      </c>
      <c r="D258" s="32">
        <f>G258</f>
        <v/>
      </c>
      <c r="E258" s="31" t="inlineStr">
        <is>
          <t>05/2022</t>
        </is>
      </c>
      <c r="F258" s="33" t="n"/>
      <c r="G258" s="33" t="n">
        <v>30672.73</v>
      </c>
      <c r="H258" s="32" t="n"/>
      <c r="I258" s="31" t="inlineStr">
        <is>
          <t>Complementado (não existia na base)</t>
        </is>
      </c>
      <c r="J258" s="31" t="inlineStr">
        <is>
          <t>Extrato conta corrente - Tenda</t>
        </is>
      </c>
      <c r="K258" s="31">
        <f>VALUE(RIGHT(A258,4))</f>
        <v/>
      </c>
    </row>
    <row r="259">
      <c r="A259" s="31" t="inlineStr">
        <is>
          <t>15/07/2022</t>
        </is>
      </c>
      <c r="B259" s="31" t="inlineStr">
        <is>
          <t>TOTAL CENTRO DE DISTRIBUICAO INTEGRADA LTDA - 12.460.301/0001-87</t>
        </is>
      </c>
      <c r="C259" s="31" t="inlineStr">
        <is>
          <t>FRUGIS REPRESENTACOES LTDA - 11.989.186/0001-70</t>
        </is>
      </c>
      <c r="D259" s="32">
        <f>G259</f>
        <v/>
      </c>
      <c r="E259" s="31" t="inlineStr">
        <is>
          <t>06/2022</t>
        </is>
      </c>
      <c r="F259" s="33" t="n"/>
      <c r="G259" s="33" t="n">
        <v>31090.99</v>
      </c>
      <c r="H259" s="32" t="n"/>
      <c r="I259" s="31" t="inlineStr">
        <is>
          <t>Complementado (não existia na base)</t>
        </is>
      </c>
      <c r="J259" s="31" t="inlineStr">
        <is>
          <t>Extrato conta corrente - Tenda</t>
        </is>
      </c>
      <c r="K259" s="31">
        <f>VALUE(RIGHT(A259,4))</f>
        <v/>
      </c>
    </row>
    <row r="260">
      <c r="A260" s="31" t="inlineStr">
        <is>
          <t>15/08/2022</t>
        </is>
      </c>
      <c r="B260" s="31" t="inlineStr">
        <is>
          <t>TOTAL CENTRO DE DISTRIBUICAO INTEGRADA LTDA - 12.460.301/0001-87</t>
        </is>
      </c>
      <c r="C260" s="31" t="inlineStr">
        <is>
          <t>FRUGIS REPRESENTACOES LTDA - 11.989.186/0001-70</t>
        </is>
      </c>
      <c r="D260" s="32">
        <f>G260</f>
        <v/>
      </c>
      <c r="E260" s="31" t="inlineStr">
        <is>
          <t>07/2022</t>
        </is>
      </c>
      <c r="F260" s="33" t="n"/>
      <c r="G260" s="33" t="n">
        <v>21073.56</v>
      </c>
      <c r="H260" s="32" t="n"/>
      <c r="I260" s="31" t="inlineStr">
        <is>
          <t>Complementado (não existia na base)</t>
        </is>
      </c>
      <c r="J260" s="31" t="inlineStr">
        <is>
          <t>Extrato conta corrente - Tenda</t>
        </is>
      </c>
      <c r="K260" s="31">
        <f>VALUE(RIGHT(A260,4))</f>
        <v/>
      </c>
    </row>
    <row r="261">
      <c r="A261" s="31" t="inlineStr">
        <is>
          <t>15/09/2022</t>
        </is>
      </c>
      <c r="B261" s="31" t="inlineStr">
        <is>
          <t>TOTAL CENTRO DE DISTRIBUICAO INTEGRADA LTDA - 12.460.301/0001-87</t>
        </is>
      </c>
      <c r="C261" s="31" t="inlineStr">
        <is>
          <t>FRUGIS REPRESENTACOES LTDA - 11.989.186/0001-70</t>
        </is>
      </c>
      <c r="D261" s="32">
        <f>G261</f>
        <v/>
      </c>
      <c r="E261" s="31" t="inlineStr">
        <is>
          <t>08/2022</t>
        </is>
      </c>
      <c r="F261" s="33" t="n"/>
      <c r="G261" s="33" t="n">
        <v>0</v>
      </c>
      <c r="H261" s="32" t="n"/>
      <c r="I261" s="31" t="inlineStr">
        <is>
          <t>Complementado (sem pagamento no mês)</t>
        </is>
      </c>
      <c r="J261" s="31" t="inlineStr">
        <is>
          <t>Sem pagamento no mês</t>
        </is>
      </c>
      <c r="K261" s="31">
        <f>VALUE(RIGHT(A261,4))</f>
        <v/>
      </c>
    </row>
    <row r="262">
      <c r="A262" s="31" t="inlineStr">
        <is>
          <t>15/10/2022</t>
        </is>
      </c>
      <c r="B262" s="31" t="inlineStr">
        <is>
          <t>TOTAL CENTRO DE DISTRIBUICAO INTEGRADA LTDA - 12.460.301/0001-87</t>
        </is>
      </c>
      <c r="C262" s="31" t="inlineStr">
        <is>
          <t>FRUGIS REPRESENTACOES LTDA - 11.989.186/0001-70</t>
        </is>
      </c>
      <c r="D262" s="32">
        <f>G262</f>
        <v/>
      </c>
      <c r="E262" s="31" t="inlineStr">
        <is>
          <t>09/2022</t>
        </is>
      </c>
      <c r="F262" s="33" t="n"/>
      <c r="G262" s="33" t="n">
        <v>42626.11</v>
      </c>
      <c r="H262" s="32" t="n"/>
      <c r="I262" s="31" t="inlineStr">
        <is>
          <t>Complementado (não existia na base)</t>
        </is>
      </c>
      <c r="J262" s="31" t="inlineStr">
        <is>
          <t>Extrato conta corrente - Tenda</t>
        </is>
      </c>
      <c r="K262" s="31">
        <f>VALUE(RIGHT(A262,4))</f>
        <v/>
      </c>
    </row>
    <row r="263">
      <c r="A263" s="31" t="inlineStr">
        <is>
          <t>15/11/2022</t>
        </is>
      </c>
      <c r="B263" s="31" t="inlineStr">
        <is>
          <t>TOTAL CENTRO DE DISTRIBUICAO INTEGRADA LTDA - 12.460.301/0001-87</t>
        </is>
      </c>
      <c r="C263" s="31" t="inlineStr">
        <is>
          <t>FRUGIS REPRESENTACOES LTDA - 11.989.186/0001-70</t>
        </is>
      </c>
      <c r="D263" s="32">
        <f>G263</f>
        <v/>
      </c>
      <c r="E263" s="31" t="inlineStr">
        <is>
          <t>10/2022</t>
        </is>
      </c>
      <c r="F263" s="33" t="n"/>
      <c r="G263" s="33" t="n">
        <v>26052.54</v>
      </c>
      <c r="H263" s="32" t="n"/>
      <c r="I263" s="31" t="inlineStr">
        <is>
          <t>Complementado (não existia na base)</t>
        </is>
      </c>
      <c r="J263" s="31" t="inlineStr">
        <is>
          <t>Extrato conta corrente - Tenda</t>
        </is>
      </c>
      <c r="K263" s="31">
        <f>VALUE(RIGHT(A263,4))</f>
        <v/>
      </c>
    </row>
    <row r="264">
      <c r="A264" s="31" t="inlineStr">
        <is>
          <t>15/12/2022</t>
        </is>
      </c>
      <c r="B264" s="31" t="inlineStr">
        <is>
          <t>TOTAL CENTRO DE DISTRIBUICAO INTEGRADA LTDA - 12.460.301/0001-87</t>
        </is>
      </c>
      <c r="C264" s="31" t="inlineStr">
        <is>
          <t>FRUGIS REPRESENTACOES LTDA - 11.989.186/0001-70</t>
        </is>
      </c>
      <c r="D264" s="32">
        <f>G264</f>
        <v/>
      </c>
      <c r="E264" s="31" t="inlineStr">
        <is>
          <t>11/2022</t>
        </is>
      </c>
      <c r="F264" s="33" t="n"/>
      <c r="G264" s="33" t="n">
        <v>15606.46</v>
      </c>
      <c r="H264" s="32" t="n"/>
      <c r="I264" s="31" t="inlineStr">
        <is>
          <t>Complementado (não existia na base)</t>
        </is>
      </c>
      <c r="J264" s="31" t="inlineStr">
        <is>
          <t>Extrato conta corrente - Tenda</t>
        </is>
      </c>
      <c r="K264" s="31">
        <f>VALUE(RIGHT(A264,4))</f>
        <v/>
      </c>
    </row>
    <row r="265">
      <c r="A265" s="31" t="inlineStr">
        <is>
          <t>15/01/2023</t>
        </is>
      </c>
      <c r="B265" s="31" t="inlineStr">
        <is>
          <t>TOTAL CENTRO DE DISTRIBUICAO INTEGRADA LTDA - 12.460.301/0001-87</t>
        </is>
      </c>
      <c r="C265" s="31" t="inlineStr">
        <is>
          <t>FRUGIS REPRESENTACOES LTDA - 11.989.186/0001-70</t>
        </is>
      </c>
      <c r="D265" s="32">
        <f>G265</f>
        <v/>
      </c>
      <c r="E265" s="31" t="inlineStr">
        <is>
          <t>12/2022</t>
        </is>
      </c>
      <c r="F265" s="33" t="n"/>
      <c r="G265" s="33" t="n">
        <v>10919.82</v>
      </c>
      <c r="H265" s="32" t="n"/>
      <c r="I265" s="31" t="inlineStr">
        <is>
          <t>Complementado (não existia na base)</t>
        </is>
      </c>
      <c r="J265" s="31" t="inlineStr">
        <is>
          <t>Extrato conta corrente - Tenda</t>
        </is>
      </c>
      <c r="K265" s="31">
        <f>VALUE(RIGHT(A265,4))</f>
        <v/>
      </c>
    </row>
    <row r="266">
      <c r="A266" s="31" t="inlineStr">
        <is>
          <t>15/02/2023</t>
        </is>
      </c>
      <c r="B266" s="31" t="inlineStr">
        <is>
          <t>TOTAL CENTRO DE DISTRIBUICAO INTEGRADA LTDA - 12.460.301/0001-87</t>
        </is>
      </c>
      <c r="C266" s="31" t="inlineStr">
        <is>
          <t>FRUGIS REPRESENTACOES LTDA - 11.989.186/0001-70</t>
        </is>
      </c>
      <c r="D266" s="32">
        <f>G266</f>
        <v/>
      </c>
      <c r="E266" s="31" t="inlineStr">
        <is>
          <t>01/2023</t>
        </is>
      </c>
      <c r="F266" s="33" t="n"/>
      <c r="G266" s="33" t="n">
        <v>22738.21</v>
      </c>
      <c r="H266" s="32" t="n"/>
      <c r="I266" s="31" t="inlineStr">
        <is>
          <t>Complementado (não existia na base)</t>
        </is>
      </c>
      <c r="J266" s="31" t="inlineStr">
        <is>
          <t>Extrato conta corrente - Tenda</t>
        </is>
      </c>
      <c r="K266" s="31">
        <f>VALUE(RIGHT(A266,4))</f>
        <v/>
      </c>
    </row>
    <row r="267">
      <c r="A267" s="31" t="inlineStr">
        <is>
          <t>15/03/2023</t>
        </is>
      </c>
      <c r="B267" s="31" t="inlineStr">
        <is>
          <t>TOTAL CENTRO DE DISTRIBUICAO INTEGRADA LTDA - 12.460.301/0001-87</t>
        </is>
      </c>
      <c r="C267" s="31" t="inlineStr">
        <is>
          <t>FRUGIS REPRESENTACOES LTDA - 11.989.186/0001-70</t>
        </is>
      </c>
      <c r="D267" s="32">
        <f>G267</f>
        <v/>
      </c>
      <c r="E267" s="31" t="inlineStr">
        <is>
          <t>02/2023</t>
        </is>
      </c>
      <c r="F267" s="33" t="n"/>
      <c r="G267" s="33" t="n">
        <v>8849.27</v>
      </c>
      <c r="H267" s="32" t="n"/>
      <c r="I267" s="31" t="inlineStr">
        <is>
          <t>Complementado (não existia na base)</t>
        </is>
      </c>
      <c r="J267" s="31" t="inlineStr">
        <is>
          <t>Extrato conta corrente - Tenda</t>
        </is>
      </c>
      <c r="K267" s="31">
        <f>VALUE(RIGHT(A267,4))</f>
        <v/>
      </c>
    </row>
    <row r="268">
      <c r="A268" s="31" t="inlineStr">
        <is>
          <t>15/04/2023</t>
        </is>
      </c>
      <c r="B268" s="31" t="inlineStr">
        <is>
          <t>TOTAL CENTRO DE DISTRIBUICAO INTEGRADA LTDA - 12.460.301/0001-87</t>
        </is>
      </c>
      <c r="C268" s="31" t="inlineStr">
        <is>
          <t>FRUGIS REPRESENTACOES LTDA - 11.989.186/0001-70</t>
        </is>
      </c>
      <c r="D268" s="32">
        <f>G268</f>
        <v/>
      </c>
      <c r="E268" s="31" t="inlineStr">
        <is>
          <t>03/2023</t>
        </is>
      </c>
      <c r="F268" s="33" t="n"/>
      <c r="G268" s="33" t="n">
        <v>30612.19</v>
      </c>
      <c r="H268" s="32" t="n"/>
      <c r="I268" s="31" t="inlineStr">
        <is>
          <t>Complementado (não existia na base)</t>
        </is>
      </c>
      <c r="J268" s="31" t="inlineStr">
        <is>
          <t>Extrato conta corrente - Tenda</t>
        </is>
      </c>
      <c r="K268" s="31">
        <f>VALUE(RIGHT(A268,4))</f>
        <v/>
      </c>
    </row>
    <row r="269">
      <c r="A269" s="31" t="inlineStr">
        <is>
          <t>15/05/2023</t>
        </is>
      </c>
      <c r="B269" s="31" t="inlineStr">
        <is>
          <t>TOTAL CENTRO DE DISTRIBUICAO INTEGRADA LTDA - 12.460.301/0001-87</t>
        </is>
      </c>
      <c r="C269" s="31" t="inlineStr">
        <is>
          <t>FRUGIS REPRESENTACOES LTDA - 11.989.186/0001-70</t>
        </is>
      </c>
      <c r="D269" s="32">
        <f>G269</f>
        <v/>
      </c>
      <c r="E269" s="31" t="inlineStr">
        <is>
          <t>04/2023</t>
        </is>
      </c>
      <c r="F269" s="33" t="n"/>
      <c r="G269" s="33" t="n">
        <v>12480.11</v>
      </c>
      <c r="H269" s="32" t="n"/>
      <c r="I269" s="31" t="inlineStr">
        <is>
          <t>Complementado (não existia na base)</t>
        </is>
      </c>
      <c r="J269" s="31" t="inlineStr">
        <is>
          <t>Extrato conta corrente - Tenda</t>
        </is>
      </c>
      <c r="K269" s="31">
        <f>VALUE(RIGHT(A269,4))</f>
        <v/>
      </c>
    </row>
    <row r="270">
      <c r="A270" s="31" t="inlineStr">
        <is>
          <t>15/06/2023</t>
        </is>
      </c>
      <c r="B270" s="31" t="inlineStr">
        <is>
          <t>TOTAL CENTRO DE DISTRIBUICAO INTEGRADA LTDA - 12.460.301/0001-87</t>
        </is>
      </c>
      <c r="C270" s="31" t="inlineStr">
        <is>
          <t>FRUGIS REPRESENTACOES LTDA - 11.989.186/0001-70</t>
        </is>
      </c>
      <c r="D270" s="32">
        <f>G270</f>
        <v/>
      </c>
      <c r="E270" s="31" t="inlineStr">
        <is>
          <t>05/2023</t>
        </is>
      </c>
      <c r="F270" s="33" t="n"/>
      <c r="G270" s="33" t="n">
        <v>28179.97</v>
      </c>
      <c r="H270" s="32" t="n"/>
      <c r="I270" s="31" t="inlineStr">
        <is>
          <t>Complementado (não existia na base)</t>
        </is>
      </c>
      <c r="J270" s="31" t="inlineStr">
        <is>
          <t>Extrato conta corrente - Tenda</t>
        </is>
      </c>
      <c r="K270" s="31">
        <f>VALUE(RIGHT(A270,4))</f>
        <v/>
      </c>
    </row>
    <row r="271">
      <c r="A271" s="31" t="inlineStr">
        <is>
          <t>15/07/2023</t>
        </is>
      </c>
      <c r="B271" s="31" t="inlineStr">
        <is>
          <t>TOTAL CENTRO DE DISTRIBUICAO INTEGRADA LTDA - 12.460.301/0001-87</t>
        </is>
      </c>
      <c r="C271" s="31" t="inlineStr">
        <is>
          <t>FRUGIS REPRESENTACOES LTDA - 11.989.186/0001-70</t>
        </is>
      </c>
      <c r="D271" s="32">
        <f>G271</f>
        <v/>
      </c>
      <c r="E271" s="31" t="inlineStr">
        <is>
          <t>06/2023</t>
        </is>
      </c>
      <c r="F271" s="33" t="n"/>
      <c r="G271" s="33" t="n">
        <v>31811.06</v>
      </c>
      <c r="H271" s="32" t="n"/>
      <c r="I271" s="31" t="inlineStr">
        <is>
          <t>Complementado (não existia na base)</t>
        </is>
      </c>
      <c r="J271" s="31" t="inlineStr">
        <is>
          <t>Extrato conta corrente - Tenda</t>
        </is>
      </c>
      <c r="K271" s="31">
        <f>VALUE(RIGHT(A271,4))</f>
        <v/>
      </c>
    </row>
    <row r="272">
      <c r="A272" s="31" t="inlineStr">
        <is>
          <t>15/08/2023</t>
        </is>
      </c>
      <c r="B272" s="31" t="inlineStr">
        <is>
          <t>TOTAL CENTRO DE DISTRIBUICAO INTEGRADA LTDA - 12.460.301/0001-87</t>
        </is>
      </c>
      <c r="C272" s="31" t="inlineStr">
        <is>
          <t>FRUGIS REPRESENTACOES LTDA - 11.989.186/0001-70</t>
        </is>
      </c>
      <c r="D272" s="32">
        <f>G272</f>
        <v/>
      </c>
      <c r="E272" s="31" t="inlineStr">
        <is>
          <t>07/2023</t>
        </is>
      </c>
      <c r="F272" s="33" t="n"/>
      <c r="G272" s="33" t="n">
        <v>24574.17</v>
      </c>
      <c r="H272" s="32" t="n"/>
      <c r="I272" s="31" t="inlineStr">
        <is>
          <t>Complementado (não existia na base)</t>
        </is>
      </c>
      <c r="J272" s="31" t="inlineStr">
        <is>
          <t>Extrato conta corrente - Tenda</t>
        </is>
      </c>
      <c r="K272" s="31">
        <f>VALUE(RIGHT(A272,4))</f>
        <v/>
      </c>
    </row>
    <row r="273">
      <c r="A273" s="31" t="inlineStr">
        <is>
          <t>15/09/2023</t>
        </is>
      </c>
      <c r="B273" s="31" t="inlineStr">
        <is>
          <t>TOTAL CENTRO DE DISTRIBUICAO INTEGRADA LTDA - 12.460.301/0001-87</t>
        </is>
      </c>
      <c r="C273" s="31" t="inlineStr">
        <is>
          <t>FRUGIS REPRESENTACOES LTDA - 11.989.186/0001-70</t>
        </is>
      </c>
      <c r="D273" s="32">
        <f>G273</f>
        <v/>
      </c>
      <c r="E273" s="31" t="inlineStr">
        <is>
          <t>08/2023</t>
        </is>
      </c>
      <c r="F273" s="33" t="n"/>
      <c r="G273" s="33" t="n">
        <v>32188.63</v>
      </c>
      <c r="H273" s="32" t="n"/>
      <c r="I273" s="31" t="inlineStr">
        <is>
          <t>Complementado (não existia na base)</t>
        </is>
      </c>
      <c r="J273" s="31" t="inlineStr">
        <is>
          <t>Extrato conta corrente - Tenda</t>
        </is>
      </c>
      <c r="K273" s="31">
        <f>VALUE(RIGHT(A273,4))</f>
        <v/>
      </c>
    </row>
    <row r="274">
      <c r="A274" s="31" t="inlineStr">
        <is>
          <t>15/10/2023</t>
        </is>
      </c>
      <c r="B274" s="31" t="inlineStr">
        <is>
          <t>TOTAL CENTRO DE DISTRIBUICAO INTEGRADA LTDA - 12.460.301/0001-87</t>
        </is>
      </c>
      <c r="C274" s="31" t="inlineStr">
        <is>
          <t>FRUGIS REPRESENTACOES LTDA - 11.989.186/0001-70</t>
        </is>
      </c>
      <c r="D274" s="32">
        <f>G274</f>
        <v/>
      </c>
      <c r="E274" s="31" t="inlineStr">
        <is>
          <t>09/2023</t>
        </is>
      </c>
      <c r="F274" s="33" t="n"/>
      <c r="G274" s="33" t="n">
        <v>8646.93</v>
      </c>
      <c r="H274" s="32" t="n"/>
      <c r="I274" s="31" t="inlineStr">
        <is>
          <t>Complementado (não existia na base)</t>
        </is>
      </c>
      <c r="J274" s="31" t="inlineStr">
        <is>
          <t>Extrato conta corrente - Tenda</t>
        </is>
      </c>
      <c r="K274" s="31">
        <f>VALUE(RIGHT(A274,4))</f>
        <v/>
      </c>
    </row>
    <row r="275">
      <c r="A275" s="31" t="inlineStr">
        <is>
          <t>15/11/2023</t>
        </is>
      </c>
      <c r="B275" s="31" t="inlineStr">
        <is>
          <t>TOTAL CENTRO DE DISTRIBUICAO INTEGRADA LTDA - 12.460.301/0001-87</t>
        </is>
      </c>
      <c r="C275" s="31" t="inlineStr">
        <is>
          <t>FRUGIS REPRESENTACOES LTDA - 11.989.186/0001-70</t>
        </is>
      </c>
      <c r="D275" s="32">
        <f>G275</f>
        <v/>
      </c>
      <c r="E275" s="31" t="inlineStr">
        <is>
          <t>10/2023</t>
        </is>
      </c>
      <c r="F275" s="33" t="n"/>
      <c r="G275" s="33" t="n">
        <v>30906.7</v>
      </c>
      <c r="H275" s="32" t="n"/>
      <c r="I275" s="31" t="inlineStr">
        <is>
          <t>Complementado (não existia na base)</t>
        </is>
      </c>
      <c r="J275" s="31" t="inlineStr">
        <is>
          <t>Extrato conta corrente - Tenda</t>
        </is>
      </c>
      <c r="K275" s="31">
        <f>VALUE(RIGHT(A275,4))</f>
        <v/>
      </c>
    </row>
    <row r="276">
      <c r="A276" s="31" t="inlineStr">
        <is>
          <t>15/12/2023</t>
        </is>
      </c>
      <c r="B276" s="31" t="inlineStr">
        <is>
          <t>TOTAL CENTRO DE DISTRIBUICAO INTEGRADA LTDA - 12.460.301/0001-87</t>
        </is>
      </c>
      <c r="C276" s="31" t="inlineStr">
        <is>
          <t>FRUGIS REPRESENTACOES LTDA - 11.989.186/0001-70</t>
        </is>
      </c>
      <c r="D276" s="32">
        <f>G276</f>
        <v/>
      </c>
      <c r="E276" s="31" t="inlineStr">
        <is>
          <t>11/2023</t>
        </is>
      </c>
      <c r="F276" s="33" t="n"/>
      <c r="G276" s="33" t="n">
        <v>24222.46</v>
      </c>
      <c r="H276" s="32" t="n"/>
      <c r="I276" s="31" t="inlineStr">
        <is>
          <t>Complementado (não existia na base)</t>
        </is>
      </c>
      <c r="J276" s="31" t="inlineStr">
        <is>
          <t>Extrato conta corrente - Tenda</t>
        </is>
      </c>
      <c r="K276" s="31">
        <f>VALUE(RIGHT(A276,4))</f>
        <v/>
      </c>
    </row>
    <row r="277">
      <c r="A277" s="31" t="inlineStr">
        <is>
          <t>15/01/2024</t>
        </is>
      </c>
      <c r="B277" s="31" t="inlineStr">
        <is>
          <t>TOTAL CENTRO DE DISTRIBUICAO INTEGRADA LTDA - 12.460.301/0001-87</t>
        </is>
      </c>
      <c r="C277" s="31" t="inlineStr">
        <is>
          <t>FRUGIS REPRESENTACOES LTDA - 11.989.186/0001-70</t>
        </is>
      </c>
      <c r="D277" s="32">
        <f>G277</f>
        <v/>
      </c>
      <c r="E277" s="31" t="inlineStr">
        <is>
          <t>12/2023</t>
        </is>
      </c>
      <c r="F277" s="33" t="n"/>
      <c r="G277" s="33" t="n">
        <v>20414.82</v>
      </c>
      <c r="H277" s="32" t="n"/>
      <c r="I277" s="31" t="inlineStr">
        <is>
          <t>Complementado (não existia na base)</t>
        </is>
      </c>
      <c r="J277" s="31" t="inlineStr">
        <is>
          <t>Extrato conta corrente - Tenda</t>
        </is>
      </c>
      <c r="K277" s="31">
        <f>VALUE(RIGHT(A277,4))</f>
        <v/>
      </c>
    </row>
    <row r="278">
      <c r="A278" s="31" t="inlineStr">
        <is>
          <t>15/02/2024</t>
        </is>
      </c>
      <c r="B278" s="31" t="inlineStr">
        <is>
          <t>TOTAL CENTRO DE DISTRIBUICAO INTEGRADA LTDA - 12.460.301/0001-87</t>
        </is>
      </c>
      <c r="C278" s="31" t="inlineStr">
        <is>
          <t>FRUGIS REPRESENTACOES LTDA - 11.989.186/0001-70</t>
        </is>
      </c>
      <c r="D278" s="32">
        <f>G278</f>
        <v/>
      </c>
      <c r="E278" s="31" t="inlineStr">
        <is>
          <t>01/2024</t>
        </is>
      </c>
      <c r="F278" s="33" t="n"/>
      <c r="G278" s="33" t="n">
        <v>18505.86</v>
      </c>
      <c r="H278" s="32" t="n"/>
      <c r="I278" s="31" t="inlineStr">
        <is>
          <t>Complementado (não existia na base)</t>
        </is>
      </c>
      <c r="J278" s="31" t="inlineStr">
        <is>
          <t>Extrato conta corrente - Tenda</t>
        </is>
      </c>
      <c r="K278" s="31">
        <f>VALUE(RIGHT(A278,4))</f>
        <v/>
      </c>
    </row>
    <row r="279">
      <c r="A279" s="31" t="inlineStr">
        <is>
          <t>15/03/2024</t>
        </is>
      </c>
      <c r="B279" s="31" t="inlineStr">
        <is>
          <t>TOTAL CENTRO DE DISTRIBUICAO INTEGRADA LTDA - 12.460.301/0001-87</t>
        </is>
      </c>
      <c r="C279" s="31" t="inlineStr">
        <is>
          <t>FRUGIS REPRESENTACOES LTDA - 11.989.186/0001-70</t>
        </is>
      </c>
      <c r="D279" s="32">
        <f>G279</f>
        <v/>
      </c>
      <c r="E279" s="31" t="inlineStr">
        <is>
          <t>02/2024</t>
        </is>
      </c>
      <c r="F279" s="33" t="n"/>
      <c r="G279" s="33" t="n">
        <v>27627.71</v>
      </c>
      <c r="H279" s="32" t="n"/>
      <c r="I279" s="31" t="inlineStr">
        <is>
          <t>Complementado (não existia na base)</t>
        </is>
      </c>
      <c r="J279" s="31" t="inlineStr">
        <is>
          <t>Extrato conta corrente - Tenda</t>
        </is>
      </c>
      <c r="K279" s="31">
        <f>VALUE(RIGHT(A279,4))</f>
        <v/>
      </c>
    </row>
    <row r="280">
      <c r="A280" s="31" t="inlineStr">
        <is>
          <t>15/04/2024</t>
        </is>
      </c>
      <c r="B280" s="31" t="inlineStr">
        <is>
          <t>TOTAL CENTRO DE DISTRIBUICAO INTEGRADA LTDA - 12.460.301/0001-87</t>
        </is>
      </c>
      <c r="C280" s="31" t="inlineStr">
        <is>
          <t>FRUGIS REPRESENTACOES LTDA - 11.989.186/0001-70</t>
        </is>
      </c>
      <c r="D280" s="32">
        <f>G280</f>
        <v/>
      </c>
      <c r="E280" s="31" t="inlineStr">
        <is>
          <t>03/2024</t>
        </is>
      </c>
      <c r="F280" s="33" t="n"/>
      <c r="G280" s="33" t="n">
        <v>21939.39</v>
      </c>
      <c r="H280" s="32" t="n"/>
      <c r="I280" s="31" t="inlineStr">
        <is>
          <t>Complementado (não existia na base)</t>
        </is>
      </c>
      <c r="J280" s="31" t="inlineStr">
        <is>
          <t>Extrato conta corrente - Tenda</t>
        </is>
      </c>
      <c r="K280" s="31">
        <f>VALUE(RIGHT(A280,4))</f>
        <v/>
      </c>
    </row>
    <row r="281">
      <c r="A281" s="31" t="inlineStr">
        <is>
          <t>15/05/2024</t>
        </is>
      </c>
      <c r="B281" s="31" t="inlineStr">
        <is>
          <t>TOTAL CENTRO DE DISTRIBUICAO INTEGRADA LTDA - 12.460.301/0001-87</t>
        </is>
      </c>
      <c r="C281" s="31" t="inlineStr">
        <is>
          <t>FRUGIS REPRESENTACOES LTDA - 11.989.186/0001-70</t>
        </is>
      </c>
      <c r="D281" s="32">
        <f>G281</f>
        <v/>
      </c>
      <c r="E281" s="31" t="inlineStr">
        <is>
          <t>04/2024</t>
        </is>
      </c>
      <c r="F281" s="33" t="n"/>
      <c r="G281" s="33" t="n">
        <v>21857.4</v>
      </c>
      <c r="H281" s="32" t="n"/>
      <c r="I281" s="31" t="inlineStr">
        <is>
          <t>Complementado (não existia na base)</t>
        </is>
      </c>
      <c r="J281" s="31" t="inlineStr">
        <is>
          <t>Extrato conta corrente - Tenda</t>
        </is>
      </c>
      <c r="K281" s="31">
        <f>VALUE(RIGHT(A281,4))</f>
        <v/>
      </c>
    </row>
    <row r="282">
      <c r="A282" s="31" t="inlineStr">
        <is>
          <t>15/06/2024</t>
        </is>
      </c>
      <c r="B282" s="31" t="inlineStr">
        <is>
          <t>TOTAL CENTRO DE DISTRIBUICAO INTEGRADA LTDA - 12.460.301/0001-87</t>
        </is>
      </c>
      <c r="C282" s="31" t="inlineStr">
        <is>
          <t>FRUGIS REPRESENTACOES LTDA - 11.989.186/0001-70</t>
        </is>
      </c>
      <c r="D282" s="32">
        <f>G282</f>
        <v/>
      </c>
      <c r="E282" s="31" t="inlineStr">
        <is>
          <t>05/2024</t>
        </is>
      </c>
      <c r="F282" s="33" t="n"/>
      <c r="G282" s="33" t="n">
        <v>0</v>
      </c>
      <c r="H282" s="32" t="n"/>
      <c r="I282" s="31" t="inlineStr">
        <is>
          <t>Complementado (sem pagamento no mês)</t>
        </is>
      </c>
      <c r="J282" s="31" t="inlineStr">
        <is>
          <t>Sem pagamento no mês</t>
        </is>
      </c>
      <c r="K282" s="31">
        <f>VALUE(RIGHT(A282,4))</f>
        <v/>
      </c>
    </row>
    <row r="283">
      <c r="A283" s="31" t="inlineStr">
        <is>
          <t>15/07/2024</t>
        </is>
      </c>
      <c r="B283" s="31" t="inlineStr">
        <is>
          <t>TOTAL CENTRO DE DISTRIBUICAO INTEGRADA LTDA - 12.460.301/0001-87</t>
        </is>
      </c>
      <c r="C283" s="31" t="inlineStr">
        <is>
          <t>FRUGIS REPRESENTACOES LTDA - 11.989.186/0001-70</t>
        </is>
      </c>
      <c r="D283" s="32">
        <f>G283</f>
        <v/>
      </c>
      <c r="E283" s="31" t="inlineStr">
        <is>
          <t>06/2024</t>
        </is>
      </c>
      <c r="F283" s="33" t="n"/>
      <c r="G283" s="33" t="n">
        <v>35165</v>
      </c>
      <c r="H283" s="32" t="n"/>
      <c r="I283" s="31" t="inlineStr">
        <is>
          <t>Complementado (não existia na base)</t>
        </is>
      </c>
      <c r="J283" s="31" t="inlineStr">
        <is>
          <t>Extrato conta corrente - Tenda</t>
        </is>
      </c>
      <c r="K283" s="31">
        <f>VALUE(RIGHT(A283,4))</f>
        <v/>
      </c>
    </row>
    <row r="284">
      <c r="A284" s="31" t="inlineStr">
        <is>
          <t>15/08/2024</t>
        </is>
      </c>
      <c r="B284" s="31" t="inlineStr">
        <is>
          <t>TOTAL CENTRO DE DISTRIBUICAO INTEGRADA LTDA - 12.460.301/0001-87</t>
        </is>
      </c>
      <c r="C284" s="31" t="inlineStr">
        <is>
          <t>FRUGIS REPRESENTACOES LTDA - 11.989.186/0001-70</t>
        </is>
      </c>
      <c r="D284" s="32">
        <f>G284</f>
        <v/>
      </c>
      <c r="E284" s="31" t="inlineStr">
        <is>
          <t>07/2024</t>
        </is>
      </c>
      <c r="F284" s="33" t="n"/>
      <c r="G284" s="33" t="n">
        <v>10669.56</v>
      </c>
      <c r="H284" s="32" t="n"/>
      <c r="I284" s="31" t="inlineStr">
        <is>
          <t>Complementado (não existia na base)</t>
        </is>
      </c>
      <c r="J284" s="31" t="inlineStr">
        <is>
          <t>Extrato conta corrente - Tenda</t>
        </is>
      </c>
      <c r="K284" s="31">
        <f>VALUE(RIGHT(A284,4))</f>
        <v/>
      </c>
    </row>
    <row r="285">
      <c r="A285" s="31" t="inlineStr">
        <is>
          <t>15/09/2024</t>
        </is>
      </c>
      <c r="B285" s="31" t="inlineStr">
        <is>
          <t>TOTAL CENTRO DE DISTRIBUICAO INTEGRADA LTDA - 12.460.301/0001-87</t>
        </is>
      </c>
      <c r="C285" s="31" t="inlineStr">
        <is>
          <t>FRUGIS REPRESENTACOES LTDA - 11.989.186/0001-70</t>
        </is>
      </c>
      <c r="D285" s="32">
        <f>G285</f>
        <v/>
      </c>
      <c r="E285" s="31" t="inlineStr">
        <is>
          <t>08/2024</t>
        </is>
      </c>
      <c r="F285" s="33" t="n"/>
      <c r="G285" s="33" t="n">
        <v>6226.18</v>
      </c>
      <c r="H285" s="32" t="n"/>
      <c r="I285" s="31" t="inlineStr">
        <is>
          <t>Complementado (não existia na base)</t>
        </is>
      </c>
      <c r="J285" s="31" t="inlineStr">
        <is>
          <t>Extrato conta corrente - Tenda</t>
        </is>
      </c>
      <c r="K285" s="31">
        <f>VALUE(RIGHT(A285,4))</f>
        <v/>
      </c>
    </row>
    <row r="286">
      <c r="A286" s="31" t="inlineStr">
        <is>
          <t>15/10/2024</t>
        </is>
      </c>
      <c r="B286" s="31" t="inlineStr">
        <is>
          <t>TOTAL CENTRO DE DISTRIBUICAO INTEGRADA LTDA - 12.460.301/0001-87</t>
        </is>
      </c>
      <c r="C286" s="31" t="inlineStr">
        <is>
          <t>FRUGIS REPRESENTACOES LTDA - 11.989.186/0001-70</t>
        </is>
      </c>
      <c r="D286" s="32">
        <f>G286</f>
        <v/>
      </c>
      <c r="E286" s="31" t="inlineStr">
        <is>
          <t>09/2024</t>
        </is>
      </c>
      <c r="F286" s="33" t="n"/>
      <c r="G286" s="33" t="n">
        <v>8455.809999999999</v>
      </c>
      <c r="H286" s="32" t="n"/>
      <c r="I286" s="31" t="inlineStr">
        <is>
          <t>Complementado (não existia na base)</t>
        </is>
      </c>
      <c r="J286" s="31" t="inlineStr">
        <is>
          <t>Extrato conta corrente - Tenda</t>
        </is>
      </c>
      <c r="K286" s="31">
        <f>VALUE(RIGHT(A286,4))</f>
        <v/>
      </c>
    </row>
    <row r="287">
      <c r="A287" s="31" t="inlineStr">
        <is>
          <t>15/11/2024</t>
        </is>
      </c>
      <c r="B287" s="31" t="inlineStr">
        <is>
          <t>TOTAL CENTRO DE DISTRIBUICAO INTEGRADA LTDA - 12.460.301/0001-87</t>
        </is>
      </c>
      <c r="C287" s="31" t="inlineStr">
        <is>
          <t>FRUGIS REPRESENTACOES LTDA - 11.989.186/0001-70</t>
        </is>
      </c>
      <c r="D287" s="32">
        <f>G287</f>
        <v/>
      </c>
      <c r="E287" s="31" t="inlineStr">
        <is>
          <t>10/2024</t>
        </is>
      </c>
      <c r="F287" s="33" t="n"/>
      <c r="G287" s="33" t="n">
        <v>12856.04</v>
      </c>
      <c r="H287" s="32" t="n"/>
      <c r="I287" s="31" t="inlineStr">
        <is>
          <t>Complementado (não existia na base)</t>
        </is>
      </c>
      <c r="J287" s="31" t="inlineStr">
        <is>
          <t>Extrato conta corrente - Tenda</t>
        </is>
      </c>
      <c r="K287" s="31">
        <f>VALUE(RIGHT(A287,4))</f>
        <v/>
      </c>
    </row>
    <row r="288">
      <c r="A288" s="31" t="inlineStr">
        <is>
          <t>15/12/2024</t>
        </is>
      </c>
      <c r="B288" s="31" t="inlineStr">
        <is>
          <t>TOTAL CENTRO DE DISTRIBUICAO INTEGRADA LTDA - 12.460.301/0001-87</t>
        </is>
      </c>
      <c r="C288" s="31" t="inlineStr">
        <is>
          <t>FRUGIS REPRESENTACOES LTDA - 11.989.186/0001-70</t>
        </is>
      </c>
      <c r="D288" s="32">
        <f>G288</f>
        <v/>
      </c>
      <c r="E288" s="31" t="inlineStr">
        <is>
          <t>11/2024</t>
        </is>
      </c>
      <c r="F288" s="33" t="n"/>
      <c r="G288" s="33" t="n">
        <v>9274.77</v>
      </c>
      <c r="H288" s="32" t="n"/>
      <c r="I288" s="31" t="inlineStr">
        <is>
          <t>Complementado (não existia na base)</t>
        </is>
      </c>
      <c r="J288" s="31" t="inlineStr">
        <is>
          <t>Extrato conta corrente - Tenda</t>
        </is>
      </c>
      <c r="K288" s="31">
        <f>VALUE(RIGHT(A288,4))</f>
        <v/>
      </c>
    </row>
    <row r="289">
      <c r="A289" s="31" t="inlineStr">
        <is>
          <t>15/01/2025</t>
        </is>
      </c>
      <c r="B289" s="31" t="inlineStr">
        <is>
          <t>TOTAL CENTRO DE DISTRIBUICAO INTEGRADA LTDA - 12.460.301/0001-87</t>
        </is>
      </c>
      <c r="C289" s="31" t="inlineStr">
        <is>
          <t>FRUGIS REPRESENTACOES LTDA - 11.989.186/0001-70</t>
        </is>
      </c>
      <c r="D289" s="32">
        <f>G289</f>
        <v/>
      </c>
      <c r="E289" s="31" t="inlineStr">
        <is>
          <t>12/2024</t>
        </is>
      </c>
      <c r="F289" s="33" t="n"/>
      <c r="G289" s="33" t="n">
        <v>11695.62</v>
      </c>
      <c r="H289" s="32" t="n"/>
      <c r="I289" s="31" t="inlineStr">
        <is>
          <t>Complementado (não existia na base)</t>
        </is>
      </c>
      <c r="J289" s="31" t="inlineStr">
        <is>
          <t>Extrato conta corrente - Tenda</t>
        </is>
      </c>
      <c r="K289" s="31">
        <f>VALUE(RIGHT(A289,4))</f>
        <v/>
      </c>
    </row>
    <row r="290">
      <c r="A290" s="31" t="inlineStr">
        <is>
          <t>15/02/2025</t>
        </is>
      </c>
      <c r="B290" s="31" t="inlineStr">
        <is>
          <t>TOTAL CENTRO DE DISTRIBUICAO INTEGRADA LTDA - 12.460.301/0001-87</t>
        </is>
      </c>
      <c r="C290" s="31" t="inlineStr">
        <is>
          <t>FRUGIS REPRESENTACOES LTDA - 11.989.186/0001-70</t>
        </is>
      </c>
      <c r="D290" s="32">
        <f>G290</f>
        <v/>
      </c>
      <c r="E290" s="31" t="inlineStr">
        <is>
          <t>01/2025</t>
        </is>
      </c>
      <c r="F290" s="33" t="n"/>
      <c r="G290" s="33" t="n">
        <v>7222.03</v>
      </c>
      <c r="H290" s="32" t="n"/>
      <c r="I290" s="31" t="inlineStr">
        <is>
          <t>Complementado (não existia na base)</t>
        </is>
      </c>
      <c r="J290" s="31" t="inlineStr">
        <is>
          <t>Extrato conta corrente - Tenda</t>
        </is>
      </c>
      <c r="K290" s="31">
        <f>VALUE(RIGHT(A290,4))</f>
        <v/>
      </c>
    </row>
    <row r="291">
      <c r="A291" s="31" t="inlineStr">
        <is>
          <t>15/03/2025</t>
        </is>
      </c>
      <c r="B291" s="31" t="inlineStr">
        <is>
          <t>TOTAL CENTRO DE DISTRIBUICAO INTEGRADA LTDA - 12.460.301/0001-87</t>
        </is>
      </c>
      <c r="C291" s="31" t="inlineStr">
        <is>
          <t>FRUGIS REPRESENTACOES LTDA - 11.989.186/0001-70</t>
        </is>
      </c>
      <c r="D291" s="32">
        <f>G291</f>
        <v/>
      </c>
      <c r="E291" s="31" t="inlineStr">
        <is>
          <t>02/2025</t>
        </is>
      </c>
      <c r="F291" s="33" t="n"/>
      <c r="G291" s="33" t="n">
        <v>0</v>
      </c>
      <c r="H291" s="32" t="n"/>
      <c r="I291" s="31" t="inlineStr">
        <is>
          <t>Complementado (sem pagamento no mês)</t>
        </is>
      </c>
      <c r="J291" s="31" t="inlineStr">
        <is>
          <t>Sem pagamento no mês</t>
        </is>
      </c>
      <c r="K291" s="31">
        <f>VALUE(RIGHT(A291,4))</f>
        <v/>
      </c>
    </row>
    <row r="292">
      <c r="A292" s="31" t="inlineStr">
        <is>
          <t>15/04/2025</t>
        </is>
      </c>
      <c r="B292" s="31" t="inlineStr">
        <is>
          <t>TOTAL CENTRO DE DISTRIBUICAO INTEGRADA LTDA - 12.460.301/0001-87</t>
        </is>
      </c>
      <c r="C292" s="31" t="inlineStr">
        <is>
          <t>FRUGIS REPRESENTACOES LTDA - 11.989.186/0001-70</t>
        </is>
      </c>
      <c r="D292" s="32">
        <f>G292</f>
        <v/>
      </c>
      <c r="E292" s="31" t="inlineStr">
        <is>
          <t>03/2025</t>
        </is>
      </c>
      <c r="F292" s="33" t="n"/>
      <c r="G292" s="33" t="n">
        <v>20670.62</v>
      </c>
      <c r="H292" s="32" t="n"/>
      <c r="I292" s="31" t="inlineStr">
        <is>
          <t>Complementado (não existia na base)</t>
        </is>
      </c>
      <c r="J292" s="31" t="inlineStr">
        <is>
          <t>Extrato conta corrente - Tenda</t>
        </is>
      </c>
      <c r="K292" s="31">
        <f>VALUE(RIGHT(A292,4))</f>
        <v/>
      </c>
    </row>
    <row r="293">
      <c r="A293" s="31" t="inlineStr">
        <is>
          <t>15/05/2025</t>
        </is>
      </c>
      <c r="B293" s="31" t="inlineStr">
        <is>
          <t>TOTAL CENTRO DE DISTRIBUICAO INTEGRADA LTDA - 12.460.301/0001-87</t>
        </is>
      </c>
      <c r="C293" s="31" t="inlineStr">
        <is>
          <t>FRUGIS REPRESENTACOES LTDA - 11.989.186/0001-70</t>
        </is>
      </c>
      <c r="D293" s="32">
        <f>G293</f>
        <v/>
      </c>
      <c r="E293" s="31" t="inlineStr">
        <is>
          <t>04/2025</t>
        </is>
      </c>
      <c r="F293" s="33" t="n"/>
      <c r="G293" s="33" t="n">
        <v>11153.34</v>
      </c>
      <c r="H293" s="32" t="n"/>
      <c r="I293" s="31" t="inlineStr">
        <is>
          <t>Complementado (não existia na base)</t>
        </is>
      </c>
      <c r="J293" s="31" t="inlineStr">
        <is>
          <t>Extrato conta corrente - Tenda</t>
        </is>
      </c>
      <c r="K293" s="31">
        <f>VALUE(RIGHT(A293,4))</f>
        <v/>
      </c>
    </row>
    <row r="294">
      <c r="A294" s="31" t="inlineStr">
        <is>
          <t>15/06/2025</t>
        </is>
      </c>
      <c r="B294" s="31" t="inlineStr">
        <is>
          <t>TOTAL CENTRO DE DISTRIBUICAO INTEGRADA LTDA - 12.460.301/0001-87</t>
        </is>
      </c>
      <c r="C294" s="31" t="inlineStr">
        <is>
          <t>FRUGIS REPRESENTACOES LTDA - 11.989.186/0001-70</t>
        </is>
      </c>
      <c r="D294" s="32">
        <f>G294</f>
        <v/>
      </c>
      <c r="E294" s="31" t="inlineStr">
        <is>
          <t>05/2025</t>
        </is>
      </c>
      <c r="F294" s="33" t="n"/>
      <c r="G294" s="33" t="n">
        <v>0</v>
      </c>
      <c r="H294" s="32" t="n"/>
      <c r="I294" s="31" t="inlineStr">
        <is>
          <t>Complementado (sem pagamento no mês)</t>
        </is>
      </c>
      <c r="J294" s="31" t="inlineStr">
        <is>
          <t>Sem pagamento no mês</t>
        </is>
      </c>
      <c r="K294" s="31">
        <f>VALUE(RIGHT(A294,4))</f>
        <v/>
      </c>
    </row>
    <row r="295">
      <c r="A295" s="31" t="inlineStr">
        <is>
          <t>15/07/2025</t>
        </is>
      </c>
      <c r="B295" s="31" t="inlineStr">
        <is>
          <t>TOTAL CENTRO DE DISTRIBUICAO INTEGRADA LTDA - 12.460.301/0001-87</t>
        </is>
      </c>
      <c r="C295" s="31" t="inlineStr">
        <is>
          <t>FRUGIS REPRESENTACOES LTDA - 11.989.186/0001-70</t>
        </is>
      </c>
      <c r="D295" s="32">
        <f>G295</f>
        <v/>
      </c>
      <c r="E295" s="31" t="inlineStr">
        <is>
          <t>06/2025</t>
        </is>
      </c>
      <c r="F295" s="33" t="n"/>
      <c r="G295" s="33" t="n">
        <v>11634.56</v>
      </c>
      <c r="H295" s="32" t="n"/>
      <c r="I295" s="31" t="inlineStr">
        <is>
          <t>Complementado (não existia na base)</t>
        </is>
      </c>
      <c r="J295" s="31" t="inlineStr">
        <is>
          <t>Extrato conta corrente - Tenda</t>
        </is>
      </c>
      <c r="K295" s="31">
        <f>VALUE(RIGHT(A295,4))</f>
        <v/>
      </c>
    </row>
    <row r="296">
      <c r="A296" s="31" t="inlineStr">
        <is>
          <t>15/08/2025</t>
        </is>
      </c>
      <c r="B296" s="31" t="inlineStr">
        <is>
          <t>TOTAL CENTRO DE DISTRIBUICAO INTEGRADA LTDA - 12.460.301/0001-87</t>
        </is>
      </c>
      <c r="C296" s="31" t="inlineStr">
        <is>
          <t>FRUGIS REPRESENTACOES LTDA - 11.989.186/0001-70</t>
        </is>
      </c>
      <c r="D296" s="32">
        <f>G296</f>
        <v/>
      </c>
      <c r="E296" s="31" t="inlineStr">
        <is>
          <t>07/2025</t>
        </is>
      </c>
      <c r="F296" s="33" t="n"/>
      <c r="G296" s="33" t="n">
        <v>11399.31</v>
      </c>
      <c r="H296" s="32" t="n"/>
      <c r="I296" s="31" t="inlineStr">
        <is>
          <t>Complementado (não existia na base)</t>
        </is>
      </c>
      <c r="J296" s="31" t="inlineStr">
        <is>
          <t>Extrato conta corrente - Tenda</t>
        </is>
      </c>
      <c r="K296" s="31">
        <f>VALUE(RIGHT(A296,4))</f>
        <v/>
      </c>
    </row>
    <row r="297">
      <c r="A297" s="31" t="inlineStr">
        <is>
          <t>15/09/2025</t>
        </is>
      </c>
      <c r="B297" s="31" t="inlineStr">
        <is>
          <t>TOTAL CENTRO DE DISTRIBUICAO INTEGRADA LTDA - 12.460.301/0001-87</t>
        </is>
      </c>
      <c r="C297" s="31" t="inlineStr">
        <is>
          <t>FRUGIS REPRESENTACOES LTDA - 11.989.186/0001-70</t>
        </is>
      </c>
      <c r="D297" s="32">
        <f>G297</f>
        <v/>
      </c>
      <c r="E297" s="31" t="inlineStr">
        <is>
          <t>08/2025</t>
        </is>
      </c>
      <c r="F297" s="33" t="n"/>
      <c r="G297" s="33" t="n">
        <v>17130.8</v>
      </c>
      <c r="H297" s="32" t="n"/>
      <c r="I297" s="31" t="inlineStr">
        <is>
          <t>Complementado (não existia na base)</t>
        </is>
      </c>
      <c r="J297" s="31" t="inlineStr">
        <is>
          <t>Extrato conta corrente - Tenda</t>
        </is>
      </c>
      <c r="K297" s="31">
        <f>VALUE(RIGHT(A297,4))</f>
        <v/>
      </c>
    </row>
    <row r="298">
      <c r="A298" s="31" t="inlineStr">
        <is>
          <t>15/10/2025</t>
        </is>
      </c>
      <c r="B298" s="31" t="inlineStr">
        <is>
          <t>TOTAL CENTRO DE DISTRIBUICAO INTEGRADA LTDA - 12.460.301/0001-87</t>
        </is>
      </c>
      <c r="C298" s="31" t="inlineStr">
        <is>
          <t>FRUGIS REPRESENTACOES LTDA - 11.989.186/0001-70</t>
        </is>
      </c>
      <c r="D298" s="32">
        <f>G298</f>
        <v/>
      </c>
      <c r="E298" s="31" t="inlineStr">
        <is>
          <t>09/2025</t>
        </is>
      </c>
      <c r="F298" s="33" t="n"/>
      <c r="G298" s="33" t="n">
        <v>0</v>
      </c>
      <c r="H298" s="32" t="n"/>
      <c r="I298" s="31" t="inlineStr">
        <is>
          <t>Complementado (sem pagamento no mês)</t>
        </is>
      </c>
      <c r="J298" s="31" t="inlineStr">
        <is>
          <t>Sem pagamento no mês</t>
        </is>
      </c>
      <c r="K298" s="31">
        <f>VALUE(RIGHT(A298,4))</f>
        <v/>
      </c>
    </row>
    <row r="299">
      <c r="A299" s="31" t="inlineStr">
        <is>
          <t>15/11/2025</t>
        </is>
      </c>
      <c r="B299" s="31" t="inlineStr">
        <is>
          <t>TOTAL CENTRO DE DISTRIBUICAO INTEGRADA LTDA - 12.460.301/0001-87</t>
        </is>
      </c>
      <c r="C299" s="31" t="inlineStr">
        <is>
          <t>FRUGIS REPRESENTACOES LTDA - 11.989.186/0001-70</t>
        </is>
      </c>
      <c r="D299" s="32">
        <f>G299</f>
        <v/>
      </c>
      <c r="E299" s="31" t="inlineStr">
        <is>
          <t>10/2025</t>
        </is>
      </c>
      <c r="F299" s="33" t="n"/>
      <c r="G299" s="33" t="n">
        <v>30237.71</v>
      </c>
      <c r="H299" s="32" t="n"/>
      <c r="I299" s="31" t="inlineStr">
        <is>
          <t>Complementado (não existia na base)</t>
        </is>
      </c>
      <c r="J299" s="31" t="inlineStr">
        <is>
          <t>Extrato conta corrente - Tenda</t>
        </is>
      </c>
      <c r="K299" s="31">
        <f>VALUE(RIGHT(A299,4))</f>
        <v/>
      </c>
    </row>
    <row r="300">
      <c r="A300" s="31" t="inlineStr">
        <is>
          <t>15/12/2025</t>
        </is>
      </c>
      <c r="B300" s="31" t="inlineStr">
        <is>
          <t>TOTAL CENTRO DE DISTRIBUICAO INTEGRADA LTDA - 12.460.301/0001-87</t>
        </is>
      </c>
      <c r="C300" s="31" t="inlineStr">
        <is>
          <t>FRUGIS REPRESENTACOES LTDA - 11.989.186/0001-70</t>
        </is>
      </c>
      <c r="D300" s="32">
        <f>G300</f>
        <v/>
      </c>
      <c r="E300" s="31" t="inlineStr">
        <is>
          <t>11/2025</t>
        </is>
      </c>
      <c r="F300" s="33" t="n"/>
      <c r="G300" s="33" t="n">
        <v>0</v>
      </c>
      <c r="H300" s="32" t="n"/>
      <c r="I300" s="31" t="inlineStr">
        <is>
          <t>Complementado (sem pagamento no mês)</t>
        </is>
      </c>
      <c r="J300" s="31" t="inlineStr">
        <is>
          <t>Sem pagamento no mês</t>
        </is>
      </c>
      <c r="K300" s="31">
        <f>VALUE(RIGHT(A300,4))</f>
        <v/>
      </c>
    </row>
    <row r="301">
      <c r="A301" s="31" t="inlineStr">
        <is>
          <t>15/01/2026</t>
        </is>
      </c>
      <c r="B301" s="31" t="inlineStr">
        <is>
          <t>TOTAL CENTRO DE DISTRIBUICAO INTEGRADA LTDA - 12.460.301/0001-87</t>
        </is>
      </c>
      <c r="C301" s="31" t="inlineStr">
        <is>
          <t>FRUGIS REPRESENTACOES LTDA - 11.989.186/0001-70</t>
        </is>
      </c>
      <c r="D301" s="32">
        <f>G301</f>
        <v/>
      </c>
      <c r="E301" s="31" t="inlineStr">
        <is>
          <t>12/2025</t>
        </is>
      </c>
      <c r="F301" s="33" t="n"/>
      <c r="G301" s="33" t="n">
        <v>14615.77</v>
      </c>
      <c r="H301" s="32" t="n"/>
      <c r="I301" s="31" t="inlineStr">
        <is>
          <t>Complementado (não existia na base)</t>
        </is>
      </c>
      <c r="J301" s="31" t="inlineStr">
        <is>
          <t>Extrato conta corrente - Tenda</t>
        </is>
      </c>
      <c r="K301" s="31">
        <f>VALUE(RIGHT(A301,4))</f>
        <v/>
      </c>
    </row>
    <row r="302">
      <c r="A302" s="31" t="inlineStr">
        <is>
          <t>15/02/2026</t>
        </is>
      </c>
      <c r="B302" s="31" t="inlineStr">
        <is>
          <t>TOTAL CENTRO DE DISTRIBUICAO INTEGRADA LTDA - 12.460.301/0001-87</t>
        </is>
      </c>
      <c r="C302" s="31" t="inlineStr">
        <is>
          <t>FRUGIS REPRESENTACOES LTDA - 11.989.186/0001-70</t>
        </is>
      </c>
      <c r="D302" s="32">
        <f>G302</f>
        <v/>
      </c>
      <c r="E302" s="31" t="inlineStr">
        <is>
          <t>01/2026</t>
        </is>
      </c>
      <c r="F302" s="33" t="n"/>
      <c r="G302" s="33" t="n">
        <v>0</v>
      </c>
      <c r="H302" s="32" t="n"/>
      <c r="I302" s="31" t="inlineStr">
        <is>
          <t>Complementado (sem pagamento no mês)</t>
        </is>
      </c>
      <c r="J302" s="31" t="inlineStr">
        <is>
          <t>Sem pagamento no mês</t>
        </is>
      </c>
      <c r="K302" s="31">
        <f>VALUE(RIGHT(A302,4))</f>
        <v/>
      </c>
    </row>
    <row r="303">
      <c r="A303" s="31" t="inlineStr">
        <is>
          <t>15/03/2026</t>
        </is>
      </c>
      <c r="B303" s="31" t="inlineStr">
        <is>
          <t>TOTAL CENTRO DE DISTRIBUICAO INTEGRADA LTDA - 12.460.301/0001-87</t>
        </is>
      </c>
      <c r="C303" s="31" t="inlineStr">
        <is>
          <t>FRUGIS REPRESENTACOES LTDA - 11.989.186/0001-70</t>
        </is>
      </c>
      <c r="D303" s="32">
        <f>G303</f>
        <v/>
      </c>
      <c r="E303" s="31" t="inlineStr">
        <is>
          <t>02/2026</t>
        </is>
      </c>
      <c r="F303" s="33" t="n"/>
      <c r="G303" s="33" t="n">
        <v>32200.51</v>
      </c>
      <c r="H303" s="32" t="n"/>
      <c r="I303" s="31" t="inlineStr">
        <is>
          <t>Complementado (não existia na base)</t>
        </is>
      </c>
      <c r="J303" s="31" t="inlineStr">
        <is>
          <t>Extrato conta corrente - Tenda</t>
        </is>
      </c>
      <c r="K303" s="31">
        <f>VALUE(RIGHT(A303,4))</f>
        <v/>
      </c>
    </row>
    <row r="304">
      <c r="A304" s="31" t="inlineStr">
        <is>
          <t>15/04/2026</t>
        </is>
      </c>
      <c r="B304" s="31" t="inlineStr">
        <is>
          <t>TOTAL CENTRO DE DISTRIBUICAO INTEGRADA LTDA - 12.460.301/0001-87</t>
        </is>
      </c>
      <c r="C304" s="31" t="inlineStr">
        <is>
          <t>FRUGIS REPRESENTACOES LTDA - 11.989.186/0001-70</t>
        </is>
      </c>
      <c r="D304" s="32">
        <f>G304</f>
        <v/>
      </c>
      <c r="E304" s="31" t="inlineStr">
        <is>
          <t>03/2026</t>
        </is>
      </c>
      <c r="F304" s="33" t="n"/>
      <c r="G304" s="33" t="n">
        <v>17893.08</v>
      </c>
      <c r="H304" s="32" t="n"/>
      <c r="I304" s="31" t="inlineStr">
        <is>
          <t>Complementado (não existia na base)</t>
        </is>
      </c>
      <c r="J304" s="31" t="inlineStr">
        <is>
          <t>Extrato conta corrente - Tenda</t>
        </is>
      </c>
      <c r="K304" s="31">
        <f>VALUE(RIGHT(A304,4))</f>
        <v/>
      </c>
    </row>
    <row r="305">
      <c r="A305" s="31" t="inlineStr">
        <is>
          <t>15/05/2026</t>
        </is>
      </c>
      <c r="B305" s="31" t="inlineStr">
        <is>
          <t>TOTAL CENTRO DE DISTRIBUICAO INTEGRADA LTDA - 12.460.301/0001-87</t>
        </is>
      </c>
      <c r="C305" s="31" t="inlineStr">
        <is>
          <t>FRUGIS REPRESENTACOES LTDA - 11.989.186/0001-70</t>
        </is>
      </c>
      <c r="D305" s="32">
        <f>G305</f>
        <v/>
      </c>
      <c r="E305" s="31" t="inlineStr">
        <is>
          <t>04/2026</t>
        </is>
      </c>
      <c r="F305" s="33" t="n"/>
      <c r="G305" s="33" t="n">
        <v>6898.76</v>
      </c>
      <c r="H305" s="32" t="n"/>
      <c r="I305" s="31" t="inlineStr">
        <is>
          <t>Complementado (não existia na base)</t>
        </is>
      </c>
      <c r="J305" s="31" t="inlineStr">
        <is>
          <t>Extrato conta corrente - Tenda</t>
        </is>
      </c>
      <c r="K305" s="31">
        <f>VALUE(RIGHT(A305,4))</f>
        <v/>
      </c>
    </row>
    <row r="306">
      <c r="A306" s="31" t="inlineStr">
        <is>
          <t>15/06/2026</t>
        </is>
      </c>
      <c r="B306" s="31" t="inlineStr">
        <is>
          <t>TOTAL CENTRO DE DISTRIBUICAO INTEGRADA LTDA - 12.460.301/0001-87</t>
        </is>
      </c>
      <c r="C306" s="31" t="inlineStr">
        <is>
          <t>FRUGIS REPRESENTACOES LTDA - 11.989.186/0001-70</t>
        </is>
      </c>
      <c r="D306" s="32">
        <f>G306</f>
        <v/>
      </c>
      <c r="E306" s="31" t="inlineStr">
        <is>
          <t>05/2026</t>
        </is>
      </c>
      <c r="F306" s="33" t="n"/>
      <c r="G306" s="33" t="n">
        <v>3009.1</v>
      </c>
      <c r="H306" s="32" t="n"/>
      <c r="I306" s="31" t="inlineStr">
        <is>
          <t>Complementado (não existia na base)</t>
        </is>
      </c>
      <c r="J306" s="31" t="inlineStr">
        <is>
          <t>Extrato conta corrente - Tenda</t>
        </is>
      </c>
      <c r="K306" s="31">
        <f>VALUE(RIGHT(A306,4))</f>
        <v/>
      </c>
    </row>
    <row r="307">
      <c r="A307" s="31" t="inlineStr">
        <is>
          <t>15/07/2026</t>
        </is>
      </c>
      <c r="B307" s="31" t="inlineStr">
        <is>
          <t>TOTAL CENTRO DE DISTRIBUICAO INTEGRADA LTDA - 12.460.301/0001-87</t>
        </is>
      </c>
      <c r="C307" s="31" t="inlineStr">
        <is>
          <t>FRUGIS REPRESENTACOES LTDA - 11.989.186/0001-70</t>
        </is>
      </c>
      <c r="D307" s="32">
        <f>G307</f>
        <v/>
      </c>
      <c r="E307" s="31" t="inlineStr">
        <is>
          <t>06/2026</t>
        </is>
      </c>
      <c r="F307" s="33" t="n"/>
      <c r="G307" s="33" t="n">
        <v>21568.56</v>
      </c>
      <c r="H307" s="32" t="n"/>
      <c r="I307" s="31" t="inlineStr">
        <is>
          <t>Complementado (não existia na base)</t>
        </is>
      </c>
      <c r="J307" s="31" t="inlineStr">
        <is>
          <t>Extrato conta corrente - Tenda</t>
        </is>
      </c>
      <c r="K307" s="31">
        <f>VALUE(RIGHT(A307,4))</f>
        <v/>
      </c>
    </row>
    <row r="308">
      <c r="A308" s="31" t="inlineStr">
        <is>
          <t>15/08/2026</t>
        </is>
      </c>
      <c r="B308" s="31" t="inlineStr">
        <is>
          <t>TOTAL CENTRO DE DISTRIBUICAO INTEGRADA LTDA - 12.460.301/0001-87</t>
        </is>
      </c>
      <c r="C308" s="31" t="inlineStr">
        <is>
          <t>FRUGIS REPRESENTACOES LTDA - 11.989.186/0001-70</t>
        </is>
      </c>
      <c r="D308" s="32">
        <f>G308</f>
        <v/>
      </c>
      <c r="E308" s="31" t="inlineStr">
        <is>
          <t>07/2026</t>
        </is>
      </c>
      <c r="F308" s="33" t="n"/>
      <c r="G308" s="33" t="n">
        <v>5734.34</v>
      </c>
      <c r="H308" s="32" t="n"/>
      <c r="I308" s="31" t="inlineStr">
        <is>
          <t>Complementado (não existia na base)</t>
        </is>
      </c>
      <c r="J308" s="31" t="inlineStr">
        <is>
          <t>Extrato conta corrente - Tenda</t>
        </is>
      </c>
      <c r="K308" s="31">
        <f>VALUE(RIGHT(A308,4))</f>
        <v/>
      </c>
    </row>
    <row r="309">
      <c r="A309" s="34" t="inlineStr">
        <is>
          <t>TOTAL</t>
        </is>
      </c>
      <c r="D309" s="35">
        <f>SUM(D2:D308)</f>
        <v/>
      </c>
      <c r="F309" s="35">
        <f>SUM(F2:F308)</f>
        <v/>
      </c>
      <c r="G309" s="35">
        <f>SUM(G2:G308)</f>
        <v/>
      </c>
      <c r="H309" s="35">
        <f>SUM(H2:H308)</f>
        <v/>
      </c>
    </row>
    <row r="311">
      <c r="A311" s="36" t="inlineStr">
        <is>
          <t>Verde: extrato real (substitui a base)</t>
        </is>
      </c>
    </row>
    <row r="312">
      <c r="A312" s="37" t="inlineStr">
        <is>
          <t>Amarelo: estimado (2007 = 2008 real ÷ IPCA)</t>
        </is>
      </c>
    </row>
    <row r="313">
      <c r="A313" s="38" t="inlineStr">
        <is>
          <t>Azul: complementado (não existia na base)</t>
        </is>
      </c>
    </row>
    <row r="314">
      <c r="A314" s="39" t="inlineStr">
        <is>
          <t>Sem cor: mantido o valor original da base (sem extrato)</t>
        </is>
      </c>
    </row>
  </sheetData>
  <conditionalFormatting sqref="H2:H133">
    <cfRule type="expression" priority="1" dxfId="0">
      <formula>AND(ISNUMBER($H2),ABS($H2)&gt;=0.01)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4" customWidth="1" min="8" max="8"/>
  </cols>
  <sheetData>
    <row r="1" ht="34" customHeight="1">
      <c r="A1" s="40" t="inlineStr">
        <is>
          <t>Ano do pagamento</t>
        </is>
      </c>
      <c r="B1" s="40" t="inlineStr">
        <is>
          <t>Extrato real (Tenda)</t>
        </is>
      </c>
      <c r="C1" s="40" t="inlineStr">
        <is>
          <t>2007 estimado (2008 ÷ IPCA)</t>
        </is>
      </c>
      <c r="D1" s="40" t="inlineStr">
        <is>
          <t>Mantido da base manual</t>
        </is>
      </c>
      <c r="E1" s="40" t="inlineStr">
        <is>
          <t>Complementado - real</t>
        </is>
      </c>
      <c r="F1" s="40" t="inlineStr">
        <is>
          <t>Complementado - ESTIMADO</t>
        </is>
      </c>
      <c r="G1" s="40" t="inlineStr">
        <is>
          <t>Total</t>
        </is>
      </c>
      <c r="H1" s="40" t="inlineStr">
        <is>
          <t>% estimado ou manual</t>
        </is>
      </c>
    </row>
    <row r="2">
      <c r="A2" s="41" t="n">
        <v>2001</v>
      </c>
      <c r="B2" s="15">
        <f>SUMIFS('Resumo Pagamento'!$D$2:$D$308,'Resumo Pagamento'!$K$2:$K$308,A2,'Resumo Pagamento'!$I$2:$I$308,"*xtrato real*")</f>
        <v/>
      </c>
      <c r="C2" s="15">
        <f>SUMIFS('Resumo Pagamento'!$D$2:$D$308,'Resumo Pagamento'!$K$2:$K$308,A2,'Resumo Pagamento'!$I$2:$I$308,"2007*")</f>
        <v/>
      </c>
      <c r="D2" s="15">
        <f>SUMIFS('Resumo Pagamento'!$D$2:$D$308,'Resumo Pagamento'!$K$2:$K$308,A2,'Resumo Pagamento'!$I$2:$I$308,"Mantido*")</f>
        <v/>
      </c>
      <c r="E2" s="15">
        <f>SUMIFS('Resumo Pagamento'!$D$2:$D$308,'Resumo Pagamento'!$K$2:$K$308,A2,'Resumo Pagamento'!$I$2:$I$308,"Complementado (não existia na base)")</f>
        <v/>
      </c>
      <c r="F2" s="15">
        <f>SUMIFS('Resumo Pagamento'!$D$2:$D$308,'Resumo Pagamento'!$K$2:$K$308,A2,'Resumo Pagamento'!$I$2:$I$308,"*ESTIMADO")</f>
        <v/>
      </c>
      <c r="G2" s="15">
        <f>SUM(B2:F2)</f>
        <v/>
      </c>
      <c r="H2" s="42">
        <f>IF(G2=0,"",(C2+D2+F2)/G2)</f>
        <v/>
      </c>
    </row>
    <row r="3">
      <c r="A3" s="41" t="n">
        <v>2002</v>
      </c>
      <c r="B3" s="15">
        <f>SUMIFS('Resumo Pagamento'!$D$2:$D$308,'Resumo Pagamento'!$K$2:$K$308,A3,'Resumo Pagamento'!$I$2:$I$308,"*xtrato real*")</f>
        <v/>
      </c>
      <c r="C3" s="15">
        <f>SUMIFS('Resumo Pagamento'!$D$2:$D$308,'Resumo Pagamento'!$K$2:$K$308,A3,'Resumo Pagamento'!$I$2:$I$308,"2007*")</f>
        <v/>
      </c>
      <c r="D3" s="15">
        <f>SUMIFS('Resumo Pagamento'!$D$2:$D$308,'Resumo Pagamento'!$K$2:$K$308,A3,'Resumo Pagamento'!$I$2:$I$308,"Mantido*")</f>
        <v/>
      </c>
      <c r="E3" s="15">
        <f>SUMIFS('Resumo Pagamento'!$D$2:$D$308,'Resumo Pagamento'!$K$2:$K$308,A3,'Resumo Pagamento'!$I$2:$I$308,"Complementado (não existia na base)")</f>
        <v/>
      </c>
      <c r="F3" s="15">
        <f>SUMIFS('Resumo Pagamento'!$D$2:$D$308,'Resumo Pagamento'!$K$2:$K$308,A3,'Resumo Pagamento'!$I$2:$I$308,"*ESTIMADO")</f>
        <v/>
      </c>
      <c r="G3" s="15">
        <f>SUM(B3:F3)</f>
        <v/>
      </c>
      <c r="H3" s="42">
        <f>IF(G3=0,"",(C3+D3+F3)/G3)</f>
        <v/>
      </c>
    </row>
    <row r="4">
      <c r="A4" s="41" t="n">
        <v>2003</v>
      </c>
      <c r="B4" s="15">
        <f>SUMIFS('Resumo Pagamento'!$D$2:$D$308,'Resumo Pagamento'!$K$2:$K$308,A4,'Resumo Pagamento'!$I$2:$I$308,"*xtrato real*")</f>
        <v/>
      </c>
      <c r="C4" s="15">
        <f>SUMIFS('Resumo Pagamento'!$D$2:$D$308,'Resumo Pagamento'!$K$2:$K$308,A4,'Resumo Pagamento'!$I$2:$I$308,"2007*")</f>
        <v/>
      </c>
      <c r="D4" s="15">
        <f>SUMIFS('Resumo Pagamento'!$D$2:$D$308,'Resumo Pagamento'!$K$2:$K$308,A4,'Resumo Pagamento'!$I$2:$I$308,"Mantido*")</f>
        <v/>
      </c>
      <c r="E4" s="15">
        <f>SUMIFS('Resumo Pagamento'!$D$2:$D$308,'Resumo Pagamento'!$K$2:$K$308,A4,'Resumo Pagamento'!$I$2:$I$308,"Complementado (não existia na base)")</f>
        <v/>
      </c>
      <c r="F4" s="15">
        <f>SUMIFS('Resumo Pagamento'!$D$2:$D$308,'Resumo Pagamento'!$K$2:$K$308,A4,'Resumo Pagamento'!$I$2:$I$308,"*ESTIMADO")</f>
        <v/>
      </c>
      <c r="G4" s="15">
        <f>SUM(B4:F4)</f>
        <v/>
      </c>
      <c r="H4" s="42">
        <f>IF(G4=0,"",(C4+D4+F4)/G4)</f>
        <v/>
      </c>
    </row>
    <row r="5">
      <c r="A5" s="41" t="n">
        <v>2004</v>
      </c>
      <c r="B5" s="15">
        <f>SUMIFS('Resumo Pagamento'!$D$2:$D$308,'Resumo Pagamento'!$K$2:$K$308,A5,'Resumo Pagamento'!$I$2:$I$308,"*xtrato real*")</f>
        <v/>
      </c>
      <c r="C5" s="15">
        <f>SUMIFS('Resumo Pagamento'!$D$2:$D$308,'Resumo Pagamento'!$K$2:$K$308,A5,'Resumo Pagamento'!$I$2:$I$308,"2007*")</f>
        <v/>
      </c>
      <c r="D5" s="15">
        <f>SUMIFS('Resumo Pagamento'!$D$2:$D$308,'Resumo Pagamento'!$K$2:$K$308,A5,'Resumo Pagamento'!$I$2:$I$308,"Mantido*")</f>
        <v/>
      </c>
      <c r="E5" s="15">
        <f>SUMIFS('Resumo Pagamento'!$D$2:$D$308,'Resumo Pagamento'!$K$2:$K$308,A5,'Resumo Pagamento'!$I$2:$I$308,"Complementado (não existia na base)")</f>
        <v/>
      </c>
      <c r="F5" s="15">
        <f>SUMIFS('Resumo Pagamento'!$D$2:$D$308,'Resumo Pagamento'!$K$2:$K$308,A5,'Resumo Pagamento'!$I$2:$I$308,"*ESTIMADO")</f>
        <v/>
      </c>
      <c r="G5" s="15">
        <f>SUM(B5:F5)</f>
        <v/>
      </c>
      <c r="H5" s="42">
        <f>IF(G5=0,"",(C5+D5+F5)/G5)</f>
        <v/>
      </c>
    </row>
    <row r="6">
      <c r="A6" s="41" t="n">
        <v>2005</v>
      </c>
      <c r="B6" s="15">
        <f>SUMIFS('Resumo Pagamento'!$D$2:$D$308,'Resumo Pagamento'!$K$2:$K$308,A6,'Resumo Pagamento'!$I$2:$I$308,"*xtrato real*")</f>
        <v/>
      </c>
      <c r="C6" s="15">
        <f>SUMIFS('Resumo Pagamento'!$D$2:$D$308,'Resumo Pagamento'!$K$2:$K$308,A6,'Resumo Pagamento'!$I$2:$I$308,"2007*")</f>
        <v/>
      </c>
      <c r="D6" s="15">
        <f>SUMIFS('Resumo Pagamento'!$D$2:$D$308,'Resumo Pagamento'!$K$2:$K$308,A6,'Resumo Pagamento'!$I$2:$I$308,"Mantido*")</f>
        <v/>
      </c>
      <c r="E6" s="15">
        <f>SUMIFS('Resumo Pagamento'!$D$2:$D$308,'Resumo Pagamento'!$K$2:$K$308,A6,'Resumo Pagamento'!$I$2:$I$308,"Complementado (não existia na base)")</f>
        <v/>
      </c>
      <c r="F6" s="15">
        <f>SUMIFS('Resumo Pagamento'!$D$2:$D$308,'Resumo Pagamento'!$K$2:$K$308,A6,'Resumo Pagamento'!$I$2:$I$308,"*ESTIMADO")</f>
        <v/>
      </c>
      <c r="G6" s="15">
        <f>SUM(B6:F6)</f>
        <v/>
      </c>
      <c r="H6" s="42">
        <f>IF(G6=0,"",(C6+D6+F6)/G6)</f>
        <v/>
      </c>
    </row>
    <row r="7">
      <c r="A7" s="41" t="n">
        <v>2006</v>
      </c>
      <c r="B7" s="15">
        <f>SUMIFS('Resumo Pagamento'!$D$2:$D$308,'Resumo Pagamento'!$K$2:$K$308,A7,'Resumo Pagamento'!$I$2:$I$308,"*xtrato real*")</f>
        <v/>
      </c>
      <c r="C7" s="15">
        <f>SUMIFS('Resumo Pagamento'!$D$2:$D$308,'Resumo Pagamento'!$K$2:$K$308,A7,'Resumo Pagamento'!$I$2:$I$308,"2007*")</f>
        <v/>
      </c>
      <c r="D7" s="15">
        <f>SUMIFS('Resumo Pagamento'!$D$2:$D$308,'Resumo Pagamento'!$K$2:$K$308,A7,'Resumo Pagamento'!$I$2:$I$308,"Mantido*")</f>
        <v/>
      </c>
      <c r="E7" s="15">
        <f>SUMIFS('Resumo Pagamento'!$D$2:$D$308,'Resumo Pagamento'!$K$2:$K$308,A7,'Resumo Pagamento'!$I$2:$I$308,"Complementado (não existia na base)")</f>
        <v/>
      </c>
      <c r="F7" s="15">
        <f>SUMIFS('Resumo Pagamento'!$D$2:$D$308,'Resumo Pagamento'!$K$2:$K$308,A7,'Resumo Pagamento'!$I$2:$I$308,"*ESTIMADO")</f>
        <v/>
      </c>
      <c r="G7" s="15">
        <f>SUM(B7:F7)</f>
        <v/>
      </c>
      <c r="H7" s="42">
        <f>IF(G7=0,"",(C7+D7+F7)/G7)</f>
        <v/>
      </c>
    </row>
    <row r="8">
      <c r="A8" s="41" t="n">
        <v>2007</v>
      </c>
      <c r="B8" s="15">
        <f>SUMIFS('Resumo Pagamento'!$D$2:$D$308,'Resumo Pagamento'!$K$2:$K$308,A8,'Resumo Pagamento'!$I$2:$I$308,"*xtrato real*")</f>
        <v/>
      </c>
      <c r="C8" s="15">
        <f>SUMIFS('Resumo Pagamento'!$D$2:$D$308,'Resumo Pagamento'!$K$2:$K$308,A8,'Resumo Pagamento'!$I$2:$I$308,"2007*")</f>
        <v/>
      </c>
      <c r="D8" s="15">
        <f>SUMIFS('Resumo Pagamento'!$D$2:$D$308,'Resumo Pagamento'!$K$2:$K$308,A8,'Resumo Pagamento'!$I$2:$I$308,"Mantido*")</f>
        <v/>
      </c>
      <c r="E8" s="15">
        <f>SUMIFS('Resumo Pagamento'!$D$2:$D$308,'Resumo Pagamento'!$K$2:$K$308,A8,'Resumo Pagamento'!$I$2:$I$308,"Complementado (não existia na base)")</f>
        <v/>
      </c>
      <c r="F8" s="15">
        <f>SUMIFS('Resumo Pagamento'!$D$2:$D$308,'Resumo Pagamento'!$K$2:$K$308,A8,'Resumo Pagamento'!$I$2:$I$308,"*ESTIMADO")</f>
        <v/>
      </c>
      <c r="G8" s="15">
        <f>SUM(B8:F8)</f>
        <v/>
      </c>
      <c r="H8" s="42">
        <f>IF(G8=0,"",(C8+D8+F8)/G8)</f>
        <v/>
      </c>
    </row>
    <row r="9">
      <c r="A9" s="41" t="n">
        <v>2008</v>
      </c>
      <c r="B9" s="15">
        <f>SUMIFS('Resumo Pagamento'!$D$2:$D$308,'Resumo Pagamento'!$K$2:$K$308,A9,'Resumo Pagamento'!$I$2:$I$308,"*xtrato real*")</f>
        <v/>
      </c>
      <c r="C9" s="15">
        <f>SUMIFS('Resumo Pagamento'!$D$2:$D$308,'Resumo Pagamento'!$K$2:$K$308,A9,'Resumo Pagamento'!$I$2:$I$308,"2007*")</f>
        <v/>
      </c>
      <c r="D9" s="15">
        <f>SUMIFS('Resumo Pagamento'!$D$2:$D$308,'Resumo Pagamento'!$K$2:$K$308,A9,'Resumo Pagamento'!$I$2:$I$308,"Mantido*")</f>
        <v/>
      </c>
      <c r="E9" s="15">
        <f>SUMIFS('Resumo Pagamento'!$D$2:$D$308,'Resumo Pagamento'!$K$2:$K$308,A9,'Resumo Pagamento'!$I$2:$I$308,"Complementado (não existia na base)")</f>
        <v/>
      </c>
      <c r="F9" s="15">
        <f>SUMIFS('Resumo Pagamento'!$D$2:$D$308,'Resumo Pagamento'!$K$2:$K$308,A9,'Resumo Pagamento'!$I$2:$I$308,"*ESTIMADO")</f>
        <v/>
      </c>
      <c r="G9" s="15">
        <f>SUM(B9:F9)</f>
        <v/>
      </c>
      <c r="H9" s="42">
        <f>IF(G9=0,"",(C9+D9+F9)/G9)</f>
        <v/>
      </c>
    </row>
    <row r="10">
      <c r="A10" s="41" t="n">
        <v>2009</v>
      </c>
      <c r="B10" s="15">
        <f>SUMIFS('Resumo Pagamento'!$D$2:$D$308,'Resumo Pagamento'!$K$2:$K$308,A10,'Resumo Pagamento'!$I$2:$I$308,"*xtrato real*")</f>
        <v/>
      </c>
      <c r="C10" s="15">
        <f>SUMIFS('Resumo Pagamento'!$D$2:$D$308,'Resumo Pagamento'!$K$2:$K$308,A10,'Resumo Pagamento'!$I$2:$I$308,"2007*")</f>
        <v/>
      </c>
      <c r="D10" s="15">
        <f>SUMIFS('Resumo Pagamento'!$D$2:$D$308,'Resumo Pagamento'!$K$2:$K$308,A10,'Resumo Pagamento'!$I$2:$I$308,"Mantido*")</f>
        <v/>
      </c>
      <c r="E10" s="15">
        <f>SUMIFS('Resumo Pagamento'!$D$2:$D$308,'Resumo Pagamento'!$K$2:$K$308,A10,'Resumo Pagamento'!$I$2:$I$308,"Complementado (não existia na base)")</f>
        <v/>
      </c>
      <c r="F10" s="15">
        <f>SUMIFS('Resumo Pagamento'!$D$2:$D$308,'Resumo Pagamento'!$K$2:$K$308,A10,'Resumo Pagamento'!$I$2:$I$308,"*ESTIMADO")</f>
        <v/>
      </c>
      <c r="G10" s="15">
        <f>SUM(B10:F10)</f>
        <v/>
      </c>
      <c r="H10" s="42">
        <f>IF(G10=0,"",(C10+D10+F10)/G10)</f>
        <v/>
      </c>
    </row>
    <row r="11">
      <c r="A11" s="41" t="n">
        <v>2010</v>
      </c>
      <c r="B11" s="15">
        <f>SUMIFS('Resumo Pagamento'!$D$2:$D$308,'Resumo Pagamento'!$K$2:$K$308,A11,'Resumo Pagamento'!$I$2:$I$308,"*xtrato real*")</f>
        <v/>
      </c>
      <c r="C11" s="15">
        <f>SUMIFS('Resumo Pagamento'!$D$2:$D$308,'Resumo Pagamento'!$K$2:$K$308,A11,'Resumo Pagamento'!$I$2:$I$308,"2007*")</f>
        <v/>
      </c>
      <c r="D11" s="15">
        <f>SUMIFS('Resumo Pagamento'!$D$2:$D$308,'Resumo Pagamento'!$K$2:$K$308,A11,'Resumo Pagamento'!$I$2:$I$308,"Mantido*")</f>
        <v/>
      </c>
      <c r="E11" s="15">
        <f>SUMIFS('Resumo Pagamento'!$D$2:$D$308,'Resumo Pagamento'!$K$2:$K$308,A11,'Resumo Pagamento'!$I$2:$I$308,"Complementado (não existia na base)")</f>
        <v/>
      </c>
      <c r="F11" s="15">
        <f>SUMIFS('Resumo Pagamento'!$D$2:$D$308,'Resumo Pagamento'!$K$2:$K$308,A11,'Resumo Pagamento'!$I$2:$I$308,"*ESTIMADO")</f>
        <v/>
      </c>
      <c r="G11" s="15">
        <f>SUM(B11:F11)</f>
        <v/>
      </c>
      <c r="H11" s="42">
        <f>IF(G11=0,"",(C11+D11+F11)/G11)</f>
        <v/>
      </c>
    </row>
    <row r="12">
      <c r="A12" s="41" t="n">
        <v>2011</v>
      </c>
      <c r="B12" s="15">
        <f>SUMIFS('Resumo Pagamento'!$D$2:$D$308,'Resumo Pagamento'!$K$2:$K$308,A12,'Resumo Pagamento'!$I$2:$I$308,"*xtrato real*")</f>
        <v/>
      </c>
      <c r="C12" s="15">
        <f>SUMIFS('Resumo Pagamento'!$D$2:$D$308,'Resumo Pagamento'!$K$2:$K$308,A12,'Resumo Pagamento'!$I$2:$I$308,"2007*")</f>
        <v/>
      </c>
      <c r="D12" s="15">
        <f>SUMIFS('Resumo Pagamento'!$D$2:$D$308,'Resumo Pagamento'!$K$2:$K$308,A12,'Resumo Pagamento'!$I$2:$I$308,"Mantido*")</f>
        <v/>
      </c>
      <c r="E12" s="15">
        <f>SUMIFS('Resumo Pagamento'!$D$2:$D$308,'Resumo Pagamento'!$K$2:$K$308,A12,'Resumo Pagamento'!$I$2:$I$308,"Complementado (não existia na base)")</f>
        <v/>
      </c>
      <c r="F12" s="15">
        <f>SUMIFS('Resumo Pagamento'!$D$2:$D$308,'Resumo Pagamento'!$K$2:$K$308,A12,'Resumo Pagamento'!$I$2:$I$308,"*ESTIMADO")</f>
        <v/>
      </c>
      <c r="G12" s="15">
        <f>SUM(B12:F12)</f>
        <v/>
      </c>
      <c r="H12" s="42">
        <f>IF(G12=0,"",(C12+D12+F12)/G12)</f>
        <v/>
      </c>
    </row>
    <row r="13">
      <c r="A13" s="41" t="n">
        <v>2012</v>
      </c>
      <c r="B13" s="15">
        <f>SUMIFS('Resumo Pagamento'!$D$2:$D$308,'Resumo Pagamento'!$K$2:$K$308,A13,'Resumo Pagamento'!$I$2:$I$308,"*xtrato real*")</f>
        <v/>
      </c>
      <c r="C13" s="15">
        <f>SUMIFS('Resumo Pagamento'!$D$2:$D$308,'Resumo Pagamento'!$K$2:$K$308,A13,'Resumo Pagamento'!$I$2:$I$308,"2007*")</f>
        <v/>
      </c>
      <c r="D13" s="15">
        <f>SUMIFS('Resumo Pagamento'!$D$2:$D$308,'Resumo Pagamento'!$K$2:$K$308,A13,'Resumo Pagamento'!$I$2:$I$308,"Mantido*")</f>
        <v/>
      </c>
      <c r="E13" s="15">
        <f>SUMIFS('Resumo Pagamento'!$D$2:$D$308,'Resumo Pagamento'!$K$2:$K$308,A13,'Resumo Pagamento'!$I$2:$I$308,"Complementado (não existia na base)")</f>
        <v/>
      </c>
      <c r="F13" s="15">
        <f>SUMIFS('Resumo Pagamento'!$D$2:$D$308,'Resumo Pagamento'!$K$2:$K$308,A13,'Resumo Pagamento'!$I$2:$I$308,"*ESTIMADO")</f>
        <v/>
      </c>
      <c r="G13" s="15">
        <f>SUM(B13:F13)</f>
        <v/>
      </c>
      <c r="H13" s="42">
        <f>IF(G13=0,"",(C13+D13+F13)/G13)</f>
        <v/>
      </c>
    </row>
    <row r="14">
      <c r="A14" s="41" t="n">
        <v>2013</v>
      </c>
      <c r="B14" s="15">
        <f>SUMIFS('Resumo Pagamento'!$D$2:$D$308,'Resumo Pagamento'!$K$2:$K$308,A14,'Resumo Pagamento'!$I$2:$I$308,"*xtrato real*")</f>
        <v/>
      </c>
      <c r="C14" s="15">
        <f>SUMIFS('Resumo Pagamento'!$D$2:$D$308,'Resumo Pagamento'!$K$2:$K$308,A14,'Resumo Pagamento'!$I$2:$I$308,"2007*")</f>
        <v/>
      </c>
      <c r="D14" s="15">
        <f>SUMIFS('Resumo Pagamento'!$D$2:$D$308,'Resumo Pagamento'!$K$2:$K$308,A14,'Resumo Pagamento'!$I$2:$I$308,"Mantido*")</f>
        <v/>
      </c>
      <c r="E14" s="15">
        <f>SUMIFS('Resumo Pagamento'!$D$2:$D$308,'Resumo Pagamento'!$K$2:$K$308,A14,'Resumo Pagamento'!$I$2:$I$308,"Complementado (não existia na base)")</f>
        <v/>
      </c>
      <c r="F14" s="15">
        <f>SUMIFS('Resumo Pagamento'!$D$2:$D$308,'Resumo Pagamento'!$K$2:$K$308,A14,'Resumo Pagamento'!$I$2:$I$308,"*ESTIMADO")</f>
        <v/>
      </c>
      <c r="G14" s="15">
        <f>SUM(B14:F14)</f>
        <v/>
      </c>
      <c r="H14" s="42">
        <f>IF(G14=0,"",(C14+D14+F14)/G14)</f>
        <v/>
      </c>
    </row>
    <row r="15">
      <c r="A15" s="41" t="n">
        <v>2014</v>
      </c>
      <c r="B15" s="15">
        <f>SUMIFS('Resumo Pagamento'!$D$2:$D$308,'Resumo Pagamento'!$K$2:$K$308,A15,'Resumo Pagamento'!$I$2:$I$308,"*xtrato real*")</f>
        <v/>
      </c>
      <c r="C15" s="15">
        <f>SUMIFS('Resumo Pagamento'!$D$2:$D$308,'Resumo Pagamento'!$K$2:$K$308,A15,'Resumo Pagamento'!$I$2:$I$308,"2007*")</f>
        <v/>
      </c>
      <c r="D15" s="15">
        <f>SUMIFS('Resumo Pagamento'!$D$2:$D$308,'Resumo Pagamento'!$K$2:$K$308,A15,'Resumo Pagamento'!$I$2:$I$308,"Mantido*")</f>
        <v/>
      </c>
      <c r="E15" s="15">
        <f>SUMIFS('Resumo Pagamento'!$D$2:$D$308,'Resumo Pagamento'!$K$2:$K$308,A15,'Resumo Pagamento'!$I$2:$I$308,"Complementado (não existia na base)")</f>
        <v/>
      </c>
      <c r="F15" s="15">
        <f>SUMIFS('Resumo Pagamento'!$D$2:$D$308,'Resumo Pagamento'!$K$2:$K$308,A15,'Resumo Pagamento'!$I$2:$I$308,"*ESTIMADO")</f>
        <v/>
      </c>
      <c r="G15" s="15">
        <f>SUM(B15:F15)</f>
        <v/>
      </c>
      <c r="H15" s="42">
        <f>IF(G15=0,"",(C15+D15+F15)/G15)</f>
        <v/>
      </c>
    </row>
    <row r="16">
      <c r="A16" s="41" t="n">
        <v>2015</v>
      </c>
      <c r="B16" s="15">
        <f>SUMIFS('Resumo Pagamento'!$D$2:$D$308,'Resumo Pagamento'!$K$2:$K$308,A16,'Resumo Pagamento'!$I$2:$I$308,"*xtrato real*")</f>
        <v/>
      </c>
      <c r="C16" s="15">
        <f>SUMIFS('Resumo Pagamento'!$D$2:$D$308,'Resumo Pagamento'!$K$2:$K$308,A16,'Resumo Pagamento'!$I$2:$I$308,"2007*")</f>
        <v/>
      </c>
      <c r="D16" s="15">
        <f>SUMIFS('Resumo Pagamento'!$D$2:$D$308,'Resumo Pagamento'!$K$2:$K$308,A16,'Resumo Pagamento'!$I$2:$I$308,"Mantido*")</f>
        <v/>
      </c>
      <c r="E16" s="15">
        <f>SUMIFS('Resumo Pagamento'!$D$2:$D$308,'Resumo Pagamento'!$K$2:$K$308,A16,'Resumo Pagamento'!$I$2:$I$308,"Complementado (não existia na base)")</f>
        <v/>
      </c>
      <c r="F16" s="15">
        <f>SUMIFS('Resumo Pagamento'!$D$2:$D$308,'Resumo Pagamento'!$K$2:$K$308,A16,'Resumo Pagamento'!$I$2:$I$308,"*ESTIMADO")</f>
        <v/>
      </c>
      <c r="G16" s="15">
        <f>SUM(B16:F16)</f>
        <v/>
      </c>
      <c r="H16" s="42">
        <f>IF(G16=0,"",(C16+D16+F16)/G16)</f>
        <v/>
      </c>
    </row>
    <row r="17">
      <c r="A17" s="41" t="n">
        <v>2016</v>
      </c>
      <c r="B17" s="15">
        <f>SUMIFS('Resumo Pagamento'!$D$2:$D$308,'Resumo Pagamento'!$K$2:$K$308,A17,'Resumo Pagamento'!$I$2:$I$308,"*xtrato real*")</f>
        <v/>
      </c>
      <c r="C17" s="15">
        <f>SUMIFS('Resumo Pagamento'!$D$2:$D$308,'Resumo Pagamento'!$K$2:$K$308,A17,'Resumo Pagamento'!$I$2:$I$308,"2007*")</f>
        <v/>
      </c>
      <c r="D17" s="15">
        <f>SUMIFS('Resumo Pagamento'!$D$2:$D$308,'Resumo Pagamento'!$K$2:$K$308,A17,'Resumo Pagamento'!$I$2:$I$308,"Mantido*")</f>
        <v/>
      </c>
      <c r="E17" s="15">
        <f>SUMIFS('Resumo Pagamento'!$D$2:$D$308,'Resumo Pagamento'!$K$2:$K$308,A17,'Resumo Pagamento'!$I$2:$I$308,"Complementado (não existia na base)")</f>
        <v/>
      </c>
      <c r="F17" s="15">
        <f>SUMIFS('Resumo Pagamento'!$D$2:$D$308,'Resumo Pagamento'!$K$2:$K$308,A17,'Resumo Pagamento'!$I$2:$I$308,"*ESTIMADO")</f>
        <v/>
      </c>
      <c r="G17" s="15">
        <f>SUM(B17:F17)</f>
        <v/>
      </c>
      <c r="H17" s="42">
        <f>IF(G17=0,"",(C17+D17+F17)/G17)</f>
        <v/>
      </c>
    </row>
    <row r="18">
      <c r="A18" s="41" t="n">
        <v>2017</v>
      </c>
      <c r="B18" s="15">
        <f>SUMIFS('Resumo Pagamento'!$D$2:$D$308,'Resumo Pagamento'!$K$2:$K$308,A18,'Resumo Pagamento'!$I$2:$I$308,"*xtrato real*")</f>
        <v/>
      </c>
      <c r="C18" s="15">
        <f>SUMIFS('Resumo Pagamento'!$D$2:$D$308,'Resumo Pagamento'!$K$2:$K$308,A18,'Resumo Pagamento'!$I$2:$I$308,"2007*")</f>
        <v/>
      </c>
      <c r="D18" s="15">
        <f>SUMIFS('Resumo Pagamento'!$D$2:$D$308,'Resumo Pagamento'!$K$2:$K$308,A18,'Resumo Pagamento'!$I$2:$I$308,"Mantido*")</f>
        <v/>
      </c>
      <c r="E18" s="15">
        <f>SUMIFS('Resumo Pagamento'!$D$2:$D$308,'Resumo Pagamento'!$K$2:$K$308,A18,'Resumo Pagamento'!$I$2:$I$308,"Complementado (não existia na base)")</f>
        <v/>
      </c>
      <c r="F18" s="15">
        <f>SUMIFS('Resumo Pagamento'!$D$2:$D$308,'Resumo Pagamento'!$K$2:$K$308,A18,'Resumo Pagamento'!$I$2:$I$308,"*ESTIMADO")</f>
        <v/>
      </c>
      <c r="G18" s="15">
        <f>SUM(B18:F18)</f>
        <v/>
      </c>
      <c r="H18" s="42">
        <f>IF(G18=0,"",(C18+D18+F18)/G18)</f>
        <v/>
      </c>
    </row>
    <row r="19">
      <c r="A19" s="41" t="n">
        <v>2018</v>
      </c>
      <c r="B19" s="15">
        <f>SUMIFS('Resumo Pagamento'!$D$2:$D$308,'Resumo Pagamento'!$K$2:$K$308,A19,'Resumo Pagamento'!$I$2:$I$308,"*xtrato real*")</f>
        <v/>
      </c>
      <c r="C19" s="15">
        <f>SUMIFS('Resumo Pagamento'!$D$2:$D$308,'Resumo Pagamento'!$K$2:$K$308,A19,'Resumo Pagamento'!$I$2:$I$308,"2007*")</f>
        <v/>
      </c>
      <c r="D19" s="15">
        <f>SUMIFS('Resumo Pagamento'!$D$2:$D$308,'Resumo Pagamento'!$K$2:$K$308,A19,'Resumo Pagamento'!$I$2:$I$308,"Mantido*")</f>
        <v/>
      </c>
      <c r="E19" s="15">
        <f>SUMIFS('Resumo Pagamento'!$D$2:$D$308,'Resumo Pagamento'!$K$2:$K$308,A19,'Resumo Pagamento'!$I$2:$I$308,"Complementado (não existia na base)")</f>
        <v/>
      </c>
      <c r="F19" s="15">
        <f>SUMIFS('Resumo Pagamento'!$D$2:$D$308,'Resumo Pagamento'!$K$2:$K$308,A19,'Resumo Pagamento'!$I$2:$I$308,"*ESTIMADO")</f>
        <v/>
      </c>
      <c r="G19" s="15">
        <f>SUM(B19:F19)</f>
        <v/>
      </c>
      <c r="H19" s="42">
        <f>IF(G19=0,"",(C19+D19+F19)/G19)</f>
        <v/>
      </c>
    </row>
    <row r="20">
      <c r="A20" s="41" t="n">
        <v>2019</v>
      </c>
      <c r="B20" s="15">
        <f>SUMIFS('Resumo Pagamento'!$D$2:$D$308,'Resumo Pagamento'!$K$2:$K$308,A20,'Resumo Pagamento'!$I$2:$I$308,"*xtrato real*")</f>
        <v/>
      </c>
      <c r="C20" s="15">
        <f>SUMIFS('Resumo Pagamento'!$D$2:$D$308,'Resumo Pagamento'!$K$2:$K$308,A20,'Resumo Pagamento'!$I$2:$I$308,"2007*")</f>
        <v/>
      </c>
      <c r="D20" s="15">
        <f>SUMIFS('Resumo Pagamento'!$D$2:$D$308,'Resumo Pagamento'!$K$2:$K$308,A20,'Resumo Pagamento'!$I$2:$I$308,"Mantido*")</f>
        <v/>
      </c>
      <c r="E20" s="15">
        <f>SUMIFS('Resumo Pagamento'!$D$2:$D$308,'Resumo Pagamento'!$K$2:$K$308,A20,'Resumo Pagamento'!$I$2:$I$308,"Complementado (não existia na base)")</f>
        <v/>
      </c>
      <c r="F20" s="15">
        <f>SUMIFS('Resumo Pagamento'!$D$2:$D$308,'Resumo Pagamento'!$K$2:$K$308,A20,'Resumo Pagamento'!$I$2:$I$308,"*ESTIMADO")</f>
        <v/>
      </c>
      <c r="G20" s="15">
        <f>SUM(B20:F20)</f>
        <v/>
      </c>
      <c r="H20" s="42">
        <f>IF(G20=0,"",(C20+D20+F20)/G20)</f>
        <v/>
      </c>
    </row>
    <row r="21">
      <c r="A21" s="41" t="n">
        <v>2020</v>
      </c>
      <c r="B21" s="15">
        <f>SUMIFS('Resumo Pagamento'!$D$2:$D$308,'Resumo Pagamento'!$K$2:$K$308,A21,'Resumo Pagamento'!$I$2:$I$308,"*xtrato real*")</f>
        <v/>
      </c>
      <c r="C21" s="15">
        <f>SUMIFS('Resumo Pagamento'!$D$2:$D$308,'Resumo Pagamento'!$K$2:$K$308,A21,'Resumo Pagamento'!$I$2:$I$308,"2007*")</f>
        <v/>
      </c>
      <c r="D21" s="15">
        <f>SUMIFS('Resumo Pagamento'!$D$2:$D$308,'Resumo Pagamento'!$K$2:$K$308,A21,'Resumo Pagamento'!$I$2:$I$308,"Mantido*")</f>
        <v/>
      </c>
      <c r="E21" s="15">
        <f>SUMIFS('Resumo Pagamento'!$D$2:$D$308,'Resumo Pagamento'!$K$2:$K$308,A21,'Resumo Pagamento'!$I$2:$I$308,"Complementado (não existia na base)")</f>
        <v/>
      </c>
      <c r="F21" s="15">
        <f>SUMIFS('Resumo Pagamento'!$D$2:$D$308,'Resumo Pagamento'!$K$2:$K$308,A21,'Resumo Pagamento'!$I$2:$I$308,"*ESTIMADO")</f>
        <v/>
      </c>
      <c r="G21" s="15">
        <f>SUM(B21:F21)</f>
        <v/>
      </c>
      <c r="H21" s="42">
        <f>IF(G21=0,"",(C21+D21+F21)/G21)</f>
        <v/>
      </c>
    </row>
    <row r="22">
      <c r="A22" s="41" t="n">
        <v>2021</v>
      </c>
      <c r="B22" s="15">
        <f>SUMIFS('Resumo Pagamento'!$D$2:$D$308,'Resumo Pagamento'!$K$2:$K$308,A22,'Resumo Pagamento'!$I$2:$I$308,"*xtrato real*")</f>
        <v/>
      </c>
      <c r="C22" s="15">
        <f>SUMIFS('Resumo Pagamento'!$D$2:$D$308,'Resumo Pagamento'!$K$2:$K$308,A22,'Resumo Pagamento'!$I$2:$I$308,"2007*")</f>
        <v/>
      </c>
      <c r="D22" s="15">
        <f>SUMIFS('Resumo Pagamento'!$D$2:$D$308,'Resumo Pagamento'!$K$2:$K$308,A22,'Resumo Pagamento'!$I$2:$I$308,"Mantido*")</f>
        <v/>
      </c>
      <c r="E22" s="15">
        <f>SUMIFS('Resumo Pagamento'!$D$2:$D$308,'Resumo Pagamento'!$K$2:$K$308,A22,'Resumo Pagamento'!$I$2:$I$308,"Complementado (não existia na base)")</f>
        <v/>
      </c>
      <c r="F22" s="15">
        <f>SUMIFS('Resumo Pagamento'!$D$2:$D$308,'Resumo Pagamento'!$K$2:$K$308,A22,'Resumo Pagamento'!$I$2:$I$308,"*ESTIMADO")</f>
        <v/>
      </c>
      <c r="G22" s="15">
        <f>SUM(B22:F22)</f>
        <v/>
      </c>
      <c r="H22" s="42">
        <f>IF(G22=0,"",(C22+D22+F22)/G22)</f>
        <v/>
      </c>
    </row>
    <row r="23">
      <c r="A23" s="41" t="n">
        <v>2022</v>
      </c>
      <c r="B23" s="15">
        <f>SUMIFS('Resumo Pagamento'!$D$2:$D$308,'Resumo Pagamento'!$K$2:$K$308,A23,'Resumo Pagamento'!$I$2:$I$308,"*xtrato real*")</f>
        <v/>
      </c>
      <c r="C23" s="15">
        <f>SUMIFS('Resumo Pagamento'!$D$2:$D$308,'Resumo Pagamento'!$K$2:$K$308,A23,'Resumo Pagamento'!$I$2:$I$308,"2007*")</f>
        <v/>
      </c>
      <c r="D23" s="15">
        <f>SUMIFS('Resumo Pagamento'!$D$2:$D$308,'Resumo Pagamento'!$K$2:$K$308,A23,'Resumo Pagamento'!$I$2:$I$308,"Mantido*")</f>
        <v/>
      </c>
      <c r="E23" s="15">
        <f>SUMIFS('Resumo Pagamento'!$D$2:$D$308,'Resumo Pagamento'!$K$2:$K$308,A23,'Resumo Pagamento'!$I$2:$I$308,"Complementado (não existia na base)")</f>
        <v/>
      </c>
      <c r="F23" s="15">
        <f>SUMIFS('Resumo Pagamento'!$D$2:$D$308,'Resumo Pagamento'!$K$2:$K$308,A23,'Resumo Pagamento'!$I$2:$I$308,"*ESTIMADO")</f>
        <v/>
      </c>
      <c r="G23" s="15">
        <f>SUM(B23:F23)</f>
        <v/>
      </c>
      <c r="H23" s="42">
        <f>IF(G23=0,"",(C23+D23+F23)/G23)</f>
        <v/>
      </c>
    </row>
    <row r="24">
      <c r="A24" s="41" t="n">
        <v>2023</v>
      </c>
      <c r="B24" s="15">
        <f>SUMIFS('Resumo Pagamento'!$D$2:$D$308,'Resumo Pagamento'!$K$2:$K$308,A24,'Resumo Pagamento'!$I$2:$I$308,"*xtrato real*")</f>
        <v/>
      </c>
      <c r="C24" s="15">
        <f>SUMIFS('Resumo Pagamento'!$D$2:$D$308,'Resumo Pagamento'!$K$2:$K$308,A24,'Resumo Pagamento'!$I$2:$I$308,"2007*")</f>
        <v/>
      </c>
      <c r="D24" s="15">
        <f>SUMIFS('Resumo Pagamento'!$D$2:$D$308,'Resumo Pagamento'!$K$2:$K$308,A24,'Resumo Pagamento'!$I$2:$I$308,"Mantido*")</f>
        <v/>
      </c>
      <c r="E24" s="15">
        <f>SUMIFS('Resumo Pagamento'!$D$2:$D$308,'Resumo Pagamento'!$K$2:$K$308,A24,'Resumo Pagamento'!$I$2:$I$308,"Complementado (não existia na base)")</f>
        <v/>
      </c>
      <c r="F24" s="15">
        <f>SUMIFS('Resumo Pagamento'!$D$2:$D$308,'Resumo Pagamento'!$K$2:$K$308,A24,'Resumo Pagamento'!$I$2:$I$308,"*ESTIMADO")</f>
        <v/>
      </c>
      <c r="G24" s="15">
        <f>SUM(B24:F24)</f>
        <v/>
      </c>
      <c r="H24" s="42">
        <f>IF(G24=0,"",(C24+D24+F24)/G24)</f>
        <v/>
      </c>
    </row>
    <row r="25">
      <c r="A25" s="41" t="n">
        <v>2024</v>
      </c>
      <c r="B25" s="15">
        <f>SUMIFS('Resumo Pagamento'!$D$2:$D$308,'Resumo Pagamento'!$K$2:$K$308,A25,'Resumo Pagamento'!$I$2:$I$308,"*xtrato real*")</f>
        <v/>
      </c>
      <c r="C25" s="15">
        <f>SUMIFS('Resumo Pagamento'!$D$2:$D$308,'Resumo Pagamento'!$K$2:$K$308,A25,'Resumo Pagamento'!$I$2:$I$308,"2007*")</f>
        <v/>
      </c>
      <c r="D25" s="15">
        <f>SUMIFS('Resumo Pagamento'!$D$2:$D$308,'Resumo Pagamento'!$K$2:$K$308,A25,'Resumo Pagamento'!$I$2:$I$308,"Mantido*")</f>
        <v/>
      </c>
      <c r="E25" s="15">
        <f>SUMIFS('Resumo Pagamento'!$D$2:$D$308,'Resumo Pagamento'!$K$2:$K$308,A25,'Resumo Pagamento'!$I$2:$I$308,"Complementado (não existia na base)")</f>
        <v/>
      </c>
      <c r="F25" s="15">
        <f>SUMIFS('Resumo Pagamento'!$D$2:$D$308,'Resumo Pagamento'!$K$2:$K$308,A25,'Resumo Pagamento'!$I$2:$I$308,"*ESTIMADO")</f>
        <v/>
      </c>
      <c r="G25" s="15">
        <f>SUM(B25:F25)</f>
        <v/>
      </c>
      <c r="H25" s="42">
        <f>IF(G25=0,"",(C25+D25+F25)/G25)</f>
        <v/>
      </c>
    </row>
    <row r="26">
      <c r="A26" s="41" t="n">
        <v>2025</v>
      </c>
      <c r="B26" s="15">
        <f>SUMIFS('Resumo Pagamento'!$D$2:$D$308,'Resumo Pagamento'!$K$2:$K$308,A26,'Resumo Pagamento'!$I$2:$I$308,"*xtrato real*")</f>
        <v/>
      </c>
      <c r="C26" s="15">
        <f>SUMIFS('Resumo Pagamento'!$D$2:$D$308,'Resumo Pagamento'!$K$2:$K$308,A26,'Resumo Pagamento'!$I$2:$I$308,"2007*")</f>
        <v/>
      </c>
      <c r="D26" s="15">
        <f>SUMIFS('Resumo Pagamento'!$D$2:$D$308,'Resumo Pagamento'!$K$2:$K$308,A26,'Resumo Pagamento'!$I$2:$I$308,"Mantido*")</f>
        <v/>
      </c>
      <c r="E26" s="15">
        <f>SUMIFS('Resumo Pagamento'!$D$2:$D$308,'Resumo Pagamento'!$K$2:$K$308,A26,'Resumo Pagamento'!$I$2:$I$308,"Complementado (não existia na base)")</f>
        <v/>
      </c>
      <c r="F26" s="15">
        <f>SUMIFS('Resumo Pagamento'!$D$2:$D$308,'Resumo Pagamento'!$K$2:$K$308,A26,'Resumo Pagamento'!$I$2:$I$308,"*ESTIMADO")</f>
        <v/>
      </c>
      <c r="G26" s="15">
        <f>SUM(B26:F26)</f>
        <v/>
      </c>
      <c r="H26" s="42">
        <f>IF(G26=0,"",(C26+D26+F26)/G26)</f>
        <v/>
      </c>
    </row>
    <row r="27">
      <c r="A27" s="41" t="n">
        <v>2026</v>
      </c>
      <c r="B27" s="15">
        <f>SUMIFS('Resumo Pagamento'!$D$2:$D$308,'Resumo Pagamento'!$K$2:$K$308,A27,'Resumo Pagamento'!$I$2:$I$308,"*xtrato real*")</f>
        <v/>
      </c>
      <c r="C27" s="15">
        <f>SUMIFS('Resumo Pagamento'!$D$2:$D$308,'Resumo Pagamento'!$K$2:$K$308,A27,'Resumo Pagamento'!$I$2:$I$308,"2007*")</f>
        <v/>
      </c>
      <c r="D27" s="15">
        <f>SUMIFS('Resumo Pagamento'!$D$2:$D$308,'Resumo Pagamento'!$K$2:$K$308,A27,'Resumo Pagamento'!$I$2:$I$308,"Mantido*")</f>
        <v/>
      </c>
      <c r="E27" s="15">
        <f>SUMIFS('Resumo Pagamento'!$D$2:$D$308,'Resumo Pagamento'!$K$2:$K$308,A27,'Resumo Pagamento'!$I$2:$I$308,"Complementado (não existia na base)")</f>
        <v/>
      </c>
      <c r="F27" s="15">
        <f>SUMIFS('Resumo Pagamento'!$D$2:$D$308,'Resumo Pagamento'!$K$2:$K$308,A27,'Resumo Pagamento'!$I$2:$I$308,"*ESTIMADO")</f>
        <v/>
      </c>
      <c r="G27" s="15">
        <f>SUM(B27:F27)</f>
        <v/>
      </c>
      <c r="H27" s="42">
        <f>IF(G27=0,"",(C27+D27+F27)/G27)</f>
        <v/>
      </c>
    </row>
    <row r="28">
      <c r="A28" s="34" t="inlineStr">
        <is>
          <t>TOTAL</t>
        </is>
      </c>
      <c r="B28" s="35">
        <f>SUM(B2:B27)</f>
        <v/>
      </c>
      <c r="C28" s="35">
        <f>SUM(C2:C27)</f>
        <v/>
      </c>
      <c r="D28" s="35">
        <f>SUM(D2:D27)</f>
        <v/>
      </c>
      <c r="E28" s="35">
        <f>SUM(E2:E27)</f>
        <v/>
      </c>
      <c r="F28" s="35">
        <f>SUM(F2:F27)</f>
        <v/>
      </c>
      <c r="G28" s="35">
        <f>SUM(G2:G27)</f>
        <v/>
      </c>
      <c r="H28" s="43">
        <f>IF(G28=0,"",(C28+D28+F28)/G28)</f>
        <v/>
      </c>
    </row>
    <row r="30">
      <c r="A30" s="44" t="inlineStr">
        <is>
          <t>Complementado - real: extrato Tenda (fev/2012 a fev/2013) e contas a pagar (jul/2017 em diante). Complementado - ESTIMADO: mar/2013 a jun/2017 (média com variação). Mantido da base manual: 2001 a jan/2005 e nov/2010 a jan/2012 (valores da planilha original, aparentemente estimados).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20" customWidth="1" min="4" max="4"/>
    <col width="14" customWidth="1" min="5" max="5"/>
    <col width="14" customWidth="1" min="6" max="6"/>
    <col width="14" customWidth="1" min="7" max="7"/>
  </cols>
  <sheetData>
    <row r="1" ht="34" customHeight="1">
      <c r="A1" s="40" t="inlineStr">
        <is>
          <t>Ano do pagamento</t>
        </is>
      </c>
      <c r="B1" s="40" t="inlineStr">
        <is>
          <t>Base original (R$)</t>
        </is>
      </c>
      <c r="C1" s="40" t="inlineStr">
        <is>
          <t>Final - coluna D (R$)</t>
        </is>
      </c>
      <c r="D1" s="40" t="inlineStr">
        <is>
          <t>Diferença (Final − Original)</t>
        </is>
      </c>
      <c r="E1" s="40" t="inlineStr">
        <is>
          <t>Meses com extrato real</t>
        </is>
      </c>
      <c r="F1" s="40" t="inlineStr">
        <is>
          <t>Meses mantidos da base</t>
        </is>
      </c>
      <c r="G1" s="40" t="inlineStr">
        <is>
          <t>Meses complementados</t>
        </is>
      </c>
    </row>
    <row r="2">
      <c r="A2" s="41" t="n">
        <v>2001</v>
      </c>
      <c r="B2" s="15">
        <f>SUMIFS('Resumo Pagamento'!$F$2:$F$308,'Resumo Pagamento'!$K$2:$K$308,A2)</f>
        <v/>
      </c>
      <c r="C2" s="15">
        <f>SUMIFS('Resumo Pagamento'!$D$2:$D$308,'Resumo Pagamento'!$K$2:$K$308,A2)</f>
        <v/>
      </c>
      <c r="D2" s="15">
        <f>C2-B2</f>
        <v/>
      </c>
      <c r="E2" s="45">
        <f>COUNTIFS('Resumo Pagamento'!$K$2:$K$308,A2,'Resumo Pagamento'!$I$2:$I$308,"*xtrato real*")</f>
        <v/>
      </c>
      <c r="F2" s="45">
        <f>COUNTIFS('Resumo Pagamento'!$K$2:$K$308,A2,'Resumo Pagamento'!$I$2:$I$308,"Mantido*")</f>
        <v/>
      </c>
      <c r="G2" s="45">
        <f>COUNTIFS('Resumo Pagamento'!$K$2:$K$308,A2,'Resumo Pagamento'!$I$2:$I$308,"Complementado*")</f>
        <v/>
      </c>
    </row>
    <row r="3">
      <c r="A3" s="41" t="n">
        <v>2002</v>
      </c>
      <c r="B3" s="15">
        <f>SUMIFS('Resumo Pagamento'!$F$2:$F$308,'Resumo Pagamento'!$K$2:$K$308,A3)</f>
        <v/>
      </c>
      <c r="C3" s="15">
        <f>SUMIFS('Resumo Pagamento'!$D$2:$D$308,'Resumo Pagamento'!$K$2:$K$308,A3)</f>
        <v/>
      </c>
      <c r="D3" s="15">
        <f>C3-B3</f>
        <v/>
      </c>
      <c r="E3" s="45">
        <f>COUNTIFS('Resumo Pagamento'!$K$2:$K$308,A3,'Resumo Pagamento'!$I$2:$I$308,"*xtrato real*")</f>
        <v/>
      </c>
      <c r="F3" s="45">
        <f>COUNTIFS('Resumo Pagamento'!$K$2:$K$308,A3,'Resumo Pagamento'!$I$2:$I$308,"Mantido*")</f>
        <v/>
      </c>
      <c r="G3" s="45">
        <f>COUNTIFS('Resumo Pagamento'!$K$2:$K$308,A3,'Resumo Pagamento'!$I$2:$I$308,"Complementado*")</f>
        <v/>
      </c>
    </row>
    <row r="4">
      <c r="A4" s="41" t="n">
        <v>2003</v>
      </c>
      <c r="B4" s="15">
        <f>SUMIFS('Resumo Pagamento'!$F$2:$F$308,'Resumo Pagamento'!$K$2:$K$308,A4)</f>
        <v/>
      </c>
      <c r="C4" s="15">
        <f>SUMIFS('Resumo Pagamento'!$D$2:$D$308,'Resumo Pagamento'!$K$2:$K$308,A4)</f>
        <v/>
      </c>
      <c r="D4" s="15">
        <f>C4-B4</f>
        <v/>
      </c>
      <c r="E4" s="45">
        <f>COUNTIFS('Resumo Pagamento'!$K$2:$K$308,A4,'Resumo Pagamento'!$I$2:$I$308,"*xtrato real*")</f>
        <v/>
      </c>
      <c r="F4" s="45">
        <f>COUNTIFS('Resumo Pagamento'!$K$2:$K$308,A4,'Resumo Pagamento'!$I$2:$I$308,"Mantido*")</f>
        <v/>
      </c>
      <c r="G4" s="45">
        <f>COUNTIFS('Resumo Pagamento'!$K$2:$K$308,A4,'Resumo Pagamento'!$I$2:$I$308,"Complementado*")</f>
        <v/>
      </c>
    </row>
    <row r="5">
      <c r="A5" s="41" t="n">
        <v>2004</v>
      </c>
      <c r="B5" s="15">
        <f>SUMIFS('Resumo Pagamento'!$F$2:$F$308,'Resumo Pagamento'!$K$2:$K$308,A5)</f>
        <v/>
      </c>
      <c r="C5" s="15">
        <f>SUMIFS('Resumo Pagamento'!$D$2:$D$308,'Resumo Pagamento'!$K$2:$K$308,A5)</f>
        <v/>
      </c>
      <c r="D5" s="15">
        <f>C5-B5</f>
        <v/>
      </c>
      <c r="E5" s="45">
        <f>COUNTIFS('Resumo Pagamento'!$K$2:$K$308,A5,'Resumo Pagamento'!$I$2:$I$308,"*xtrato real*")</f>
        <v/>
      </c>
      <c r="F5" s="45">
        <f>COUNTIFS('Resumo Pagamento'!$K$2:$K$308,A5,'Resumo Pagamento'!$I$2:$I$308,"Mantido*")</f>
        <v/>
      </c>
      <c r="G5" s="45">
        <f>COUNTIFS('Resumo Pagamento'!$K$2:$K$308,A5,'Resumo Pagamento'!$I$2:$I$308,"Complementado*")</f>
        <v/>
      </c>
    </row>
    <row r="6">
      <c r="A6" s="41" t="n">
        <v>2005</v>
      </c>
      <c r="B6" s="15">
        <f>SUMIFS('Resumo Pagamento'!$F$2:$F$308,'Resumo Pagamento'!$K$2:$K$308,A6)</f>
        <v/>
      </c>
      <c r="C6" s="15">
        <f>SUMIFS('Resumo Pagamento'!$D$2:$D$308,'Resumo Pagamento'!$K$2:$K$308,A6)</f>
        <v/>
      </c>
      <c r="D6" s="15">
        <f>C6-B6</f>
        <v/>
      </c>
      <c r="E6" s="45">
        <f>COUNTIFS('Resumo Pagamento'!$K$2:$K$308,A6,'Resumo Pagamento'!$I$2:$I$308,"*xtrato real*")</f>
        <v/>
      </c>
      <c r="F6" s="45">
        <f>COUNTIFS('Resumo Pagamento'!$K$2:$K$308,A6,'Resumo Pagamento'!$I$2:$I$308,"Mantido*")</f>
        <v/>
      </c>
      <c r="G6" s="45">
        <f>COUNTIFS('Resumo Pagamento'!$K$2:$K$308,A6,'Resumo Pagamento'!$I$2:$I$308,"Complementado*")</f>
        <v/>
      </c>
    </row>
    <row r="7">
      <c r="A7" s="41" t="n">
        <v>2006</v>
      </c>
      <c r="B7" s="15">
        <f>SUMIFS('Resumo Pagamento'!$F$2:$F$308,'Resumo Pagamento'!$K$2:$K$308,A7)</f>
        <v/>
      </c>
      <c r="C7" s="15">
        <f>SUMIFS('Resumo Pagamento'!$D$2:$D$308,'Resumo Pagamento'!$K$2:$K$308,A7)</f>
        <v/>
      </c>
      <c r="D7" s="15">
        <f>C7-B7</f>
        <v/>
      </c>
      <c r="E7" s="45">
        <f>COUNTIFS('Resumo Pagamento'!$K$2:$K$308,A7,'Resumo Pagamento'!$I$2:$I$308,"*xtrato real*")</f>
        <v/>
      </c>
      <c r="F7" s="45">
        <f>COUNTIFS('Resumo Pagamento'!$K$2:$K$308,A7,'Resumo Pagamento'!$I$2:$I$308,"Mantido*")</f>
        <v/>
      </c>
      <c r="G7" s="45">
        <f>COUNTIFS('Resumo Pagamento'!$K$2:$K$308,A7,'Resumo Pagamento'!$I$2:$I$308,"Complementado*")</f>
        <v/>
      </c>
    </row>
    <row r="8">
      <c r="A8" s="41" t="n">
        <v>2007</v>
      </c>
      <c r="B8" s="15">
        <f>SUMIFS('Resumo Pagamento'!$F$2:$F$308,'Resumo Pagamento'!$K$2:$K$308,A8)</f>
        <v/>
      </c>
      <c r="C8" s="15">
        <f>SUMIFS('Resumo Pagamento'!$D$2:$D$308,'Resumo Pagamento'!$K$2:$K$308,A8)</f>
        <v/>
      </c>
      <c r="D8" s="15">
        <f>C8-B8</f>
        <v/>
      </c>
      <c r="E8" s="45">
        <f>COUNTIFS('Resumo Pagamento'!$K$2:$K$308,A8,'Resumo Pagamento'!$I$2:$I$308,"*xtrato real*")</f>
        <v/>
      </c>
      <c r="F8" s="45">
        <f>COUNTIFS('Resumo Pagamento'!$K$2:$K$308,A8,'Resumo Pagamento'!$I$2:$I$308,"Mantido*")</f>
        <v/>
      </c>
      <c r="G8" s="45">
        <f>COUNTIFS('Resumo Pagamento'!$K$2:$K$308,A8,'Resumo Pagamento'!$I$2:$I$308,"Complementado*")</f>
        <v/>
      </c>
    </row>
    <row r="9">
      <c r="A9" s="41" t="n">
        <v>2008</v>
      </c>
      <c r="B9" s="15">
        <f>SUMIFS('Resumo Pagamento'!$F$2:$F$308,'Resumo Pagamento'!$K$2:$K$308,A9)</f>
        <v/>
      </c>
      <c r="C9" s="15">
        <f>SUMIFS('Resumo Pagamento'!$D$2:$D$308,'Resumo Pagamento'!$K$2:$K$308,A9)</f>
        <v/>
      </c>
      <c r="D9" s="15">
        <f>C9-B9</f>
        <v/>
      </c>
      <c r="E9" s="45">
        <f>COUNTIFS('Resumo Pagamento'!$K$2:$K$308,A9,'Resumo Pagamento'!$I$2:$I$308,"*xtrato real*")</f>
        <v/>
      </c>
      <c r="F9" s="45">
        <f>COUNTIFS('Resumo Pagamento'!$K$2:$K$308,A9,'Resumo Pagamento'!$I$2:$I$308,"Mantido*")</f>
        <v/>
      </c>
      <c r="G9" s="45">
        <f>COUNTIFS('Resumo Pagamento'!$K$2:$K$308,A9,'Resumo Pagamento'!$I$2:$I$308,"Complementado*")</f>
        <v/>
      </c>
    </row>
    <row r="10">
      <c r="A10" s="41" t="n">
        <v>2009</v>
      </c>
      <c r="B10" s="15">
        <f>SUMIFS('Resumo Pagamento'!$F$2:$F$308,'Resumo Pagamento'!$K$2:$K$308,A10)</f>
        <v/>
      </c>
      <c r="C10" s="15">
        <f>SUMIFS('Resumo Pagamento'!$D$2:$D$308,'Resumo Pagamento'!$K$2:$K$308,A10)</f>
        <v/>
      </c>
      <c r="D10" s="15">
        <f>C10-B10</f>
        <v/>
      </c>
      <c r="E10" s="45">
        <f>COUNTIFS('Resumo Pagamento'!$K$2:$K$308,A10,'Resumo Pagamento'!$I$2:$I$308,"*xtrato real*")</f>
        <v/>
      </c>
      <c r="F10" s="45">
        <f>COUNTIFS('Resumo Pagamento'!$K$2:$K$308,A10,'Resumo Pagamento'!$I$2:$I$308,"Mantido*")</f>
        <v/>
      </c>
      <c r="G10" s="45">
        <f>COUNTIFS('Resumo Pagamento'!$K$2:$K$308,A10,'Resumo Pagamento'!$I$2:$I$308,"Complementado*")</f>
        <v/>
      </c>
    </row>
    <row r="11">
      <c r="A11" s="41" t="n">
        <v>2010</v>
      </c>
      <c r="B11" s="15">
        <f>SUMIFS('Resumo Pagamento'!$F$2:$F$308,'Resumo Pagamento'!$K$2:$K$308,A11)</f>
        <v/>
      </c>
      <c r="C11" s="15">
        <f>SUMIFS('Resumo Pagamento'!$D$2:$D$308,'Resumo Pagamento'!$K$2:$K$308,A11)</f>
        <v/>
      </c>
      <c r="D11" s="15">
        <f>C11-B11</f>
        <v/>
      </c>
      <c r="E11" s="45">
        <f>COUNTIFS('Resumo Pagamento'!$K$2:$K$308,A11,'Resumo Pagamento'!$I$2:$I$308,"*xtrato real*")</f>
        <v/>
      </c>
      <c r="F11" s="45">
        <f>COUNTIFS('Resumo Pagamento'!$K$2:$K$308,A11,'Resumo Pagamento'!$I$2:$I$308,"Mantido*")</f>
        <v/>
      </c>
      <c r="G11" s="45">
        <f>COUNTIFS('Resumo Pagamento'!$K$2:$K$308,A11,'Resumo Pagamento'!$I$2:$I$308,"Complementado*")</f>
        <v/>
      </c>
    </row>
    <row r="12">
      <c r="A12" s="41" t="n">
        <v>2011</v>
      </c>
      <c r="B12" s="15">
        <f>SUMIFS('Resumo Pagamento'!$F$2:$F$308,'Resumo Pagamento'!$K$2:$K$308,A12)</f>
        <v/>
      </c>
      <c r="C12" s="15">
        <f>SUMIFS('Resumo Pagamento'!$D$2:$D$308,'Resumo Pagamento'!$K$2:$K$308,A12)</f>
        <v/>
      </c>
      <c r="D12" s="15">
        <f>C12-B12</f>
        <v/>
      </c>
      <c r="E12" s="45">
        <f>COUNTIFS('Resumo Pagamento'!$K$2:$K$308,A12,'Resumo Pagamento'!$I$2:$I$308,"*xtrato real*")</f>
        <v/>
      </c>
      <c r="F12" s="45">
        <f>COUNTIFS('Resumo Pagamento'!$K$2:$K$308,A12,'Resumo Pagamento'!$I$2:$I$308,"Mantido*")</f>
        <v/>
      </c>
      <c r="G12" s="45">
        <f>COUNTIFS('Resumo Pagamento'!$K$2:$K$308,A12,'Resumo Pagamento'!$I$2:$I$308,"Complementado*")</f>
        <v/>
      </c>
    </row>
    <row r="13">
      <c r="A13" s="41" t="n">
        <v>2012</v>
      </c>
      <c r="B13" s="15">
        <f>SUMIFS('Resumo Pagamento'!$F$2:$F$308,'Resumo Pagamento'!$K$2:$K$308,A13)</f>
        <v/>
      </c>
      <c r="C13" s="15">
        <f>SUMIFS('Resumo Pagamento'!$D$2:$D$308,'Resumo Pagamento'!$K$2:$K$308,A13)</f>
        <v/>
      </c>
      <c r="D13" s="15">
        <f>C13-B13</f>
        <v/>
      </c>
      <c r="E13" s="45">
        <f>COUNTIFS('Resumo Pagamento'!$K$2:$K$308,A13,'Resumo Pagamento'!$I$2:$I$308,"*xtrato real*")</f>
        <v/>
      </c>
      <c r="F13" s="45">
        <f>COUNTIFS('Resumo Pagamento'!$K$2:$K$308,A13,'Resumo Pagamento'!$I$2:$I$308,"Mantido*")</f>
        <v/>
      </c>
      <c r="G13" s="45">
        <f>COUNTIFS('Resumo Pagamento'!$K$2:$K$308,A13,'Resumo Pagamento'!$I$2:$I$308,"Complementado*")</f>
        <v/>
      </c>
    </row>
    <row r="14">
      <c r="A14" s="41" t="n">
        <v>2013</v>
      </c>
      <c r="B14" s="15">
        <f>SUMIFS('Resumo Pagamento'!$F$2:$F$308,'Resumo Pagamento'!$K$2:$K$308,A14)</f>
        <v/>
      </c>
      <c r="C14" s="15">
        <f>SUMIFS('Resumo Pagamento'!$D$2:$D$308,'Resumo Pagamento'!$K$2:$K$308,A14)</f>
        <v/>
      </c>
      <c r="D14" s="15">
        <f>C14-B14</f>
        <v/>
      </c>
      <c r="E14" s="45">
        <f>COUNTIFS('Resumo Pagamento'!$K$2:$K$308,A14,'Resumo Pagamento'!$I$2:$I$308,"*xtrato real*")</f>
        <v/>
      </c>
      <c r="F14" s="45">
        <f>COUNTIFS('Resumo Pagamento'!$K$2:$K$308,A14,'Resumo Pagamento'!$I$2:$I$308,"Mantido*")</f>
        <v/>
      </c>
      <c r="G14" s="45">
        <f>COUNTIFS('Resumo Pagamento'!$K$2:$K$308,A14,'Resumo Pagamento'!$I$2:$I$308,"Complementado*")</f>
        <v/>
      </c>
    </row>
    <row r="15">
      <c r="A15" s="41" t="n">
        <v>2014</v>
      </c>
      <c r="B15" s="15">
        <f>SUMIFS('Resumo Pagamento'!$F$2:$F$308,'Resumo Pagamento'!$K$2:$K$308,A15)</f>
        <v/>
      </c>
      <c r="C15" s="15">
        <f>SUMIFS('Resumo Pagamento'!$D$2:$D$308,'Resumo Pagamento'!$K$2:$K$308,A15)</f>
        <v/>
      </c>
      <c r="D15" s="15">
        <f>C15-B15</f>
        <v/>
      </c>
      <c r="E15" s="45">
        <f>COUNTIFS('Resumo Pagamento'!$K$2:$K$308,A15,'Resumo Pagamento'!$I$2:$I$308,"*xtrato real*")</f>
        <v/>
      </c>
      <c r="F15" s="45">
        <f>COUNTIFS('Resumo Pagamento'!$K$2:$K$308,A15,'Resumo Pagamento'!$I$2:$I$308,"Mantido*")</f>
        <v/>
      </c>
      <c r="G15" s="45">
        <f>COUNTIFS('Resumo Pagamento'!$K$2:$K$308,A15,'Resumo Pagamento'!$I$2:$I$308,"Complementado*")</f>
        <v/>
      </c>
    </row>
    <row r="16">
      <c r="A16" s="41" t="n">
        <v>2015</v>
      </c>
      <c r="B16" s="15">
        <f>SUMIFS('Resumo Pagamento'!$F$2:$F$308,'Resumo Pagamento'!$K$2:$K$308,A16)</f>
        <v/>
      </c>
      <c r="C16" s="15">
        <f>SUMIFS('Resumo Pagamento'!$D$2:$D$308,'Resumo Pagamento'!$K$2:$K$308,A16)</f>
        <v/>
      </c>
      <c r="D16" s="15">
        <f>C16-B16</f>
        <v/>
      </c>
      <c r="E16" s="45">
        <f>COUNTIFS('Resumo Pagamento'!$K$2:$K$308,A16,'Resumo Pagamento'!$I$2:$I$308,"*xtrato real*")</f>
        <v/>
      </c>
      <c r="F16" s="45">
        <f>COUNTIFS('Resumo Pagamento'!$K$2:$K$308,A16,'Resumo Pagamento'!$I$2:$I$308,"Mantido*")</f>
        <v/>
      </c>
      <c r="G16" s="45">
        <f>COUNTIFS('Resumo Pagamento'!$K$2:$K$308,A16,'Resumo Pagamento'!$I$2:$I$308,"Complementado*")</f>
        <v/>
      </c>
    </row>
    <row r="17">
      <c r="A17" s="41" t="n">
        <v>2016</v>
      </c>
      <c r="B17" s="15">
        <f>SUMIFS('Resumo Pagamento'!$F$2:$F$308,'Resumo Pagamento'!$K$2:$K$308,A17)</f>
        <v/>
      </c>
      <c r="C17" s="15">
        <f>SUMIFS('Resumo Pagamento'!$D$2:$D$308,'Resumo Pagamento'!$K$2:$K$308,A17)</f>
        <v/>
      </c>
      <c r="D17" s="15">
        <f>C17-B17</f>
        <v/>
      </c>
      <c r="E17" s="45">
        <f>COUNTIFS('Resumo Pagamento'!$K$2:$K$308,A17,'Resumo Pagamento'!$I$2:$I$308,"*xtrato real*")</f>
        <v/>
      </c>
      <c r="F17" s="45">
        <f>COUNTIFS('Resumo Pagamento'!$K$2:$K$308,A17,'Resumo Pagamento'!$I$2:$I$308,"Mantido*")</f>
        <v/>
      </c>
      <c r="G17" s="45">
        <f>COUNTIFS('Resumo Pagamento'!$K$2:$K$308,A17,'Resumo Pagamento'!$I$2:$I$308,"Complementado*")</f>
        <v/>
      </c>
    </row>
    <row r="18">
      <c r="A18" s="41" t="n">
        <v>2017</v>
      </c>
      <c r="B18" s="15">
        <f>SUMIFS('Resumo Pagamento'!$F$2:$F$308,'Resumo Pagamento'!$K$2:$K$308,A18)</f>
        <v/>
      </c>
      <c r="C18" s="15">
        <f>SUMIFS('Resumo Pagamento'!$D$2:$D$308,'Resumo Pagamento'!$K$2:$K$308,A18)</f>
        <v/>
      </c>
      <c r="D18" s="15">
        <f>C18-B18</f>
        <v/>
      </c>
      <c r="E18" s="45">
        <f>COUNTIFS('Resumo Pagamento'!$K$2:$K$308,A18,'Resumo Pagamento'!$I$2:$I$308,"*xtrato real*")</f>
        <v/>
      </c>
      <c r="F18" s="45">
        <f>COUNTIFS('Resumo Pagamento'!$K$2:$K$308,A18,'Resumo Pagamento'!$I$2:$I$308,"Mantido*")</f>
        <v/>
      </c>
      <c r="G18" s="45">
        <f>COUNTIFS('Resumo Pagamento'!$K$2:$K$308,A18,'Resumo Pagamento'!$I$2:$I$308,"Complementado*")</f>
        <v/>
      </c>
    </row>
    <row r="19">
      <c r="A19" s="41" t="n">
        <v>2018</v>
      </c>
      <c r="B19" s="15">
        <f>SUMIFS('Resumo Pagamento'!$F$2:$F$308,'Resumo Pagamento'!$K$2:$K$308,A19)</f>
        <v/>
      </c>
      <c r="C19" s="15">
        <f>SUMIFS('Resumo Pagamento'!$D$2:$D$308,'Resumo Pagamento'!$K$2:$K$308,A19)</f>
        <v/>
      </c>
      <c r="D19" s="15">
        <f>C19-B19</f>
        <v/>
      </c>
      <c r="E19" s="45">
        <f>COUNTIFS('Resumo Pagamento'!$K$2:$K$308,A19,'Resumo Pagamento'!$I$2:$I$308,"*xtrato real*")</f>
        <v/>
      </c>
      <c r="F19" s="45">
        <f>COUNTIFS('Resumo Pagamento'!$K$2:$K$308,A19,'Resumo Pagamento'!$I$2:$I$308,"Mantido*")</f>
        <v/>
      </c>
      <c r="G19" s="45">
        <f>COUNTIFS('Resumo Pagamento'!$K$2:$K$308,A19,'Resumo Pagamento'!$I$2:$I$308,"Complementado*")</f>
        <v/>
      </c>
    </row>
    <row r="20">
      <c r="A20" s="41" t="n">
        <v>2019</v>
      </c>
      <c r="B20" s="15">
        <f>SUMIFS('Resumo Pagamento'!$F$2:$F$308,'Resumo Pagamento'!$K$2:$K$308,A20)</f>
        <v/>
      </c>
      <c r="C20" s="15">
        <f>SUMIFS('Resumo Pagamento'!$D$2:$D$308,'Resumo Pagamento'!$K$2:$K$308,A20)</f>
        <v/>
      </c>
      <c r="D20" s="15">
        <f>C20-B20</f>
        <v/>
      </c>
      <c r="E20" s="45">
        <f>COUNTIFS('Resumo Pagamento'!$K$2:$K$308,A20,'Resumo Pagamento'!$I$2:$I$308,"*xtrato real*")</f>
        <v/>
      </c>
      <c r="F20" s="45">
        <f>COUNTIFS('Resumo Pagamento'!$K$2:$K$308,A20,'Resumo Pagamento'!$I$2:$I$308,"Mantido*")</f>
        <v/>
      </c>
      <c r="G20" s="45">
        <f>COUNTIFS('Resumo Pagamento'!$K$2:$K$308,A20,'Resumo Pagamento'!$I$2:$I$308,"Complementado*")</f>
        <v/>
      </c>
    </row>
    <row r="21">
      <c r="A21" s="41" t="n">
        <v>2020</v>
      </c>
      <c r="B21" s="15">
        <f>SUMIFS('Resumo Pagamento'!$F$2:$F$308,'Resumo Pagamento'!$K$2:$K$308,A21)</f>
        <v/>
      </c>
      <c r="C21" s="15">
        <f>SUMIFS('Resumo Pagamento'!$D$2:$D$308,'Resumo Pagamento'!$K$2:$K$308,A21)</f>
        <v/>
      </c>
      <c r="D21" s="15">
        <f>C21-B21</f>
        <v/>
      </c>
      <c r="E21" s="45">
        <f>COUNTIFS('Resumo Pagamento'!$K$2:$K$308,A21,'Resumo Pagamento'!$I$2:$I$308,"*xtrato real*")</f>
        <v/>
      </c>
      <c r="F21" s="45">
        <f>COUNTIFS('Resumo Pagamento'!$K$2:$K$308,A21,'Resumo Pagamento'!$I$2:$I$308,"Mantido*")</f>
        <v/>
      </c>
      <c r="G21" s="45">
        <f>COUNTIFS('Resumo Pagamento'!$K$2:$K$308,A21,'Resumo Pagamento'!$I$2:$I$308,"Complementado*")</f>
        <v/>
      </c>
    </row>
    <row r="22">
      <c r="A22" s="41" t="n">
        <v>2021</v>
      </c>
      <c r="B22" s="15">
        <f>SUMIFS('Resumo Pagamento'!$F$2:$F$308,'Resumo Pagamento'!$K$2:$K$308,A22)</f>
        <v/>
      </c>
      <c r="C22" s="15">
        <f>SUMIFS('Resumo Pagamento'!$D$2:$D$308,'Resumo Pagamento'!$K$2:$K$308,A22)</f>
        <v/>
      </c>
      <c r="D22" s="15">
        <f>C22-B22</f>
        <v/>
      </c>
      <c r="E22" s="45">
        <f>COUNTIFS('Resumo Pagamento'!$K$2:$K$308,A22,'Resumo Pagamento'!$I$2:$I$308,"*xtrato real*")</f>
        <v/>
      </c>
      <c r="F22" s="45">
        <f>COUNTIFS('Resumo Pagamento'!$K$2:$K$308,A22,'Resumo Pagamento'!$I$2:$I$308,"Mantido*")</f>
        <v/>
      </c>
      <c r="G22" s="45">
        <f>COUNTIFS('Resumo Pagamento'!$K$2:$K$308,A22,'Resumo Pagamento'!$I$2:$I$308,"Complementado*")</f>
        <v/>
      </c>
    </row>
    <row r="23">
      <c r="A23" s="41" t="n">
        <v>2022</v>
      </c>
      <c r="B23" s="15">
        <f>SUMIFS('Resumo Pagamento'!$F$2:$F$308,'Resumo Pagamento'!$K$2:$K$308,A23)</f>
        <v/>
      </c>
      <c r="C23" s="15">
        <f>SUMIFS('Resumo Pagamento'!$D$2:$D$308,'Resumo Pagamento'!$K$2:$K$308,A23)</f>
        <v/>
      </c>
      <c r="D23" s="15">
        <f>C23-B23</f>
        <v/>
      </c>
      <c r="E23" s="45">
        <f>COUNTIFS('Resumo Pagamento'!$K$2:$K$308,A23,'Resumo Pagamento'!$I$2:$I$308,"*xtrato real*")</f>
        <v/>
      </c>
      <c r="F23" s="45">
        <f>COUNTIFS('Resumo Pagamento'!$K$2:$K$308,A23,'Resumo Pagamento'!$I$2:$I$308,"Mantido*")</f>
        <v/>
      </c>
      <c r="G23" s="45">
        <f>COUNTIFS('Resumo Pagamento'!$K$2:$K$308,A23,'Resumo Pagamento'!$I$2:$I$308,"Complementado*")</f>
        <v/>
      </c>
    </row>
    <row r="24">
      <c r="A24" s="41" t="n">
        <v>2023</v>
      </c>
      <c r="B24" s="15">
        <f>SUMIFS('Resumo Pagamento'!$F$2:$F$308,'Resumo Pagamento'!$K$2:$K$308,A24)</f>
        <v/>
      </c>
      <c r="C24" s="15">
        <f>SUMIFS('Resumo Pagamento'!$D$2:$D$308,'Resumo Pagamento'!$K$2:$K$308,A24)</f>
        <v/>
      </c>
      <c r="D24" s="15">
        <f>C24-B24</f>
        <v/>
      </c>
      <c r="E24" s="45">
        <f>COUNTIFS('Resumo Pagamento'!$K$2:$K$308,A24,'Resumo Pagamento'!$I$2:$I$308,"*xtrato real*")</f>
        <v/>
      </c>
      <c r="F24" s="45">
        <f>COUNTIFS('Resumo Pagamento'!$K$2:$K$308,A24,'Resumo Pagamento'!$I$2:$I$308,"Mantido*")</f>
        <v/>
      </c>
      <c r="G24" s="45">
        <f>COUNTIFS('Resumo Pagamento'!$K$2:$K$308,A24,'Resumo Pagamento'!$I$2:$I$308,"Complementado*")</f>
        <v/>
      </c>
    </row>
    <row r="25">
      <c r="A25" s="41" t="n">
        <v>2024</v>
      </c>
      <c r="B25" s="15">
        <f>SUMIFS('Resumo Pagamento'!$F$2:$F$308,'Resumo Pagamento'!$K$2:$K$308,A25)</f>
        <v/>
      </c>
      <c r="C25" s="15">
        <f>SUMIFS('Resumo Pagamento'!$D$2:$D$308,'Resumo Pagamento'!$K$2:$K$308,A25)</f>
        <v/>
      </c>
      <c r="D25" s="15">
        <f>C25-B25</f>
        <v/>
      </c>
      <c r="E25" s="45">
        <f>COUNTIFS('Resumo Pagamento'!$K$2:$K$308,A25,'Resumo Pagamento'!$I$2:$I$308,"*xtrato real*")</f>
        <v/>
      </c>
      <c r="F25" s="45">
        <f>COUNTIFS('Resumo Pagamento'!$K$2:$K$308,A25,'Resumo Pagamento'!$I$2:$I$308,"Mantido*")</f>
        <v/>
      </c>
      <c r="G25" s="45">
        <f>COUNTIFS('Resumo Pagamento'!$K$2:$K$308,A25,'Resumo Pagamento'!$I$2:$I$308,"Complementado*")</f>
        <v/>
      </c>
    </row>
    <row r="26">
      <c r="A26" s="41" t="n">
        <v>2025</v>
      </c>
      <c r="B26" s="15">
        <f>SUMIFS('Resumo Pagamento'!$F$2:$F$308,'Resumo Pagamento'!$K$2:$K$308,A26)</f>
        <v/>
      </c>
      <c r="C26" s="15">
        <f>SUMIFS('Resumo Pagamento'!$D$2:$D$308,'Resumo Pagamento'!$K$2:$K$308,A26)</f>
        <v/>
      </c>
      <c r="D26" s="15">
        <f>C26-B26</f>
        <v/>
      </c>
      <c r="E26" s="45">
        <f>COUNTIFS('Resumo Pagamento'!$K$2:$K$308,A26,'Resumo Pagamento'!$I$2:$I$308,"*xtrato real*")</f>
        <v/>
      </c>
      <c r="F26" s="45">
        <f>COUNTIFS('Resumo Pagamento'!$K$2:$K$308,A26,'Resumo Pagamento'!$I$2:$I$308,"Mantido*")</f>
        <v/>
      </c>
      <c r="G26" s="45">
        <f>COUNTIFS('Resumo Pagamento'!$K$2:$K$308,A26,'Resumo Pagamento'!$I$2:$I$308,"Complementado*")</f>
        <v/>
      </c>
    </row>
    <row r="27">
      <c r="A27" s="41" t="n">
        <v>2026</v>
      </c>
      <c r="B27" s="15">
        <f>SUMIFS('Resumo Pagamento'!$F$2:$F$308,'Resumo Pagamento'!$K$2:$K$308,A27)</f>
        <v/>
      </c>
      <c r="C27" s="15">
        <f>SUMIFS('Resumo Pagamento'!$D$2:$D$308,'Resumo Pagamento'!$K$2:$K$308,A27)</f>
        <v/>
      </c>
      <c r="D27" s="15">
        <f>C27-B27</f>
        <v/>
      </c>
      <c r="E27" s="45">
        <f>COUNTIFS('Resumo Pagamento'!$K$2:$K$308,A27,'Resumo Pagamento'!$I$2:$I$308,"*xtrato real*")</f>
        <v/>
      </c>
      <c r="F27" s="45">
        <f>COUNTIFS('Resumo Pagamento'!$K$2:$K$308,A27,'Resumo Pagamento'!$I$2:$I$308,"Mantido*")</f>
        <v/>
      </c>
      <c r="G27" s="45">
        <f>COUNTIFS('Resumo Pagamento'!$K$2:$K$308,A27,'Resumo Pagamento'!$I$2:$I$308,"Complementado*")</f>
        <v/>
      </c>
    </row>
    <row r="28">
      <c r="A28" s="34" t="inlineStr">
        <is>
          <t>TOTAL</t>
        </is>
      </c>
      <c r="B28" s="35">
        <f>SUM(B2:B27)</f>
        <v/>
      </c>
      <c r="C28" s="35">
        <f>SUM(C2:C27)</f>
        <v/>
      </c>
      <c r="D28" s="35">
        <f>SUM(D2:D27)</f>
        <v/>
      </c>
      <c r="E28" s="41">
        <f>SUM(E2:E27)</f>
        <v/>
      </c>
      <c r="F28" s="41">
        <f>SUM(F2:F27)</f>
        <v/>
      </c>
      <c r="G28" s="41">
        <f>SUM(G2:G27)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46" t="inlineStr">
        <is>
          <t>COMO FOI FEITO</t>
        </is>
      </c>
    </row>
    <row r="2">
      <c r="A2" s="47" t="inlineStr">
        <is>
          <t>- Coluna D (FINAL) = extrato real sempre que existe. Valor original da base preservado na coluna F.</t>
        </is>
      </c>
    </row>
    <row r="3">
      <c r="A3" s="47" t="inlineStr">
        <is>
          <t>- Extratos reais usados (Conta Corrente dos Representantes, só linhas TENDA): MFRUGIS05, 06, 08, 09, 10 e FRUGIS5 (2012 e jan/2013). Soma de cada extrato confere com o "Saldo do Periodo" impresso. FRUGIS1/FRUGIS2 são cópias do FRUGIS5 (não duplicados). FRUGIS.XLS e MFRUGIS11 não têm Tenda.</t>
        </is>
      </c>
    </row>
    <row r="4">
      <c r="A4" s="47" t="inlineStr">
        <is>
          <t>- 2008 inclui o ajuste "DIF PERCENTUAL" (correção do % do Tenda); 2009 inclui a parte proporcional do "DIFERENCA".</t>
        </is>
      </c>
    </row>
    <row r="5">
      <c r="A5" s="47" t="inlineStr">
        <is>
          <t>- Regra: pagamento do dia 15 = comissão do mês anterior (confere com 15/12/2005, 15/12/2006 e 15/12/2008).</t>
        </is>
      </c>
    </row>
    <row r="6">
      <c r="A6" s="47" t="inlineStr">
        <is>
          <t>- 2007 (sem extrato): 2008 real ÷ (1 + IPCA 2008 = 5,90%).</t>
        </is>
      </c>
    </row>
    <row r="7">
      <c r="A7" s="47" t="inlineStr">
        <is>
          <t>- Mantidos da base (sem extrato): pagamentos de 2001 a jan/2005 e de nov/2010 a jan/2012.</t>
        </is>
      </c>
    </row>
    <row r="8">
      <c r="A8" s="47" t="inlineStr">
        <is>
          <t>- Complementado fev/2012 a ago/2026: extrato real até fev/2013; estimativa de mar/2013 a jun/2017 (média com variação); contas a pagar (pago à Frugis) a partir de jul/2017.</t>
        </is>
      </c>
    </row>
    <row r="9">
      <c r="A9" s="47" t="inlineStr">
        <is>
          <t>- Valores estimados não são dados reais: identificar como estimativa no distrato.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Miqueias Carvalho</dc:creator>
  <dcterms:created xsi:type="dcterms:W3CDTF">2026-09-29T19:32:26Z</dcterms:created>
  <dcterms:modified xsi:type="dcterms:W3CDTF">2026-09-30T02:48:08Z</dcterms:modified>
  <cp:lastModifiedBy>Miqueias Carvalho</cp:lastModifiedBy>
</cp:coreProperties>
</file>