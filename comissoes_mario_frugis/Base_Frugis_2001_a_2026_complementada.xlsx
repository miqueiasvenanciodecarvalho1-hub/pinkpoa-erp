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sumo Pagamento" sheetId="1" state="visible" r:id="rId1"/>
    <sheet name="Distrato" sheetId="2" state="visible" r:id="rId2"/>
    <sheet name="Origem dos Valores" sheetId="3" state="visible" r:id="rId3"/>
    <sheet name="Comparação Anual" sheetId="4" state="visible" r:id="rId4"/>
    <sheet name="IPCA" sheetId="5" state="visible" r:id="rId5"/>
    <sheet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\R\$\ #,##0.00"/>
    <numFmt numFmtId="165" formatCode="0.0%"/>
    <numFmt numFmtId="166" formatCode="yyyy-mm-dd"/>
    <numFmt numFmtId="167" formatCode="mm/yyyy"/>
    <numFmt numFmtId="168" formatCode="0.00####"/>
    <numFmt numFmtId="169" formatCode="0.000000"/>
    <numFmt numFmtId="170" formatCode="0.0000"/>
  </numFmts>
  <fonts count="10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sz val="10"/>
    </font>
    <font>
      <name val="Segoe UI"/>
    </font>
    <font>
      <name val="Segoe UI"/>
      <color rgb="000000FF"/>
    </font>
    <font>
      <name val="Segoe UI"/>
      <b val="1"/>
    </font>
    <font>
      <name val="Segoe UI"/>
      <i val="1"/>
      <color rgb="00595959"/>
    </font>
    <font>
      <name val="Segoe UI"/>
      <b val="1"/>
      <sz val="13"/>
    </font>
    <font>
      <name val="Segoe UI"/>
      <i val="1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3" fillId="0" borderId="2" pivotButton="0" quotePrefix="0" xfId="0"/>
    <xf numFmtId="164" fontId="3" fillId="0" borderId="2" applyAlignment="1" pivotButton="0" quotePrefix="0" xfId="0">
      <alignment horizontal="right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164" fontId="4" fillId="0" borderId="3" applyAlignment="1" pivotButton="0" quotePrefix="0" xfId="0">
      <alignment horizontal="right"/>
    </xf>
    <xf numFmtId="0" fontId="4" fillId="0" borderId="3" pivotButton="0" quotePrefix="0" xfId="0"/>
    <xf numFmtId="164" fontId="5" fillId="0" borderId="3" pivotButton="0" quotePrefix="0" xfId="0"/>
    <xf numFmtId="164" fontId="4" fillId="0" borderId="3" pivotButton="0" quotePrefix="0" xfId="0"/>
    <xf numFmtId="167" fontId="4" fillId="0" borderId="3" pivotButton="0" quotePrefix="0" xfId="0"/>
    <xf numFmtId="170" fontId="4" fillId="0" borderId="3" pivotButton="0" quotePrefix="0" xfId="0"/>
    <xf numFmtId="0" fontId="4" fillId="3" borderId="3" applyAlignment="1" pivotButton="0" quotePrefix="0" xfId="0">
      <alignment horizontal="center"/>
    </xf>
    <xf numFmtId="0" fontId="4" fillId="3" borderId="3" applyAlignment="1" pivotButton="0" quotePrefix="0" xfId="0">
      <alignment horizontal="left"/>
    </xf>
    <xf numFmtId="164" fontId="4" fillId="3" borderId="3" applyAlignment="1" pivotButton="0" quotePrefix="0" xfId="0">
      <alignment horizontal="right"/>
    </xf>
    <xf numFmtId="0" fontId="4" fillId="4" borderId="3" applyAlignment="1" pivotButton="0" quotePrefix="0" xfId="0">
      <alignment horizontal="center"/>
    </xf>
    <xf numFmtId="0" fontId="4" fillId="4" borderId="3" applyAlignment="1" pivotButton="0" quotePrefix="0" xfId="0">
      <alignment horizontal="left"/>
    </xf>
    <xf numFmtId="164" fontId="4" fillId="4" borderId="3" applyAlignment="1" pivotButton="0" quotePrefix="0" xfId="0">
      <alignment horizontal="right"/>
    </xf>
    <xf numFmtId="0" fontId="4" fillId="4" borderId="3" pivotButton="0" quotePrefix="0" xfId="0"/>
    <xf numFmtId="164" fontId="5" fillId="4" borderId="3" pivotButton="0" quotePrefix="0" xfId="0"/>
    <xf numFmtId="164" fontId="4" fillId="4" borderId="3" pivotButton="0" quotePrefix="0" xfId="0"/>
    <xf numFmtId="0" fontId="4" fillId="5" borderId="3" applyAlignment="1" pivotButton="0" quotePrefix="0" xfId="0">
      <alignment horizontal="center"/>
    </xf>
    <xf numFmtId="0" fontId="4" fillId="5" borderId="3" applyAlignment="1" pivotButton="0" quotePrefix="0" xfId="0">
      <alignment horizontal="left"/>
    </xf>
    <xf numFmtId="164" fontId="4" fillId="5" borderId="3" applyAlignment="1" pivotButton="0" quotePrefix="0" xfId="0">
      <alignment horizontal="right"/>
    </xf>
    <xf numFmtId="0" fontId="4" fillId="5" borderId="3" pivotButton="0" quotePrefix="0" xfId="0"/>
    <xf numFmtId="164" fontId="5" fillId="5" borderId="3" pivotButton="0" quotePrefix="0" xfId="0"/>
    <xf numFmtId="164" fontId="4" fillId="5" borderId="3" pivotButton="0" quotePrefix="0" xfId="0"/>
    <xf numFmtId="0" fontId="4" fillId="6" borderId="3" pivotButton="0" quotePrefix="0" xfId="0"/>
    <xf numFmtId="164" fontId="4" fillId="6" borderId="3" pivotButton="0" quotePrefix="0" xfId="0"/>
    <xf numFmtId="164" fontId="5" fillId="6" borderId="3" pivotButton="0" quotePrefix="0" xfId="0"/>
    <xf numFmtId="0" fontId="6" fillId="0" borderId="0" pivotButton="0" quotePrefix="0" xfId="0"/>
    <xf numFmtId="164" fontId="6" fillId="0" borderId="3" pivotButton="0" quotePrefix="0" xfId="0"/>
    <xf numFmtId="164" fontId="6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8" fillId="0" borderId="0" pivotButton="0" quotePrefix="0" xfId="0"/>
    <xf numFmtId="167" fontId="5" fillId="7" borderId="0" pivotButton="0" quotePrefix="0" xfId="0"/>
    <xf numFmtId="164" fontId="6" fillId="6" borderId="3" pivotButton="0" quotePrefix="0" xfId="0"/>
    <xf numFmtId="0" fontId="7" fillId="0" borderId="0" applyAlignment="1" pivotButton="0" quotePrefix="0" xfId="0">
      <alignment wrapText="1"/>
    </xf>
    <xf numFmtId="0" fontId="1" fillId="2" borderId="3" pivotButton="0" quotePrefix="0" xfId="0"/>
    <xf numFmtId="0" fontId="6" fillId="0" borderId="3" pivotButton="0" quotePrefix="0" xfId="0"/>
    <xf numFmtId="164" fontId="0" fillId="0" borderId="3" pivotButton="0" quotePrefix="0" xfId="0"/>
    <xf numFmtId="0" fontId="1" fillId="2" borderId="3" applyAlignment="1" pivotButton="0" quotePrefix="0" xfId="0">
      <alignment horizontal="center" vertical="center" wrapText="1"/>
    </xf>
    <xf numFmtId="165" fontId="0" fillId="0" borderId="3" pivotButton="0" quotePrefix="0" xfId="0"/>
    <xf numFmtId="165" fontId="6" fillId="0" borderId="0" pivotButton="0" quotePrefix="0" xfId="0"/>
    <xf numFmtId="0" fontId="7" fillId="0" borderId="0" pivotButton="0" quotePrefix="0" xfId="0"/>
    <xf numFmtId="0" fontId="0" fillId="0" borderId="3" pivotButton="0" quotePrefix="0" xfId="0"/>
    <xf numFmtId="0" fontId="1" fillId="2" borderId="3" applyAlignment="1" pivotButton="0" quotePrefix="0" xfId="0">
      <alignment horizontal="center" wrapText="1"/>
    </xf>
    <xf numFmtId="168" fontId="0" fillId="0" borderId="3" pivotButton="0" quotePrefix="0" xfId="0"/>
    <xf numFmtId="169" fontId="4" fillId="0" borderId="3" pivotButton="0" quotePrefix="0" xfId="0"/>
    <xf numFmtId="168" fontId="5" fillId="7" borderId="3" pivotButton="0" quotePrefix="0" xfId="0"/>
    <xf numFmtId="0" fontId="9" fillId="0" borderId="0" pivotButton="0" quotePrefix="0" xfId="0"/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/>
  </cellStyles>
  <dxfs count="1">
    <dxf>
      <fill>
        <patternFill patternType="solid">
          <fgColor rgb="00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8" defaultRowHeight="14.4"/>
  <cols>
    <col width="21" customWidth="1" min="1" max="1"/>
    <col width="68" customWidth="1" min="2" max="2"/>
    <col width="51" customWidth="1" min="3" max="3"/>
    <col width="20" customWidth="1" min="4" max="4"/>
    <col width="15" customWidth="1" min="5" max="5"/>
    <col width="18" customWidth="1" min="6" max="6"/>
    <col width="18" customWidth="1" min="7" max="7"/>
    <col width="18" customWidth="1" min="8" max="8"/>
    <col width="40" customWidth="1" min="9" max="9"/>
    <col width="40" customWidth="1" min="10" max="10"/>
    <col width="9" customWidth="1" min="11" max="11"/>
    <col width="12" customWidth="1" min="12" max="12"/>
    <col width="14" customWidth="1" min="13" max="13"/>
    <col width="20" customWidth="1" min="14" max="14"/>
  </cols>
  <sheetData>
    <row r="1" ht="16.8" customHeight="1">
      <c r="A1" s="1" t="inlineStr">
        <is>
          <t>Data de Pagamento</t>
        </is>
      </c>
      <c r="B1" s="1" t="inlineStr">
        <is>
          <t>TOTAL CENTRO DE DISTRIBUICAO INTEGRADA LTDA - 12.460.301/0001-87</t>
        </is>
      </c>
      <c r="C1" s="1" t="inlineStr">
        <is>
          <t>FRUGIS REPRESENTACOES LTDA - 11.989.186/0001-70</t>
        </is>
      </c>
      <c r="D1" s="1" t="inlineStr">
        <is>
          <t>Líquido (R$) - FINAL</t>
        </is>
      </c>
      <c r="E1" s="1" t="inlineStr">
        <is>
          <t>Competência (mês anterior ao pagto)</t>
        </is>
      </c>
      <c r="F1" s="1" t="inlineStr">
        <is>
          <t>Valor original da base (R$)</t>
        </is>
      </c>
      <c r="G1" s="1" t="inlineStr">
        <is>
          <t>Extrato real / meu cálculo (R$)</t>
        </is>
      </c>
      <c r="H1" s="1" t="inlineStr">
        <is>
          <t>Diferença (original − extrato)</t>
        </is>
      </c>
      <c r="I1" s="1" t="inlineStr">
        <is>
          <t>O que foi usado na coluna D</t>
        </is>
      </c>
      <c r="J1" s="1" t="inlineStr">
        <is>
          <t>Origem</t>
        </is>
      </c>
      <c r="K1" s="1" t="inlineStr">
        <is>
          <t>Ano pagto</t>
        </is>
      </c>
      <c r="L1" s="1" t="inlineStr">
        <is>
          <t>Mês do pagamento</t>
        </is>
      </c>
      <c r="M1" s="1" t="inlineStr">
        <is>
          <t>Fator IPCA até a referência</t>
        </is>
      </c>
      <c r="N1" s="1" t="inlineStr">
        <is>
          <t>Valor corrigido IPCA (R$)</t>
        </is>
      </c>
    </row>
    <row r="2" ht="15" customHeight="1">
      <c r="A2" s="10" t="inlineStr">
        <is>
          <t>15/02/2001</t>
        </is>
      </c>
      <c r="B2" s="11" t="inlineStr">
        <is>
          <t>TOTAL CENTRO DE DISTRIBUICAO INTEGRADA LTDA - 12.460.301/0001-87</t>
        </is>
      </c>
      <c r="C2" s="11" t="inlineStr">
        <is>
          <t>FRUGIS REPRESENTACOES LTDA - 11.989.186/0001-70</t>
        </is>
      </c>
      <c r="D2" s="12">
        <f>F2</f>
        <v/>
      </c>
      <c r="E2" s="13" t="inlineStr">
        <is>
          <t>01/2001</t>
        </is>
      </c>
      <c r="F2" s="14" t="n">
        <v>240.7636549653319</v>
      </c>
      <c r="G2" s="14" t="n"/>
      <c r="H2" s="15" t="n"/>
      <c r="I2" s="13" t="inlineStr">
        <is>
          <t>Mantido valor original da base (sem extrato)</t>
        </is>
      </c>
      <c r="J2" s="13" t="inlineStr">
        <is>
          <t>—</t>
        </is>
      </c>
      <c r="K2" s="13">
        <f>VALUE(RIGHT(A2,4))</f>
        <v/>
      </c>
      <c r="L2" s="16">
        <f>DATE(VALUE(RIGHT(A2,4)),VALUE(MID(A2,4,2)),1)</f>
        <v/>
      </c>
      <c r="M2" s="17">
        <f>INDEX(IPCA!$D$5:$D$313,MATCH(Distrato!$B$3,IPCA!$A$5:$A$313,0))/INDEX(IPCA!$D$5:$D$313,MATCH(DATE(YEAR(L2),MONTH(L2)-1,1),IPCA!$A$5:$A$313,0))</f>
        <v/>
      </c>
      <c r="N2" s="15">
        <f>IF(L2&gt;Distrato!$B$3,D2,D2*M2)</f>
        <v/>
      </c>
    </row>
    <row r="3" ht="15" customHeight="1">
      <c r="A3" s="18" t="inlineStr">
        <is>
          <t>15/03/2001</t>
        </is>
      </c>
      <c r="B3" s="19" t="inlineStr">
        <is>
          <t>TOTAL CENTRO DE DISTRIBUICAO INTEGRADA LTDA - 12.460.301/0001-87</t>
        </is>
      </c>
      <c r="C3" s="19" t="inlineStr">
        <is>
          <t>FRUGIS REPRESENTACOES LTDA - 11.989.186/0001-70</t>
        </is>
      </c>
      <c r="D3" s="20">
        <f>F3</f>
        <v/>
      </c>
      <c r="E3" s="13" t="inlineStr">
        <is>
          <t>02/2001</t>
        </is>
      </c>
      <c r="F3" s="14" t="n">
        <v>235.3259569360727</v>
      </c>
      <c r="G3" s="14" t="n"/>
      <c r="H3" s="15" t="n"/>
      <c r="I3" s="13" t="inlineStr">
        <is>
          <t>Mantido valor original da base (sem extrato)</t>
        </is>
      </c>
      <c r="J3" s="13" t="inlineStr">
        <is>
          <t>—</t>
        </is>
      </c>
      <c r="K3" s="13">
        <f>VALUE(RIGHT(A3,4))</f>
        <v/>
      </c>
      <c r="L3" s="16">
        <f>DATE(VALUE(RIGHT(A3,4)),VALUE(MID(A3,4,2)),1)</f>
        <v/>
      </c>
      <c r="M3" s="17">
        <f>INDEX(IPCA!$D$5:$D$313,MATCH(Distrato!$B$3,IPCA!$A$5:$A$313,0))/INDEX(IPCA!$D$5:$D$313,MATCH(DATE(YEAR(L3),MONTH(L3)-1,1),IPCA!$A$5:$A$313,0))</f>
        <v/>
      </c>
      <c r="N3" s="15">
        <f>IF(L3&gt;Distrato!$B$3,D3,D3*M3)</f>
        <v/>
      </c>
    </row>
    <row r="4" ht="15" customHeight="1">
      <c r="A4" s="10" t="inlineStr">
        <is>
          <t>15/04/2001</t>
        </is>
      </c>
      <c r="B4" s="11" t="inlineStr">
        <is>
          <t>TOTAL CENTRO DE DISTRIBUICAO INTEGRADA LTDA - 12.460.301/0001-87</t>
        </is>
      </c>
      <c r="C4" s="11" t="inlineStr">
        <is>
          <t>FRUGIS REPRESENTACOES LTDA - 11.989.186/0001-70</t>
        </is>
      </c>
      <c r="D4" s="12">
        <f>F4</f>
        <v/>
      </c>
      <c r="E4" s="13" t="inlineStr">
        <is>
          <t>03/2001</t>
        </is>
      </c>
      <c r="F4" s="14" t="n">
        <v>235.3256606277851</v>
      </c>
      <c r="G4" s="14" t="n"/>
      <c r="H4" s="15" t="n"/>
      <c r="I4" s="13" t="inlineStr">
        <is>
          <t>Mantido valor original da base (sem extrato)</t>
        </is>
      </c>
      <c r="J4" s="13" t="inlineStr">
        <is>
          <t>—</t>
        </is>
      </c>
      <c r="K4" s="13">
        <f>VALUE(RIGHT(A4,4))</f>
        <v/>
      </c>
      <c r="L4" s="16">
        <f>DATE(VALUE(RIGHT(A4,4)),VALUE(MID(A4,4,2)),1)</f>
        <v/>
      </c>
      <c r="M4" s="17">
        <f>INDEX(IPCA!$D$5:$D$313,MATCH(Distrato!$B$3,IPCA!$A$5:$A$313,0))/INDEX(IPCA!$D$5:$D$313,MATCH(DATE(YEAR(L4),MONTH(L4)-1,1),IPCA!$A$5:$A$313,0))</f>
        <v/>
      </c>
      <c r="N4" s="15">
        <f>IF(L4&gt;Distrato!$B$3,D4,D4*M4)</f>
        <v/>
      </c>
    </row>
    <row r="5" ht="15" customHeight="1">
      <c r="A5" s="18" t="inlineStr">
        <is>
          <t>15/05/2001</t>
        </is>
      </c>
      <c r="B5" s="19" t="inlineStr">
        <is>
          <t>TOTAL CENTRO DE DISTRIBUICAO INTEGRADA LTDA - 12.460.301/0001-87</t>
        </is>
      </c>
      <c r="C5" s="19" t="inlineStr">
        <is>
          <t>FRUGIS REPRESENTACOES LTDA - 11.989.186/0001-70</t>
        </is>
      </c>
      <c r="D5" s="20">
        <f>F5</f>
        <v/>
      </c>
      <c r="E5" s="13" t="inlineStr">
        <is>
          <t>04/2001</t>
        </is>
      </c>
      <c r="F5" s="14" t="n">
        <v>234.1228544188545</v>
      </c>
      <c r="G5" s="14" t="n"/>
      <c r="H5" s="15" t="n"/>
      <c r="I5" s="13" t="inlineStr">
        <is>
          <t>Mantido valor original da base (sem extrato)</t>
        </is>
      </c>
      <c r="J5" s="13" t="inlineStr">
        <is>
          <t>—</t>
        </is>
      </c>
      <c r="K5" s="13">
        <f>VALUE(RIGHT(A5,4))</f>
        <v/>
      </c>
      <c r="L5" s="16">
        <f>DATE(VALUE(RIGHT(A5,4)),VALUE(MID(A5,4,2)),1)</f>
        <v/>
      </c>
      <c r="M5" s="17">
        <f>INDEX(IPCA!$D$5:$D$313,MATCH(Distrato!$B$3,IPCA!$A$5:$A$313,0))/INDEX(IPCA!$D$5:$D$313,MATCH(DATE(YEAR(L5),MONTH(L5)-1,1),IPCA!$A$5:$A$313,0))</f>
        <v/>
      </c>
      <c r="N5" s="15">
        <f>IF(L5&gt;Distrato!$B$3,D5,D5*M5)</f>
        <v/>
      </c>
    </row>
    <row r="6" ht="15" customHeight="1">
      <c r="A6" s="10" t="inlineStr">
        <is>
          <t>15/06/2001</t>
        </is>
      </c>
      <c r="B6" s="11" t="inlineStr">
        <is>
          <t>TOTAL CENTRO DE DISTRIBUICAO INTEGRADA LTDA - 12.460.301/0001-87</t>
        </is>
      </c>
      <c r="C6" s="11" t="inlineStr">
        <is>
          <t>FRUGIS REPRESENTACOES LTDA - 11.989.186/0001-70</t>
        </is>
      </c>
      <c r="D6" s="12">
        <f>F6</f>
        <v/>
      </c>
      <c r="E6" s="13" t="inlineStr">
        <is>
          <t>05/2001</t>
        </is>
      </c>
      <c r="F6" s="14" t="n">
        <v>244.0500293884185</v>
      </c>
      <c r="G6" s="14" t="n"/>
      <c r="H6" s="15" t="n"/>
      <c r="I6" s="13" t="inlineStr">
        <is>
          <t>Mantido valor original da base (sem extrato)</t>
        </is>
      </c>
      <c r="J6" s="13" t="inlineStr">
        <is>
          <t>—</t>
        </is>
      </c>
      <c r="K6" s="13">
        <f>VALUE(RIGHT(A6,4))</f>
        <v/>
      </c>
      <c r="L6" s="16">
        <f>DATE(VALUE(RIGHT(A6,4)),VALUE(MID(A6,4,2)),1)</f>
        <v/>
      </c>
      <c r="M6" s="17">
        <f>INDEX(IPCA!$D$5:$D$313,MATCH(Distrato!$B$3,IPCA!$A$5:$A$313,0))/INDEX(IPCA!$D$5:$D$313,MATCH(DATE(YEAR(L6),MONTH(L6)-1,1),IPCA!$A$5:$A$313,0))</f>
        <v/>
      </c>
      <c r="N6" s="15">
        <f>IF(L6&gt;Distrato!$B$3,D6,D6*M6)</f>
        <v/>
      </c>
    </row>
    <row r="7" ht="15" customHeight="1">
      <c r="A7" s="18" t="inlineStr">
        <is>
          <t>15/07/2001</t>
        </is>
      </c>
      <c r="B7" s="19" t="inlineStr">
        <is>
          <t>TOTAL CENTRO DE DISTRIBUICAO INTEGRADA LTDA - 12.460.301/0001-87</t>
        </is>
      </c>
      <c r="C7" s="19" t="inlineStr">
        <is>
          <t>FRUGIS REPRESENTACOES LTDA - 11.989.186/0001-70</t>
        </is>
      </c>
      <c r="D7" s="20">
        <f>F7</f>
        <v/>
      </c>
      <c r="E7" s="13" t="inlineStr">
        <is>
          <t>06/2001</t>
        </is>
      </c>
      <c r="F7" s="14" t="n">
        <v>240.793832671169</v>
      </c>
      <c r="G7" s="14" t="n"/>
      <c r="H7" s="15" t="n"/>
      <c r="I7" s="13" t="inlineStr">
        <is>
          <t>Mantido valor original da base (sem extrato)</t>
        </is>
      </c>
      <c r="J7" s="13" t="inlineStr">
        <is>
          <t>—</t>
        </is>
      </c>
      <c r="K7" s="13">
        <f>VALUE(RIGHT(A7,4))</f>
        <v/>
      </c>
      <c r="L7" s="16">
        <f>DATE(VALUE(RIGHT(A7,4)),VALUE(MID(A7,4,2)),1)</f>
        <v/>
      </c>
      <c r="M7" s="17">
        <f>INDEX(IPCA!$D$5:$D$313,MATCH(Distrato!$B$3,IPCA!$A$5:$A$313,0))/INDEX(IPCA!$D$5:$D$313,MATCH(DATE(YEAR(L7),MONTH(L7)-1,1),IPCA!$A$5:$A$313,0))</f>
        <v/>
      </c>
      <c r="N7" s="15">
        <f>IF(L7&gt;Distrato!$B$3,D7,D7*M7)</f>
        <v/>
      </c>
    </row>
    <row r="8" ht="15" customHeight="1">
      <c r="A8" s="10" t="inlineStr">
        <is>
          <t>15/08/2001</t>
        </is>
      </c>
      <c r="B8" s="11" t="inlineStr">
        <is>
          <t>TOTAL CENTRO DE DISTRIBUICAO INTEGRADA LTDA - 12.460.301/0001-87</t>
        </is>
      </c>
      <c r="C8" s="11" t="inlineStr">
        <is>
          <t>FRUGIS REPRESENTACOES LTDA - 11.989.186/0001-70</t>
        </is>
      </c>
      <c r="D8" s="12">
        <f>F8</f>
        <v/>
      </c>
      <c r="E8" s="13" t="inlineStr">
        <is>
          <t>07/2001</t>
        </is>
      </c>
      <c r="F8" s="14" t="n">
        <v>242.1077743651805</v>
      </c>
      <c r="G8" s="14" t="n"/>
      <c r="H8" s="15" t="n"/>
      <c r="I8" s="13" t="inlineStr">
        <is>
          <t>Mantido valor original da base (sem extrato)</t>
        </is>
      </c>
      <c r="J8" s="13" t="inlineStr">
        <is>
          <t>—</t>
        </is>
      </c>
      <c r="K8" s="13">
        <f>VALUE(RIGHT(A8,4))</f>
        <v/>
      </c>
      <c r="L8" s="16">
        <f>DATE(VALUE(RIGHT(A8,4)),VALUE(MID(A8,4,2)),1)</f>
        <v/>
      </c>
      <c r="M8" s="17">
        <f>INDEX(IPCA!$D$5:$D$313,MATCH(Distrato!$B$3,IPCA!$A$5:$A$313,0))/INDEX(IPCA!$D$5:$D$313,MATCH(DATE(YEAR(L8),MONTH(L8)-1,1),IPCA!$A$5:$A$313,0))</f>
        <v/>
      </c>
      <c r="N8" s="15">
        <f>IF(L8&gt;Distrato!$B$3,D8,D8*M8)</f>
        <v/>
      </c>
    </row>
    <row r="9" ht="15" customHeight="1">
      <c r="A9" s="18" t="inlineStr">
        <is>
          <t>15/09/2001</t>
        </is>
      </c>
      <c r="B9" s="19" t="inlineStr">
        <is>
          <t>TOTAL CENTRO DE DISTRIBUICAO INTEGRADA LTDA - 12.460.301/0001-87</t>
        </is>
      </c>
      <c r="C9" s="19" t="inlineStr">
        <is>
          <t>FRUGIS REPRESENTACOES LTDA - 11.989.186/0001-70</t>
        </is>
      </c>
      <c r="D9" s="20">
        <f>F9</f>
        <v/>
      </c>
      <c r="E9" s="13" t="inlineStr">
        <is>
          <t>08/2001</t>
        </is>
      </c>
      <c r="F9" s="14" t="n">
        <v>233.6621889766655</v>
      </c>
      <c r="G9" s="14" t="n"/>
      <c r="H9" s="15" t="n"/>
      <c r="I9" s="13" t="inlineStr">
        <is>
          <t>Mantido valor original da base (sem extrato)</t>
        </is>
      </c>
      <c r="J9" s="13" t="inlineStr">
        <is>
          <t>—</t>
        </is>
      </c>
      <c r="K9" s="13">
        <f>VALUE(RIGHT(A9,4))</f>
        <v/>
      </c>
      <c r="L9" s="16">
        <f>DATE(VALUE(RIGHT(A9,4)),VALUE(MID(A9,4,2)),1)</f>
        <v/>
      </c>
      <c r="M9" s="17">
        <f>INDEX(IPCA!$D$5:$D$313,MATCH(Distrato!$B$3,IPCA!$A$5:$A$313,0))/INDEX(IPCA!$D$5:$D$313,MATCH(DATE(YEAR(L9),MONTH(L9)-1,1),IPCA!$A$5:$A$313,0))</f>
        <v/>
      </c>
      <c r="N9" s="15">
        <f>IF(L9&gt;Distrato!$B$3,D9,D9*M9)</f>
        <v/>
      </c>
    </row>
    <row r="10" ht="15" customHeight="1">
      <c r="A10" s="10" t="inlineStr">
        <is>
          <t>15/10/2001</t>
        </is>
      </c>
      <c r="B10" s="11" t="inlineStr">
        <is>
          <t>TOTAL CENTRO DE DISTRIBUICAO INTEGRADA LTDA - 12.460.301/0001-87</t>
        </is>
      </c>
      <c r="C10" s="11" t="inlineStr">
        <is>
          <t>FRUGIS REPRESENTACOES LTDA - 11.989.186/0001-70</t>
        </is>
      </c>
      <c r="D10" s="12">
        <f>F10</f>
        <v/>
      </c>
      <c r="E10" s="13" t="inlineStr">
        <is>
          <t>09/2001</t>
        </is>
      </c>
      <c r="F10" s="14" t="n">
        <v>245.3243669311123</v>
      </c>
      <c r="G10" s="14" t="n"/>
      <c r="H10" s="15" t="n"/>
      <c r="I10" s="13" t="inlineStr">
        <is>
          <t>Mantido valor original da base (sem extrato)</t>
        </is>
      </c>
      <c r="J10" s="13" t="inlineStr">
        <is>
          <t>—</t>
        </is>
      </c>
      <c r="K10" s="13">
        <f>VALUE(RIGHT(A10,4))</f>
        <v/>
      </c>
      <c r="L10" s="16">
        <f>DATE(VALUE(RIGHT(A10,4)),VALUE(MID(A10,4,2)),1)</f>
        <v/>
      </c>
      <c r="M10" s="17">
        <f>INDEX(IPCA!$D$5:$D$313,MATCH(Distrato!$B$3,IPCA!$A$5:$A$313,0))/INDEX(IPCA!$D$5:$D$313,MATCH(DATE(YEAR(L10),MONTH(L10)-1,1),IPCA!$A$5:$A$313,0))</f>
        <v/>
      </c>
      <c r="N10" s="15">
        <f>IF(L10&gt;Distrato!$B$3,D10,D10*M10)</f>
        <v/>
      </c>
    </row>
    <row r="11" ht="15" customHeight="1">
      <c r="A11" s="18" t="inlineStr">
        <is>
          <t>15/11/2001</t>
        </is>
      </c>
      <c r="B11" s="19" t="inlineStr">
        <is>
          <t>TOTAL CENTRO DE DISTRIBUICAO INTEGRADA LTDA - 12.460.301/0001-87</t>
        </is>
      </c>
      <c r="C11" s="19" t="inlineStr">
        <is>
          <t>FRUGIS REPRESENTACOES LTDA - 11.989.186/0001-70</t>
        </is>
      </c>
      <c r="D11" s="20">
        <f>F11</f>
        <v/>
      </c>
      <c r="E11" s="13" t="inlineStr">
        <is>
          <t>10/2001</t>
        </is>
      </c>
      <c r="F11" s="14" t="n">
        <v>243.6356233738943</v>
      </c>
      <c r="G11" s="14" t="n"/>
      <c r="H11" s="15" t="n"/>
      <c r="I11" s="13" t="inlineStr">
        <is>
          <t>Mantido valor original da base (sem extrato)</t>
        </is>
      </c>
      <c r="J11" s="13" t="inlineStr">
        <is>
          <t>—</t>
        </is>
      </c>
      <c r="K11" s="13">
        <f>VALUE(RIGHT(A11,4))</f>
        <v/>
      </c>
      <c r="L11" s="16">
        <f>DATE(VALUE(RIGHT(A11,4)),VALUE(MID(A11,4,2)),1)</f>
        <v/>
      </c>
      <c r="M11" s="17">
        <f>INDEX(IPCA!$D$5:$D$313,MATCH(Distrato!$B$3,IPCA!$A$5:$A$313,0))/INDEX(IPCA!$D$5:$D$313,MATCH(DATE(YEAR(L11),MONTH(L11)-1,1),IPCA!$A$5:$A$313,0))</f>
        <v/>
      </c>
      <c r="N11" s="15">
        <f>IF(L11&gt;Distrato!$B$3,D11,D11*M11)</f>
        <v/>
      </c>
    </row>
    <row r="12" ht="15" customHeight="1">
      <c r="A12" s="10" t="inlineStr">
        <is>
          <t>15/12/2001</t>
        </is>
      </c>
      <c r="B12" s="11" t="inlineStr">
        <is>
          <t>TOTAL CENTRO DE DISTRIBUICAO INTEGRADA LTDA - 12.460.301/0001-87</t>
        </is>
      </c>
      <c r="C12" s="11" t="inlineStr">
        <is>
          <t>FRUGIS REPRESENTACOES LTDA - 11.989.186/0001-70</t>
        </is>
      </c>
      <c r="D12" s="12">
        <f>F12</f>
        <v/>
      </c>
      <c r="E12" s="13" t="inlineStr">
        <is>
          <t>11/2001</t>
        </is>
      </c>
      <c r="F12" s="14" t="n">
        <v>236.0178370601272</v>
      </c>
      <c r="G12" s="14" t="n"/>
      <c r="H12" s="15" t="n"/>
      <c r="I12" s="13" t="inlineStr">
        <is>
          <t>Mantido valor original da base (sem extrato)</t>
        </is>
      </c>
      <c r="J12" s="13" t="inlineStr">
        <is>
          <t>—</t>
        </is>
      </c>
      <c r="K12" s="13">
        <f>VALUE(RIGHT(A12,4))</f>
        <v/>
      </c>
      <c r="L12" s="16">
        <f>DATE(VALUE(RIGHT(A12,4)),VALUE(MID(A12,4,2)),1)</f>
        <v/>
      </c>
      <c r="M12" s="17">
        <f>INDEX(IPCA!$D$5:$D$313,MATCH(Distrato!$B$3,IPCA!$A$5:$A$313,0))/INDEX(IPCA!$D$5:$D$313,MATCH(DATE(YEAR(L12),MONTH(L12)-1,1),IPCA!$A$5:$A$313,0))</f>
        <v/>
      </c>
      <c r="N12" s="15">
        <f>IF(L12&gt;Distrato!$B$3,D12,D12*M12)</f>
        <v/>
      </c>
    </row>
    <row r="13" ht="15" customHeight="1">
      <c r="A13" s="18" t="inlineStr">
        <is>
          <t>15/01/2002</t>
        </is>
      </c>
      <c r="B13" s="19" t="inlineStr">
        <is>
          <t>TOTAL CENTRO DE DISTRIBUICAO INTEGRADA LTDA - 12.460.301/0001-87</t>
        </is>
      </c>
      <c r="C13" s="19" t="inlineStr">
        <is>
          <t>FRUGIS REPRESENTACOES LTDA - 11.989.186/0001-70</t>
        </is>
      </c>
      <c r="D13" s="20">
        <f>F13</f>
        <v/>
      </c>
      <c r="E13" s="13" t="inlineStr">
        <is>
          <t>12/2001</t>
        </is>
      </c>
      <c r="F13" s="14" t="n">
        <v>235.642979938341</v>
      </c>
      <c r="G13" s="14" t="n"/>
      <c r="H13" s="15" t="n"/>
      <c r="I13" s="13" t="inlineStr">
        <is>
          <t>Mantido valor original da base (sem extrato)</t>
        </is>
      </c>
      <c r="J13" s="13" t="inlineStr">
        <is>
          <t>—</t>
        </is>
      </c>
      <c r="K13" s="13">
        <f>VALUE(RIGHT(A13,4))</f>
        <v/>
      </c>
      <c r="L13" s="16">
        <f>DATE(VALUE(RIGHT(A13,4)),VALUE(MID(A13,4,2)),1)</f>
        <v/>
      </c>
      <c r="M13" s="17">
        <f>INDEX(IPCA!$D$5:$D$313,MATCH(Distrato!$B$3,IPCA!$A$5:$A$313,0))/INDEX(IPCA!$D$5:$D$313,MATCH(DATE(YEAR(L13),MONTH(L13)-1,1),IPCA!$A$5:$A$313,0))</f>
        <v/>
      </c>
      <c r="N13" s="15">
        <f>IF(L13&gt;Distrato!$B$3,D13,D13*M13)</f>
        <v/>
      </c>
    </row>
    <row r="14" ht="15" customHeight="1">
      <c r="A14" s="10" t="inlineStr">
        <is>
          <t>15/02/2002</t>
        </is>
      </c>
      <c r="B14" s="11" t="inlineStr">
        <is>
          <t>TOTAL CENTRO DE DISTRIBUICAO INTEGRADA LTDA - 12.460.301/0001-87</t>
        </is>
      </c>
      <c r="C14" s="11" t="inlineStr">
        <is>
          <t>FRUGIS REPRESENTACOES LTDA - 11.989.186/0001-70</t>
        </is>
      </c>
      <c r="D14" s="12">
        <f>F14</f>
        <v/>
      </c>
      <c r="E14" s="13" t="inlineStr">
        <is>
          <t>01/2002</t>
        </is>
      </c>
      <c r="F14" s="14" t="n">
        <v>253.737689011187</v>
      </c>
      <c r="G14" s="14" t="n"/>
      <c r="H14" s="15" t="n"/>
      <c r="I14" s="13" t="inlineStr">
        <is>
          <t>Mantido valor original da base (sem extrato)</t>
        </is>
      </c>
      <c r="J14" s="13" t="inlineStr">
        <is>
          <t>—</t>
        </is>
      </c>
      <c r="K14" s="13">
        <f>VALUE(RIGHT(A14,4))</f>
        <v/>
      </c>
      <c r="L14" s="16">
        <f>DATE(VALUE(RIGHT(A14,4)),VALUE(MID(A14,4,2)),1)</f>
        <v/>
      </c>
      <c r="M14" s="17">
        <f>INDEX(IPCA!$D$5:$D$313,MATCH(Distrato!$B$3,IPCA!$A$5:$A$313,0))/INDEX(IPCA!$D$5:$D$313,MATCH(DATE(YEAR(L14),MONTH(L14)-1,1),IPCA!$A$5:$A$313,0))</f>
        <v/>
      </c>
      <c r="N14" s="15">
        <f>IF(L14&gt;Distrato!$B$3,D14,D14*M14)</f>
        <v/>
      </c>
    </row>
    <row r="15" ht="15" customHeight="1">
      <c r="A15" s="18" t="inlineStr">
        <is>
          <t>15/03/2002</t>
        </is>
      </c>
      <c r="B15" s="19" t="inlineStr">
        <is>
          <t>TOTAL CENTRO DE DISTRIBUICAO INTEGRADA LTDA - 12.460.301/0001-87</t>
        </is>
      </c>
      <c r="C15" s="19" t="inlineStr">
        <is>
          <t>FRUGIS REPRESENTACOES LTDA - 11.989.186/0001-70</t>
        </is>
      </c>
      <c r="D15" s="20">
        <f>F15</f>
        <v/>
      </c>
      <c r="E15" s="13" t="inlineStr">
        <is>
          <t>02/2002</t>
        </is>
      </c>
      <c r="F15" s="14" t="n">
        <v>255.3360021327158</v>
      </c>
      <c r="G15" s="14" t="n"/>
      <c r="H15" s="15" t="n"/>
      <c r="I15" s="13" t="inlineStr">
        <is>
          <t>Mantido valor original da base (sem extrato)</t>
        </is>
      </c>
      <c r="J15" s="13" t="inlineStr">
        <is>
          <t>—</t>
        </is>
      </c>
      <c r="K15" s="13">
        <f>VALUE(RIGHT(A15,4))</f>
        <v/>
      </c>
      <c r="L15" s="16">
        <f>DATE(VALUE(RIGHT(A15,4)),VALUE(MID(A15,4,2)),1)</f>
        <v/>
      </c>
      <c r="M15" s="17">
        <f>INDEX(IPCA!$D$5:$D$313,MATCH(Distrato!$B$3,IPCA!$A$5:$A$313,0))/INDEX(IPCA!$D$5:$D$313,MATCH(DATE(YEAR(L15),MONTH(L15)-1,1),IPCA!$A$5:$A$313,0))</f>
        <v/>
      </c>
      <c r="N15" s="15">
        <f>IF(L15&gt;Distrato!$B$3,D15,D15*M15)</f>
        <v/>
      </c>
    </row>
    <row r="16" ht="15" customHeight="1">
      <c r="A16" s="10" t="inlineStr">
        <is>
          <t>15/04/2002</t>
        </is>
      </c>
      <c r="B16" s="11" t="inlineStr">
        <is>
          <t>TOTAL CENTRO DE DISTRIBUICAO INTEGRADA LTDA - 12.460.301/0001-87</t>
        </is>
      </c>
      <c r="C16" s="11" t="inlineStr">
        <is>
          <t>FRUGIS REPRESENTACOES LTDA - 11.989.186/0001-70</t>
        </is>
      </c>
      <c r="D16" s="12">
        <f>F16</f>
        <v/>
      </c>
      <c r="E16" s="13" t="inlineStr">
        <is>
          <t>03/2002</t>
        </is>
      </c>
      <c r="F16" s="14" t="n">
        <v>258.2527294841746</v>
      </c>
      <c r="G16" s="14" t="n"/>
      <c r="H16" s="15" t="n"/>
      <c r="I16" s="13" t="inlineStr">
        <is>
          <t>Mantido valor original da base (sem extrato)</t>
        </is>
      </c>
      <c r="J16" s="13" t="inlineStr">
        <is>
          <t>—</t>
        </is>
      </c>
      <c r="K16" s="13">
        <f>VALUE(RIGHT(A16,4))</f>
        <v/>
      </c>
      <c r="L16" s="16">
        <f>DATE(VALUE(RIGHT(A16,4)),VALUE(MID(A16,4,2)),1)</f>
        <v/>
      </c>
      <c r="M16" s="17">
        <f>INDEX(IPCA!$D$5:$D$313,MATCH(Distrato!$B$3,IPCA!$A$5:$A$313,0))/INDEX(IPCA!$D$5:$D$313,MATCH(DATE(YEAR(L16),MONTH(L16)-1,1),IPCA!$A$5:$A$313,0))</f>
        <v/>
      </c>
      <c r="N16" s="15">
        <f>IF(L16&gt;Distrato!$B$3,D16,D16*M16)</f>
        <v/>
      </c>
    </row>
    <row r="17" ht="15" customHeight="1">
      <c r="A17" s="18" t="inlineStr">
        <is>
          <t>15/05/2002</t>
        </is>
      </c>
      <c r="B17" s="19" t="inlineStr">
        <is>
          <t>TOTAL CENTRO DE DISTRIBUICAO INTEGRADA LTDA - 12.460.301/0001-87</t>
        </is>
      </c>
      <c r="C17" s="19" t="inlineStr">
        <is>
          <t>FRUGIS REPRESENTACOES LTDA - 11.989.186/0001-70</t>
        </is>
      </c>
      <c r="D17" s="20">
        <f>F17</f>
        <v/>
      </c>
      <c r="E17" s="13" t="inlineStr">
        <is>
          <t>04/2002</t>
        </is>
      </c>
      <c r="F17" s="14" t="n">
        <v>257.0251187420939</v>
      </c>
      <c r="G17" s="14" t="n"/>
      <c r="H17" s="15" t="n"/>
      <c r="I17" s="13" t="inlineStr">
        <is>
          <t>Mantido valor original da base (sem extrato)</t>
        </is>
      </c>
      <c r="J17" s="13" t="inlineStr">
        <is>
          <t>—</t>
        </is>
      </c>
      <c r="K17" s="13">
        <f>VALUE(RIGHT(A17,4))</f>
        <v/>
      </c>
      <c r="L17" s="16">
        <f>DATE(VALUE(RIGHT(A17,4)),VALUE(MID(A17,4,2)),1)</f>
        <v/>
      </c>
      <c r="M17" s="17">
        <f>INDEX(IPCA!$D$5:$D$313,MATCH(Distrato!$B$3,IPCA!$A$5:$A$313,0))/INDEX(IPCA!$D$5:$D$313,MATCH(DATE(YEAR(L17),MONTH(L17)-1,1),IPCA!$A$5:$A$313,0))</f>
        <v/>
      </c>
      <c r="N17" s="15">
        <f>IF(L17&gt;Distrato!$B$3,D17,D17*M17)</f>
        <v/>
      </c>
    </row>
    <row r="18" ht="15" customHeight="1">
      <c r="A18" s="10" t="inlineStr">
        <is>
          <t>15/06/2002</t>
        </is>
      </c>
      <c r="B18" s="11" t="inlineStr">
        <is>
          <t>TOTAL CENTRO DE DISTRIBUICAO INTEGRADA LTDA - 12.460.301/0001-87</t>
        </is>
      </c>
      <c r="C18" s="11" t="inlineStr">
        <is>
          <t>FRUGIS REPRESENTACOES LTDA - 11.989.186/0001-70</t>
        </is>
      </c>
      <c r="D18" s="12">
        <f>F18</f>
        <v/>
      </c>
      <c r="E18" s="13" t="inlineStr">
        <is>
          <t>05/2002</t>
        </is>
      </c>
      <c r="F18" s="14" t="n">
        <v>255.1638786381676</v>
      </c>
      <c r="G18" s="14" t="n"/>
      <c r="H18" s="15" t="n"/>
      <c r="I18" s="13" t="inlineStr">
        <is>
          <t>Mantido valor original da base (sem extrato)</t>
        </is>
      </c>
      <c r="J18" s="13" t="inlineStr">
        <is>
          <t>—</t>
        </is>
      </c>
      <c r="K18" s="13">
        <f>VALUE(RIGHT(A18,4))</f>
        <v/>
      </c>
      <c r="L18" s="16">
        <f>DATE(VALUE(RIGHT(A18,4)),VALUE(MID(A18,4,2)),1)</f>
        <v/>
      </c>
      <c r="M18" s="17">
        <f>INDEX(IPCA!$D$5:$D$313,MATCH(Distrato!$B$3,IPCA!$A$5:$A$313,0))/INDEX(IPCA!$D$5:$D$313,MATCH(DATE(YEAR(L18),MONTH(L18)-1,1),IPCA!$A$5:$A$313,0))</f>
        <v/>
      </c>
      <c r="N18" s="15">
        <f>IF(L18&gt;Distrato!$B$3,D18,D18*M18)</f>
        <v/>
      </c>
    </row>
    <row r="19" ht="15" customHeight="1">
      <c r="A19" s="18" t="inlineStr">
        <is>
          <t>15/07/2002</t>
        </is>
      </c>
      <c r="B19" s="19" t="inlineStr">
        <is>
          <t>TOTAL CENTRO DE DISTRIBUICAO INTEGRADA LTDA - 12.460.301/0001-87</t>
        </is>
      </c>
      <c r="C19" s="19" t="inlineStr">
        <is>
          <t>FRUGIS REPRESENTACOES LTDA - 11.989.186/0001-70</t>
        </is>
      </c>
      <c r="D19" s="20">
        <f>F19</f>
        <v/>
      </c>
      <c r="E19" s="13" t="inlineStr">
        <is>
          <t>06/2002</t>
        </is>
      </c>
      <c r="F19" s="14" t="n">
        <v>259.4047489421488</v>
      </c>
      <c r="G19" s="14" t="n"/>
      <c r="H19" s="15" t="n"/>
      <c r="I19" s="13" t="inlineStr">
        <is>
          <t>Mantido valor original da base (sem extrato)</t>
        </is>
      </c>
      <c r="J19" s="13" t="inlineStr">
        <is>
          <t>—</t>
        </is>
      </c>
      <c r="K19" s="13">
        <f>VALUE(RIGHT(A19,4))</f>
        <v/>
      </c>
      <c r="L19" s="16">
        <f>DATE(VALUE(RIGHT(A19,4)),VALUE(MID(A19,4,2)),1)</f>
        <v/>
      </c>
      <c r="M19" s="17">
        <f>INDEX(IPCA!$D$5:$D$313,MATCH(Distrato!$B$3,IPCA!$A$5:$A$313,0))/INDEX(IPCA!$D$5:$D$313,MATCH(DATE(YEAR(L19),MONTH(L19)-1,1),IPCA!$A$5:$A$313,0))</f>
        <v/>
      </c>
      <c r="N19" s="15">
        <f>IF(L19&gt;Distrato!$B$3,D19,D19*M19)</f>
        <v/>
      </c>
    </row>
    <row r="20" ht="15" customHeight="1">
      <c r="A20" s="10" t="inlineStr">
        <is>
          <t>15/08/2002</t>
        </is>
      </c>
      <c r="B20" s="11" t="inlineStr">
        <is>
          <t>TOTAL CENTRO DE DISTRIBUICAO INTEGRADA LTDA - 12.460.301/0001-87</t>
        </is>
      </c>
      <c r="C20" s="11" t="inlineStr">
        <is>
          <t>FRUGIS REPRESENTACOES LTDA - 11.989.186/0001-70</t>
        </is>
      </c>
      <c r="D20" s="12">
        <f>F20</f>
        <v/>
      </c>
      <c r="E20" s="13" t="inlineStr">
        <is>
          <t>07/2002</t>
        </is>
      </c>
      <c r="F20" s="14" t="n">
        <v>253.1568856065765</v>
      </c>
      <c r="G20" s="14" t="n"/>
      <c r="H20" s="15" t="n"/>
      <c r="I20" s="13" t="inlineStr">
        <is>
          <t>Mantido valor original da base (sem extrato)</t>
        </is>
      </c>
      <c r="J20" s="13" t="inlineStr">
        <is>
          <t>—</t>
        </is>
      </c>
      <c r="K20" s="13">
        <f>VALUE(RIGHT(A20,4))</f>
        <v/>
      </c>
      <c r="L20" s="16">
        <f>DATE(VALUE(RIGHT(A20,4)),VALUE(MID(A20,4,2)),1)</f>
        <v/>
      </c>
      <c r="M20" s="17">
        <f>INDEX(IPCA!$D$5:$D$313,MATCH(Distrato!$B$3,IPCA!$A$5:$A$313,0))/INDEX(IPCA!$D$5:$D$313,MATCH(DATE(YEAR(L20),MONTH(L20)-1,1),IPCA!$A$5:$A$313,0))</f>
        <v/>
      </c>
      <c r="N20" s="15">
        <f>IF(L20&gt;Distrato!$B$3,D20,D20*M20)</f>
        <v/>
      </c>
    </row>
    <row r="21" ht="15" customHeight="1">
      <c r="A21" s="18" t="inlineStr">
        <is>
          <t>15/09/2002</t>
        </is>
      </c>
      <c r="B21" s="19" t="inlineStr">
        <is>
          <t>TOTAL CENTRO DE DISTRIBUICAO INTEGRADA LTDA - 12.460.301/0001-87</t>
        </is>
      </c>
      <c r="C21" s="19" t="inlineStr">
        <is>
          <t>FRUGIS REPRESENTACOES LTDA - 11.989.186/0001-70</t>
        </is>
      </c>
      <c r="D21" s="20">
        <f>F21</f>
        <v/>
      </c>
      <c r="E21" s="13" t="inlineStr">
        <is>
          <t>08/2002</t>
        </is>
      </c>
      <c r="F21" s="14" t="n">
        <v>255.1759880095582</v>
      </c>
      <c r="G21" s="14" t="n"/>
      <c r="H21" s="15" t="n"/>
      <c r="I21" s="13" t="inlineStr">
        <is>
          <t>Mantido valor original da base (sem extrato)</t>
        </is>
      </c>
      <c r="J21" s="13" t="inlineStr">
        <is>
          <t>—</t>
        </is>
      </c>
      <c r="K21" s="13">
        <f>VALUE(RIGHT(A21,4))</f>
        <v/>
      </c>
      <c r="L21" s="16">
        <f>DATE(VALUE(RIGHT(A21,4)),VALUE(MID(A21,4,2)),1)</f>
        <v/>
      </c>
      <c r="M21" s="17">
        <f>INDEX(IPCA!$D$5:$D$313,MATCH(Distrato!$B$3,IPCA!$A$5:$A$313,0))/INDEX(IPCA!$D$5:$D$313,MATCH(DATE(YEAR(L21),MONTH(L21)-1,1),IPCA!$A$5:$A$313,0))</f>
        <v/>
      </c>
      <c r="N21" s="15">
        <f>IF(L21&gt;Distrato!$B$3,D21,D21*M21)</f>
        <v/>
      </c>
    </row>
    <row r="22" ht="15" customHeight="1">
      <c r="A22" s="10" t="inlineStr">
        <is>
          <t>15/10/2002</t>
        </is>
      </c>
      <c r="B22" s="11" t="inlineStr">
        <is>
          <t>TOTAL CENTRO DE DISTRIBUICAO INTEGRADA LTDA - 12.460.301/0001-87</t>
        </is>
      </c>
      <c r="C22" s="11" t="inlineStr">
        <is>
          <t>FRUGIS REPRESENTACOES LTDA - 11.989.186/0001-70</t>
        </is>
      </c>
      <c r="D22" s="12">
        <f>F22</f>
        <v/>
      </c>
      <c r="E22" s="13" t="inlineStr">
        <is>
          <t>09/2002</t>
        </is>
      </c>
      <c r="F22" s="14" t="n">
        <v>256.1576541925986</v>
      </c>
      <c r="G22" s="14" t="n"/>
      <c r="H22" s="15" t="n"/>
      <c r="I22" s="13" t="inlineStr">
        <is>
          <t>Mantido valor original da base (sem extrato)</t>
        </is>
      </c>
      <c r="J22" s="13" t="inlineStr">
        <is>
          <t>—</t>
        </is>
      </c>
      <c r="K22" s="13">
        <f>VALUE(RIGHT(A22,4))</f>
        <v/>
      </c>
      <c r="L22" s="16">
        <f>DATE(VALUE(RIGHT(A22,4)),VALUE(MID(A22,4,2)),1)</f>
        <v/>
      </c>
      <c r="M22" s="17">
        <f>INDEX(IPCA!$D$5:$D$313,MATCH(Distrato!$B$3,IPCA!$A$5:$A$313,0))/INDEX(IPCA!$D$5:$D$313,MATCH(DATE(YEAR(L22),MONTH(L22)-1,1),IPCA!$A$5:$A$313,0))</f>
        <v/>
      </c>
      <c r="N22" s="15">
        <f>IF(L22&gt;Distrato!$B$3,D22,D22*M22)</f>
        <v/>
      </c>
    </row>
    <row r="23" ht="15" customHeight="1">
      <c r="A23" s="18" t="inlineStr">
        <is>
          <t>15/11/2002</t>
        </is>
      </c>
      <c r="B23" s="19" t="inlineStr">
        <is>
          <t>TOTAL CENTRO DE DISTRIBUICAO INTEGRADA LTDA - 12.460.301/0001-87</t>
        </is>
      </c>
      <c r="C23" s="19" t="inlineStr">
        <is>
          <t>FRUGIS REPRESENTACOES LTDA - 11.989.186/0001-70</t>
        </is>
      </c>
      <c r="D23" s="20">
        <f>F23</f>
        <v/>
      </c>
      <c r="E23" s="13" t="inlineStr">
        <is>
          <t>10/2002</t>
        </is>
      </c>
      <c r="F23" s="14" t="n">
        <v>257.3442181495692</v>
      </c>
      <c r="G23" s="14" t="n"/>
      <c r="H23" s="15" t="n"/>
      <c r="I23" s="13" t="inlineStr">
        <is>
          <t>Mantido valor original da base (sem extrato)</t>
        </is>
      </c>
      <c r="J23" s="13" t="inlineStr">
        <is>
          <t>—</t>
        </is>
      </c>
      <c r="K23" s="13">
        <f>VALUE(RIGHT(A23,4))</f>
        <v/>
      </c>
      <c r="L23" s="16">
        <f>DATE(VALUE(RIGHT(A23,4)),VALUE(MID(A23,4,2)),1)</f>
        <v/>
      </c>
      <c r="M23" s="17">
        <f>INDEX(IPCA!$D$5:$D$313,MATCH(Distrato!$B$3,IPCA!$A$5:$A$313,0))/INDEX(IPCA!$D$5:$D$313,MATCH(DATE(YEAR(L23),MONTH(L23)-1,1),IPCA!$A$5:$A$313,0))</f>
        <v/>
      </c>
      <c r="N23" s="15">
        <f>IF(L23&gt;Distrato!$B$3,D23,D23*M23)</f>
        <v/>
      </c>
    </row>
    <row r="24" ht="15" customHeight="1">
      <c r="A24" s="10" t="inlineStr">
        <is>
          <t>15/12/2002</t>
        </is>
      </c>
      <c r="B24" s="11" t="inlineStr">
        <is>
          <t>TOTAL CENTRO DE DISTRIBUICAO INTEGRADA LTDA - 12.460.301/0001-87</t>
        </is>
      </c>
      <c r="C24" s="11" t="inlineStr">
        <is>
          <t>FRUGIS REPRESENTACOES LTDA - 11.989.186/0001-70</t>
        </is>
      </c>
      <c r="D24" s="12">
        <f>F24</f>
        <v/>
      </c>
      <c r="E24" s="13" t="inlineStr">
        <is>
          <t>11/2002</t>
        </is>
      </c>
      <c r="F24" s="14" t="n">
        <v>261.697282280887</v>
      </c>
      <c r="G24" s="14" t="n"/>
      <c r="H24" s="15" t="n"/>
      <c r="I24" s="13" t="inlineStr">
        <is>
          <t>Mantido valor original da base (sem extrato)</t>
        </is>
      </c>
      <c r="J24" s="13" t="inlineStr">
        <is>
          <t>—</t>
        </is>
      </c>
      <c r="K24" s="13">
        <f>VALUE(RIGHT(A24,4))</f>
        <v/>
      </c>
      <c r="L24" s="16">
        <f>DATE(VALUE(RIGHT(A24,4)),VALUE(MID(A24,4,2)),1)</f>
        <v/>
      </c>
      <c r="M24" s="17">
        <f>INDEX(IPCA!$D$5:$D$313,MATCH(Distrato!$B$3,IPCA!$A$5:$A$313,0))/INDEX(IPCA!$D$5:$D$313,MATCH(DATE(YEAR(L24),MONTH(L24)-1,1),IPCA!$A$5:$A$313,0))</f>
        <v/>
      </c>
      <c r="N24" s="15">
        <f>IF(L24&gt;Distrato!$B$3,D24,D24*M24)</f>
        <v/>
      </c>
    </row>
    <row r="25" ht="15" customHeight="1">
      <c r="A25" s="18" t="inlineStr">
        <is>
          <t>15/01/2003</t>
        </is>
      </c>
      <c r="B25" s="19" t="inlineStr">
        <is>
          <t>TOTAL CENTRO DE DISTRIBUICAO INTEGRADA LTDA - 12.460.301/0001-87</t>
        </is>
      </c>
      <c r="C25" s="19" t="inlineStr">
        <is>
          <t>FRUGIS REPRESENTACOES LTDA - 11.989.186/0001-70</t>
        </is>
      </c>
      <c r="D25" s="20">
        <f>F25</f>
        <v/>
      </c>
      <c r="E25" s="13" t="inlineStr">
        <is>
          <t>12/2002</t>
        </is>
      </c>
      <c r="F25" s="14" t="n">
        <v>253.9528816561852</v>
      </c>
      <c r="G25" s="14" t="n"/>
      <c r="H25" s="15" t="n"/>
      <c r="I25" s="13" t="inlineStr">
        <is>
          <t>Mantido valor original da base (sem extrato)</t>
        </is>
      </c>
      <c r="J25" s="13" t="inlineStr">
        <is>
          <t>—</t>
        </is>
      </c>
      <c r="K25" s="13">
        <f>VALUE(RIGHT(A25,4))</f>
        <v/>
      </c>
      <c r="L25" s="16">
        <f>DATE(VALUE(RIGHT(A25,4)),VALUE(MID(A25,4,2)),1)</f>
        <v/>
      </c>
      <c r="M25" s="17">
        <f>INDEX(IPCA!$D$5:$D$313,MATCH(Distrato!$B$3,IPCA!$A$5:$A$313,0))/INDEX(IPCA!$D$5:$D$313,MATCH(DATE(YEAR(L25),MONTH(L25)-1,1),IPCA!$A$5:$A$313,0))</f>
        <v/>
      </c>
      <c r="N25" s="15">
        <f>IF(L25&gt;Distrato!$B$3,D25,D25*M25)</f>
        <v/>
      </c>
    </row>
    <row r="26" ht="15" customHeight="1">
      <c r="A26" s="10" t="inlineStr">
        <is>
          <t>15/02/2003</t>
        </is>
      </c>
      <c r="B26" s="11" t="inlineStr">
        <is>
          <t>TOTAL CENTRO DE DISTRIBUICAO INTEGRADA LTDA - 12.460.301/0001-87</t>
        </is>
      </c>
      <c r="C26" s="11" t="inlineStr">
        <is>
          <t>FRUGIS REPRESENTACOES LTDA - 11.989.186/0001-70</t>
        </is>
      </c>
      <c r="D26" s="12">
        <f>F26</f>
        <v/>
      </c>
      <c r="E26" s="13" t="inlineStr">
        <is>
          <t>01/2003</t>
        </is>
      </c>
      <c r="F26" s="14" t="n">
        <v>290.4551842735513</v>
      </c>
      <c r="G26" s="14" t="n"/>
      <c r="H26" s="15" t="n"/>
      <c r="I26" s="13" t="inlineStr">
        <is>
          <t>Mantido valor original da base (sem extrato)</t>
        </is>
      </c>
      <c r="J26" s="13" t="inlineStr">
        <is>
          <t>—</t>
        </is>
      </c>
      <c r="K26" s="13">
        <f>VALUE(RIGHT(A26,4))</f>
        <v/>
      </c>
      <c r="L26" s="16">
        <f>DATE(VALUE(RIGHT(A26,4)),VALUE(MID(A26,4,2)),1)</f>
        <v/>
      </c>
      <c r="M26" s="17">
        <f>INDEX(IPCA!$D$5:$D$313,MATCH(Distrato!$B$3,IPCA!$A$5:$A$313,0))/INDEX(IPCA!$D$5:$D$313,MATCH(DATE(YEAR(L26),MONTH(L26)-1,1),IPCA!$A$5:$A$313,0))</f>
        <v/>
      </c>
      <c r="N26" s="15">
        <f>IF(L26&gt;Distrato!$B$3,D26,D26*M26)</f>
        <v/>
      </c>
    </row>
    <row r="27" ht="15" customHeight="1">
      <c r="A27" s="18" t="inlineStr">
        <is>
          <t>15/03/2003</t>
        </is>
      </c>
      <c r="B27" s="19" t="inlineStr">
        <is>
          <t>TOTAL CENTRO DE DISTRIBUICAO INTEGRADA LTDA - 12.460.301/0001-87</t>
        </is>
      </c>
      <c r="C27" s="19" t="inlineStr">
        <is>
          <t>FRUGIS REPRESENTACOES LTDA - 11.989.186/0001-70</t>
        </is>
      </c>
      <c r="D27" s="20">
        <f>F27</f>
        <v/>
      </c>
      <c r="E27" s="13" t="inlineStr">
        <is>
          <t>02/2003</t>
        </is>
      </c>
      <c r="F27" s="14" t="n">
        <v>291.6188386442926</v>
      </c>
      <c r="G27" s="14" t="n"/>
      <c r="H27" s="15" t="n"/>
      <c r="I27" s="13" t="inlineStr">
        <is>
          <t>Mantido valor original da base (sem extrato)</t>
        </is>
      </c>
      <c r="J27" s="13" t="inlineStr">
        <is>
          <t>—</t>
        </is>
      </c>
      <c r="K27" s="13">
        <f>VALUE(RIGHT(A27,4))</f>
        <v/>
      </c>
      <c r="L27" s="16">
        <f>DATE(VALUE(RIGHT(A27,4)),VALUE(MID(A27,4,2)),1)</f>
        <v/>
      </c>
      <c r="M27" s="17">
        <f>INDEX(IPCA!$D$5:$D$313,MATCH(Distrato!$B$3,IPCA!$A$5:$A$313,0))/INDEX(IPCA!$D$5:$D$313,MATCH(DATE(YEAR(L27),MONTH(L27)-1,1),IPCA!$A$5:$A$313,0))</f>
        <v/>
      </c>
      <c r="N27" s="15">
        <f>IF(L27&gt;Distrato!$B$3,D27,D27*M27)</f>
        <v/>
      </c>
    </row>
    <row r="28" ht="15" customHeight="1">
      <c r="A28" s="10" t="inlineStr">
        <is>
          <t>15/04/2003</t>
        </is>
      </c>
      <c r="B28" s="11" t="inlineStr">
        <is>
          <t>TOTAL CENTRO DE DISTRIBUICAO INTEGRADA LTDA - 12.460.301/0001-87</t>
        </is>
      </c>
      <c r="C28" s="11" t="inlineStr">
        <is>
          <t>FRUGIS REPRESENTACOES LTDA - 11.989.186/0001-70</t>
        </is>
      </c>
      <c r="D28" s="12">
        <f>F28</f>
        <v/>
      </c>
      <c r="E28" s="13" t="inlineStr">
        <is>
          <t>03/2003</t>
        </is>
      </c>
      <c r="F28" s="14" t="n">
        <v>283.492559333697</v>
      </c>
      <c r="G28" s="14" t="n"/>
      <c r="H28" s="15" t="n"/>
      <c r="I28" s="13" t="inlineStr">
        <is>
          <t>Mantido valor original da base (sem extrato)</t>
        </is>
      </c>
      <c r="J28" s="13" t="inlineStr">
        <is>
          <t>—</t>
        </is>
      </c>
      <c r="K28" s="13">
        <f>VALUE(RIGHT(A28,4))</f>
        <v/>
      </c>
      <c r="L28" s="16">
        <f>DATE(VALUE(RIGHT(A28,4)),VALUE(MID(A28,4,2)),1)</f>
        <v/>
      </c>
      <c r="M28" s="17">
        <f>INDEX(IPCA!$D$5:$D$313,MATCH(Distrato!$B$3,IPCA!$A$5:$A$313,0))/INDEX(IPCA!$D$5:$D$313,MATCH(DATE(YEAR(L28),MONTH(L28)-1,1),IPCA!$A$5:$A$313,0))</f>
        <v/>
      </c>
      <c r="N28" s="15">
        <f>IF(L28&gt;Distrato!$B$3,D28,D28*M28)</f>
        <v/>
      </c>
    </row>
    <row r="29" ht="15" customHeight="1">
      <c r="A29" s="18" t="inlineStr">
        <is>
          <t>15/05/2003</t>
        </is>
      </c>
      <c r="B29" s="19" t="inlineStr">
        <is>
          <t>TOTAL CENTRO DE DISTRIBUICAO INTEGRADA LTDA - 12.460.301/0001-87</t>
        </is>
      </c>
      <c r="C29" s="19" t="inlineStr">
        <is>
          <t>FRUGIS REPRESENTACOES LTDA - 11.989.186/0001-70</t>
        </is>
      </c>
      <c r="D29" s="20">
        <f>F29</f>
        <v/>
      </c>
      <c r="E29" s="13" t="inlineStr">
        <is>
          <t>04/2003</t>
        </is>
      </c>
      <c r="F29" s="14" t="n">
        <v>291.8440419010325</v>
      </c>
      <c r="G29" s="14" t="n"/>
      <c r="H29" s="15" t="n"/>
      <c r="I29" s="13" t="inlineStr">
        <is>
          <t>Mantido valor original da base (sem extrato)</t>
        </is>
      </c>
      <c r="J29" s="13" t="inlineStr">
        <is>
          <t>—</t>
        </is>
      </c>
      <c r="K29" s="13">
        <f>VALUE(RIGHT(A29,4))</f>
        <v/>
      </c>
      <c r="L29" s="16">
        <f>DATE(VALUE(RIGHT(A29,4)),VALUE(MID(A29,4,2)),1)</f>
        <v/>
      </c>
      <c r="M29" s="17">
        <f>INDEX(IPCA!$D$5:$D$313,MATCH(Distrato!$B$3,IPCA!$A$5:$A$313,0))/INDEX(IPCA!$D$5:$D$313,MATCH(DATE(YEAR(L29),MONTH(L29)-1,1),IPCA!$A$5:$A$313,0))</f>
        <v/>
      </c>
      <c r="N29" s="15">
        <f>IF(L29&gt;Distrato!$B$3,D29,D29*M29)</f>
        <v/>
      </c>
    </row>
    <row r="30" ht="15" customHeight="1">
      <c r="A30" s="10" t="inlineStr">
        <is>
          <t>15/06/2003</t>
        </is>
      </c>
      <c r="B30" s="11" t="inlineStr">
        <is>
          <t>TOTAL CENTRO DE DISTRIBUICAO INTEGRADA LTDA - 12.460.301/0001-87</t>
        </is>
      </c>
      <c r="C30" s="11" t="inlineStr">
        <is>
          <t>FRUGIS REPRESENTACOES LTDA - 11.989.186/0001-70</t>
        </is>
      </c>
      <c r="D30" s="12">
        <f>F30</f>
        <v/>
      </c>
      <c r="E30" s="13" t="inlineStr">
        <is>
          <t>05/2003</t>
        </is>
      </c>
      <c r="F30" s="14" t="n">
        <v>285.3393062658528</v>
      </c>
      <c r="G30" s="14" t="n"/>
      <c r="H30" s="15" t="n"/>
      <c r="I30" s="13" t="inlineStr">
        <is>
          <t>Mantido valor original da base (sem extrato)</t>
        </is>
      </c>
      <c r="J30" s="13" t="inlineStr">
        <is>
          <t>—</t>
        </is>
      </c>
      <c r="K30" s="13">
        <f>VALUE(RIGHT(A30,4))</f>
        <v/>
      </c>
      <c r="L30" s="16">
        <f>DATE(VALUE(RIGHT(A30,4)),VALUE(MID(A30,4,2)),1)</f>
        <v/>
      </c>
      <c r="M30" s="17">
        <f>INDEX(IPCA!$D$5:$D$313,MATCH(Distrato!$B$3,IPCA!$A$5:$A$313,0))/INDEX(IPCA!$D$5:$D$313,MATCH(DATE(YEAR(L30),MONTH(L30)-1,1),IPCA!$A$5:$A$313,0))</f>
        <v/>
      </c>
      <c r="N30" s="15">
        <f>IF(L30&gt;Distrato!$B$3,D30,D30*M30)</f>
        <v/>
      </c>
    </row>
    <row r="31" ht="15" customHeight="1">
      <c r="A31" s="18" t="inlineStr">
        <is>
          <t>15/07/2003</t>
        </is>
      </c>
      <c r="B31" s="19" t="inlineStr">
        <is>
          <t>TOTAL CENTRO DE DISTRIBUICAO INTEGRADA LTDA - 12.460.301/0001-87</t>
        </is>
      </c>
      <c r="C31" s="19" t="inlineStr">
        <is>
          <t>FRUGIS REPRESENTACOES LTDA - 11.989.186/0001-70</t>
        </is>
      </c>
      <c r="D31" s="20">
        <f>F31</f>
        <v/>
      </c>
      <c r="E31" s="13" t="inlineStr">
        <is>
          <t>06/2003</t>
        </is>
      </c>
      <c r="F31" s="14" t="n">
        <v>283.7694243707913</v>
      </c>
      <c r="G31" s="14" t="n"/>
      <c r="H31" s="15" t="n"/>
      <c r="I31" s="13" t="inlineStr">
        <is>
          <t>Mantido valor original da base (sem extrato)</t>
        </is>
      </c>
      <c r="J31" s="13" t="inlineStr">
        <is>
          <t>—</t>
        </is>
      </c>
      <c r="K31" s="13">
        <f>VALUE(RIGHT(A31,4))</f>
        <v/>
      </c>
      <c r="L31" s="16">
        <f>DATE(VALUE(RIGHT(A31,4)),VALUE(MID(A31,4,2)),1)</f>
        <v/>
      </c>
      <c r="M31" s="17">
        <f>INDEX(IPCA!$D$5:$D$313,MATCH(Distrato!$B$3,IPCA!$A$5:$A$313,0))/INDEX(IPCA!$D$5:$D$313,MATCH(DATE(YEAR(L31),MONTH(L31)-1,1),IPCA!$A$5:$A$313,0))</f>
        <v/>
      </c>
      <c r="N31" s="15">
        <f>IF(L31&gt;Distrato!$B$3,D31,D31*M31)</f>
        <v/>
      </c>
    </row>
    <row r="32" ht="15" customHeight="1">
      <c r="A32" s="10" t="inlineStr">
        <is>
          <t>15/08/2003</t>
        </is>
      </c>
      <c r="B32" s="11" t="inlineStr">
        <is>
          <t>TOTAL CENTRO DE DISTRIBUICAO INTEGRADA LTDA - 12.460.301/0001-87</t>
        </is>
      </c>
      <c r="C32" s="11" t="inlineStr">
        <is>
          <t>FRUGIS REPRESENTACOES LTDA - 11.989.186/0001-70</t>
        </is>
      </c>
      <c r="D32" s="12">
        <f>F32</f>
        <v/>
      </c>
      <c r="E32" s="13" t="inlineStr">
        <is>
          <t>07/2003</t>
        </is>
      </c>
      <c r="F32" s="14" t="n">
        <v>296.9246496992448</v>
      </c>
      <c r="G32" s="14" t="n"/>
      <c r="H32" s="15" t="n"/>
      <c r="I32" s="13" t="inlineStr">
        <is>
          <t>Mantido valor original da base (sem extrato)</t>
        </is>
      </c>
      <c r="J32" s="13" t="inlineStr">
        <is>
          <t>—</t>
        </is>
      </c>
      <c r="K32" s="13">
        <f>VALUE(RIGHT(A32,4))</f>
        <v/>
      </c>
      <c r="L32" s="16">
        <f>DATE(VALUE(RIGHT(A32,4)),VALUE(MID(A32,4,2)),1)</f>
        <v/>
      </c>
      <c r="M32" s="17">
        <f>INDEX(IPCA!$D$5:$D$313,MATCH(Distrato!$B$3,IPCA!$A$5:$A$313,0))/INDEX(IPCA!$D$5:$D$313,MATCH(DATE(YEAR(L32),MONTH(L32)-1,1),IPCA!$A$5:$A$313,0))</f>
        <v/>
      </c>
      <c r="N32" s="15">
        <f>IF(L32&gt;Distrato!$B$3,D32,D32*M32)</f>
        <v/>
      </c>
    </row>
    <row r="33" ht="15" customHeight="1">
      <c r="A33" s="18" t="inlineStr">
        <is>
          <t>15/09/2003</t>
        </is>
      </c>
      <c r="B33" s="19" t="inlineStr">
        <is>
          <t>TOTAL CENTRO DE DISTRIBUICAO INTEGRADA LTDA - 12.460.301/0001-87</t>
        </is>
      </c>
      <c r="C33" s="19" t="inlineStr">
        <is>
          <t>FRUGIS REPRESENTACOES LTDA - 11.989.186/0001-70</t>
        </is>
      </c>
      <c r="D33" s="20">
        <f>F33</f>
        <v/>
      </c>
      <c r="E33" s="13" t="inlineStr">
        <is>
          <t>08/2003</t>
        </is>
      </c>
      <c r="F33" s="14" t="n">
        <v>297.1739091075521</v>
      </c>
      <c r="G33" s="14" t="n"/>
      <c r="H33" s="15" t="n"/>
      <c r="I33" s="13" t="inlineStr">
        <is>
          <t>Mantido valor original da base (sem extrato)</t>
        </is>
      </c>
      <c r="J33" s="13" t="inlineStr">
        <is>
          <t>—</t>
        </is>
      </c>
      <c r="K33" s="13">
        <f>VALUE(RIGHT(A33,4))</f>
        <v/>
      </c>
      <c r="L33" s="16">
        <f>DATE(VALUE(RIGHT(A33,4)),VALUE(MID(A33,4,2)),1)</f>
        <v/>
      </c>
      <c r="M33" s="17">
        <f>INDEX(IPCA!$D$5:$D$313,MATCH(Distrato!$B$3,IPCA!$A$5:$A$313,0))/INDEX(IPCA!$D$5:$D$313,MATCH(DATE(YEAR(L33),MONTH(L33)-1,1),IPCA!$A$5:$A$313,0))</f>
        <v/>
      </c>
      <c r="N33" s="15">
        <f>IF(L33&gt;Distrato!$B$3,D33,D33*M33)</f>
        <v/>
      </c>
    </row>
    <row r="34" ht="15" customHeight="1">
      <c r="A34" s="10" t="inlineStr">
        <is>
          <t>15/10/2003</t>
        </is>
      </c>
      <c r="B34" s="11" t="inlineStr">
        <is>
          <t>TOTAL CENTRO DE DISTRIBUICAO INTEGRADA LTDA - 12.460.301/0001-87</t>
        </is>
      </c>
      <c r="C34" s="11" t="inlineStr">
        <is>
          <t>FRUGIS REPRESENTACOES LTDA - 11.989.186/0001-70</t>
        </is>
      </c>
      <c r="D34" s="12">
        <f>F34</f>
        <v/>
      </c>
      <c r="E34" s="13" t="inlineStr">
        <is>
          <t>09/2003</t>
        </is>
      </c>
      <c r="F34" s="14" t="n">
        <v>294.8335852000051</v>
      </c>
      <c r="G34" s="14" t="n"/>
      <c r="H34" s="15" t="n"/>
      <c r="I34" s="13" t="inlineStr">
        <is>
          <t>Mantido valor original da base (sem extrato)</t>
        </is>
      </c>
      <c r="J34" s="13" t="inlineStr">
        <is>
          <t>—</t>
        </is>
      </c>
      <c r="K34" s="13">
        <f>VALUE(RIGHT(A34,4))</f>
        <v/>
      </c>
      <c r="L34" s="16">
        <f>DATE(VALUE(RIGHT(A34,4)),VALUE(MID(A34,4,2)),1)</f>
        <v/>
      </c>
      <c r="M34" s="17">
        <f>INDEX(IPCA!$D$5:$D$313,MATCH(Distrato!$B$3,IPCA!$A$5:$A$313,0))/INDEX(IPCA!$D$5:$D$313,MATCH(DATE(YEAR(L34),MONTH(L34)-1,1),IPCA!$A$5:$A$313,0))</f>
        <v/>
      </c>
      <c r="N34" s="15">
        <f>IF(L34&gt;Distrato!$B$3,D34,D34*M34)</f>
        <v/>
      </c>
    </row>
    <row r="35" ht="15" customHeight="1">
      <c r="A35" s="18" t="inlineStr">
        <is>
          <t>15/11/2003</t>
        </is>
      </c>
      <c r="B35" s="19" t="inlineStr">
        <is>
          <t>TOTAL CENTRO DE DISTRIBUICAO INTEGRADA LTDA - 12.460.301/0001-87</t>
        </is>
      </c>
      <c r="C35" s="19" t="inlineStr">
        <is>
          <t>FRUGIS REPRESENTACOES LTDA - 11.989.186/0001-70</t>
        </is>
      </c>
      <c r="D35" s="20">
        <f>F35</f>
        <v/>
      </c>
      <c r="E35" s="13" t="inlineStr">
        <is>
          <t>10/2003</t>
        </is>
      </c>
      <c r="F35" s="14" t="n">
        <v>287.3351330973767</v>
      </c>
      <c r="G35" s="14" t="n"/>
      <c r="H35" s="15" t="n"/>
      <c r="I35" s="13" t="inlineStr">
        <is>
          <t>Mantido valor original da base (sem extrato)</t>
        </is>
      </c>
      <c r="J35" s="13" t="inlineStr">
        <is>
          <t>—</t>
        </is>
      </c>
      <c r="K35" s="13">
        <f>VALUE(RIGHT(A35,4))</f>
        <v/>
      </c>
      <c r="L35" s="16">
        <f>DATE(VALUE(RIGHT(A35,4)),VALUE(MID(A35,4,2)),1)</f>
        <v/>
      </c>
      <c r="M35" s="17">
        <f>INDEX(IPCA!$D$5:$D$313,MATCH(Distrato!$B$3,IPCA!$A$5:$A$313,0))/INDEX(IPCA!$D$5:$D$313,MATCH(DATE(YEAR(L35),MONTH(L35)-1,1),IPCA!$A$5:$A$313,0))</f>
        <v/>
      </c>
      <c r="N35" s="15">
        <f>IF(L35&gt;Distrato!$B$3,D35,D35*M35)</f>
        <v/>
      </c>
    </row>
    <row r="36" ht="15" customHeight="1">
      <c r="A36" s="10" t="inlineStr">
        <is>
          <t>15/12/2003</t>
        </is>
      </c>
      <c r="B36" s="11" t="inlineStr">
        <is>
          <t>TOTAL CENTRO DE DISTRIBUICAO INTEGRADA LTDA - 12.460.301/0001-87</t>
        </is>
      </c>
      <c r="C36" s="11" t="inlineStr">
        <is>
          <t>FRUGIS REPRESENTACOES LTDA - 11.989.186/0001-70</t>
        </is>
      </c>
      <c r="D36" s="12">
        <f>F36</f>
        <v/>
      </c>
      <c r="E36" s="13" t="inlineStr">
        <is>
          <t>11/2003</t>
        </is>
      </c>
      <c r="F36" s="14" t="n">
        <v>284.2549570968732</v>
      </c>
      <c r="G36" s="14" t="n"/>
      <c r="H36" s="15" t="n"/>
      <c r="I36" s="13" t="inlineStr">
        <is>
          <t>Mantido valor original da base (sem extrato)</t>
        </is>
      </c>
      <c r="J36" s="13" t="inlineStr">
        <is>
          <t>—</t>
        </is>
      </c>
      <c r="K36" s="13">
        <f>VALUE(RIGHT(A36,4))</f>
        <v/>
      </c>
      <c r="L36" s="16">
        <f>DATE(VALUE(RIGHT(A36,4)),VALUE(MID(A36,4,2)),1)</f>
        <v/>
      </c>
      <c r="M36" s="17">
        <f>INDEX(IPCA!$D$5:$D$313,MATCH(Distrato!$B$3,IPCA!$A$5:$A$313,0))/INDEX(IPCA!$D$5:$D$313,MATCH(DATE(YEAR(L36),MONTH(L36)-1,1),IPCA!$A$5:$A$313,0))</f>
        <v/>
      </c>
      <c r="N36" s="15">
        <f>IF(L36&gt;Distrato!$B$3,D36,D36*M36)</f>
        <v/>
      </c>
    </row>
    <row r="37" ht="15" customHeight="1">
      <c r="A37" s="18" t="inlineStr">
        <is>
          <t>15/01/2004</t>
        </is>
      </c>
      <c r="B37" s="19" t="inlineStr">
        <is>
          <t>TOTAL CENTRO DE DISTRIBUICAO INTEGRADA LTDA - 12.460.301/0001-87</t>
        </is>
      </c>
      <c r="C37" s="19" t="inlineStr">
        <is>
          <t>FRUGIS REPRESENTACOES LTDA - 11.989.186/0001-70</t>
        </is>
      </c>
      <c r="D37" s="20">
        <f>F37</f>
        <v/>
      </c>
      <c r="E37" s="13" t="inlineStr">
        <is>
          <t>12/2003</t>
        </is>
      </c>
      <c r="F37" s="14" t="n">
        <v>292.9854895944308</v>
      </c>
      <c r="G37" s="14" t="n"/>
      <c r="H37" s="15" t="n"/>
      <c r="I37" s="13" t="inlineStr">
        <is>
          <t>Mantido valor original da base (sem extrato)</t>
        </is>
      </c>
      <c r="J37" s="13" t="inlineStr">
        <is>
          <t>—</t>
        </is>
      </c>
      <c r="K37" s="13">
        <f>VALUE(RIGHT(A37,4))</f>
        <v/>
      </c>
      <c r="L37" s="16">
        <f>DATE(VALUE(RIGHT(A37,4)),VALUE(MID(A37,4,2)),1)</f>
        <v/>
      </c>
      <c r="M37" s="17">
        <f>INDEX(IPCA!$D$5:$D$313,MATCH(Distrato!$B$3,IPCA!$A$5:$A$313,0))/INDEX(IPCA!$D$5:$D$313,MATCH(DATE(YEAR(L37),MONTH(L37)-1,1),IPCA!$A$5:$A$313,0))</f>
        <v/>
      </c>
      <c r="N37" s="15">
        <f>IF(L37&gt;Distrato!$B$3,D37,D37*M37)</f>
        <v/>
      </c>
    </row>
    <row r="38" ht="15" customHeight="1">
      <c r="A38" s="10" t="inlineStr">
        <is>
          <t>15/02/2004</t>
        </is>
      </c>
      <c r="B38" s="11" t="inlineStr">
        <is>
          <t>TOTAL CENTRO DE DISTRIBUICAO INTEGRADA LTDA - 12.460.301/0001-87</t>
        </is>
      </c>
      <c r="C38" s="11" t="inlineStr">
        <is>
          <t>FRUGIS REPRESENTACOES LTDA - 11.989.186/0001-70</t>
        </is>
      </c>
      <c r="D38" s="12">
        <f>F38</f>
        <v/>
      </c>
      <c r="E38" s="13" t="inlineStr">
        <is>
          <t>01/2004</t>
        </is>
      </c>
      <c r="F38" s="14" t="n">
        <v>316.2623135596689</v>
      </c>
      <c r="G38" s="14" t="n"/>
      <c r="H38" s="15" t="n"/>
      <c r="I38" s="13" t="inlineStr">
        <is>
          <t>Mantido valor original da base (sem extrato)</t>
        </is>
      </c>
      <c r="J38" s="13" t="inlineStr">
        <is>
          <t>—</t>
        </is>
      </c>
      <c r="K38" s="13">
        <f>VALUE(RIGHT(A38,4))</f>
        <v/>
      </c>
      <c r="L38" s="16">
        <f>DATE(VALUE(RIGHT(A38,4)),VALUE(MID(A38,4,2)),1)</f>
        <v/>
      </c>
      <c r="M38" s="17">
        <f>INDEX(IPCA!$D$5:$D$313,MATCH(Distrato!$B$3,IPCA!$A$5:$A$313,0))/INDEX(IPCA!$D$5:$D$313,MATCH(DATE(YEAR(L38),MONTH(L38)-1,1),IPCA!$A$5:$A$313,0))</f>
        <v/>
      </c>
      <c r="N38" s="15">
        <f>IF(L38&gt;Distrato!$B$3,D38,D38*M38)</f>
        <v/>
      </c>
    </row>
    <row r="39" ht="15" customHeight="1">
      <c r="A39" s="18" t="inlineStr">
        <is>
          <t>15/03/2004</t>
        </is>
      </c>
      <c r="B39" s="19" t="inlineStr">
        <is>
          <t>TOTAL CENTRO DE DISTRIBUICAO INTEGRADA LTDA - 12.460.301/0001-87</t>
        </is>
      </c>
      <c r="C39" s="19" t="inlineStr">
        <is>
          <t>FRUGIS REPRESENTACOES LTDA - 11.989.186/0001-70</t>
        </is>
      </c>
      <c r="D39" s="20">
        <f>F39</f>
        <v/>
      </c>
      <c r="E39" s="13" t="inlineStr">
        <is>
          <t>02/2004</t>
        </is>
      </c>
      <c r="F39" s="14" t="n">
        <v>311.0870685852896</v>
      </c>
      <c r="G39" s="14" t="n"/>
      <c r="H39" s="15" t="n"/>
      <c r="I39" s="13" t="inlineStr">
        <is>
          <t>Mantido valor original da base (sem extrato)</t>
        </is>
      </c>
      <c r="J39" s="13" t="inlineStr">
        <is>
          <t>—</t>
        </is>
      </c>
      <c r="K39" s="13">
        <f>VALUE(RIGHT(A39,4))</f>
        <v/>
      </c>
      <c r="L39" s="16">
        <f>DATE(VALUE(RIGHT(A39,4)),VALUE(MID(A39,4,2)),1)</f>
        <v/>
      </c>
      <c r="M39" s="17">
        <f>INDEX(IPCA!$D$5:$D$313,MATCH(Distrato!$B$3,IPCA!$A$5:$A$313,0))/INDEX(IPCA!$D$5:$D$313,MATCH(DATE(YEAR(L39),MONTH(L39)-1,1),IPCA!$A$5:$A$313,0))</f>
        <v/>
      </c>
      <c r="N39" s="15">
        <f>IF(L39&gt;Distrato!$B$3,D39,D39*M39)</f>
        <v/>
      </c>
    </row>
    <row r="40" ht="15" customHeight="1">
      <c r="A40" s="10" t="inlineStr">
        <is>
          <t>15/04/2004</t>
        </is>
      </c>
      <c r="B40" s="11" t="inlineStr">
        <is>
          <t>TOTAL CENTRO DE DISTRIBUICAO INTEGRADA LTDA - 12.460.301/0001-87</t>
        </is>
      </c>
      <c r="C40" s="11" t="inlineStr">
        <is>
          <t>FRUGIS REPRESENTACOES LTDA - 11.989.186/0001-70</t>
        </is>
      </c>
      <c r="D40" s="12">
        <f>F40</f>
        <v/>
      </c>
      <c r="E40" s="13" t="inlineStr">
        <is>
          <t>03/2004</t>
        </is>
      </c>
      <c r="F40" s="14" t="n">
        <v>317.1574788228828</v>
      </c>
      <c r="G40" s="14" t="n"/>
      <c r="H40" s="15" t="n"/>
      <c r="I40" s="13" t="inlineStr">
        <is>
          <t>Mantido valor original da base (sem extrato)</t>
        </is>
      </c>
      <c r="J40" s="13" t="inlineStr">
        <is>
          <t>—</t>
        </is>
      </c>
      <c r="K40" s="13">
        <f>VALUE(RIGHT(A40,4))</f>
        <v/>
      </c>
      <c r="L40" s="16">
        <f>DATE(VALUE(RIGHT(A40,4)),VALUE(MID(A40,4,2)),1)</f>
        <v/>
      </c>
      <c r="M40" s="17">
        <f>INDEX(IPCA!$D$5:$D$313,MATCH(Distrato!$B$3,IPCA!$A$5:$A$313,0))/INDEX(IPCA!$D$5:$D$313,MATCH(DATE(YEAR(L40),MONTH(L40)-1,1),IPCA!$A$5:$A$313,0))</f>
        <v/>
      </c>
      <c r="N40" s="15">
        <f>IF(L40&gt;Distrato!$B$3,D40,D40*M40)</f>
        <v/>
      </c>
    </row>
    <row r="41" ht="15" customHeight="1">
      <c r="A41" s="18" t="inlineStr">
        <is>
          <t>15/05/2004</t>
        </is>
      </c>
      <c r="B41" s="19" t="inlineStr">
        <is>
          <t>TOTAL CENTRO DE DISTRIBUICAO INTEGRADA LTDA - 12.460.301/0001-87</t>
        </is>
      </c>
      <c r="C41" s="19" t="inlineStr">
        <is>
          <t>FRUGIS REPRESENTACOES LTDA - 11.989.186/0001-70</t>
        </is>
      </c>
      <c r="D41" s="20">
        <f>F41</f>
        <v/>
      </c>
      <c r="E41" s="13" t="inlineStr">
        <is>
          <t>04/2004</t>
        </is>
      </c>
      <c r="F41" s="14" t="n">
        <v>309.6611383485858</v>
      </c>
      <c r="G41" s="14" t="n"/>
      <c r="H41" s="15" t="n"/>
      <c r="I41" s="13" t="inlineStr">
        <is>
          <t>Mantido valor original da base (sem extrato)</t>
        </is>
      </c>
      <c r="J41" s="13" t="inlineStr">
        <is>
          <t>—</t>
        </is>
      </c>
      <c r="K41" s="13">
        <f>VALUE(RIGHT(A41,4))</f>
        <v/>
      </c>
      <c r="L41" s="16">
        <f>DATE(VALUE(RIGHT(A41,4)),VALUE(MID(A41,4,2)),1)</f>
        <v/>
      </c>
      <c r="M41" s="17">
        <f>INDEX(IPCA!$D$5:$D$313,MATCH(Distrato!$B$3,IPCA!$A$5:$A$313,0))/INDEX(IPCA!$D$5:$D$313,MATCH(DATE(YEAR(L41),MONTH(L41)-1,1),IPCA!$A$5:$A$313,0))</f>
        <v/>
      </c>
      <c r="N41" s="15">
        <f>IF(L41&gt;Distrato!$B$3,D41,D41*M41)</f>
        <v/>
      </c>
    </row>
    <row r="42" ht="15" customHeight="1">
      <c r="A42" s="10" t="inlineStr">
        <is>
          <t>15/06/2004</t>
        </is>
      </c>
      <c r="B42" s="11" t="inlineStr">
        <is>
          <t>TOTAL CENTRO DE DISTRIBUICAO INTEGRADA LTDA - 12.460.301/0001-87</t>
        </is>
      </c>
      <c r="C42" s="11" t="inlineStr">
        <is>
          <t>FRUGIS REPRESENTACOES LTDA - 11.989.186/0001-70</t>
        </is>
      </c>
      <c r="D42" s="12">
        <f>F42</f>
        <v/>
      </c>
      <c r="E42" s="13" t="inlineStr">
        <is>
          <t>05/2004</t>
        </is>
      </c>
      <c r="F42" s="14" t="n">
        <v>323.8949763274679</v>
      </c>
      <c r="G42" s="14" t="n"/>
      <c r="H42" s="15" t="n"/>
      <c r="I42" s="13" t="inlineStr">
        <is>
          <t>Mantido valor original da base (sem extrato)</t>
        </is>
      </c>
      <c r="J42" s="13" t="inlineStr">
        <is>
          <t>—</t>
        </is>
      </c>
      <c r="K42" s="13">
        <f>VALUE(RIGHT(A42,4))</f>
        <v/>
      </c>
      <c r="L42" s="16">
        <f>DATE(VALUE(RIGHT(A42,4)),VALUE(MID(A42,4,2)),1)</f>
        <v/>
      </c>
      <c r="M42" s="17">
        <f>INDEX(IPCA!$D$5:$D$313,MATCH(Distrato!$B$3,IPCA!$A$5:$A$313,0))/INDEX(IPCA!$D$5:$D$313,MATCH(DATE(YEAR(L42),MONTH(L42)-1,1),IPCA!$A$5:$A$313,0))</f>
        <v/>
      </c>
      <c r="N42" s="15">
        <f>IF(L42&gt;Distrato!$B$3,D42,D42*M42)</f>
        <v/>
      </c>
    </row>
    <row r="43" ht="15" customHeight="1">
      <c r="A43" s="18" t="inlineStr">
        <is>
          <t>15/07/2004</t>
        </is>
      </c>
      <c r="B43" s="19" t="inlineStr">
        <is>
          <t>TOTAL CENTRO DE DISTRIBUICAO INTEGRADA LTDA - 12.460.301/0001-87</t>
        </is>
      </c>
      <c r="C43" s="19" t="inlineStr">
        <is>
          <t>FRUGIS REPRESENTACOES LTDA - 11.989.186/0001-70</t>
        </is>
      </c>
      <c r="D43" s="20">
        <f>F43</f>
        <v/>
      </c>
      <c r="E43" s="13" t="inlineStr">
        <is>
          <t>06/2004</t>
        </is>
      </c>
      <c r="F43" s="14" t="n">
        <v>313.3116530479335</v>
      </c>
      <c r="G43" s="14" t="n"/>
      <c r="H43" s="15" t="n"/>
      <c r="I43" s="13" t="inlineStr">
        <is>
          <t>Mantido valor original da base (sem extrato)</t>
        </is>
      </c>
      <c r="J43" s="13" t="inlineStr">
        <is>
          <t>—</t>
        </is>
      </c>
      <c r="K43" s="13">
        <f>VALUE(RIGHT(A43,4))</f>
        <v/>
      </c>
      <c r="L43" s="16">
        <f>DATE(VALUE(RIGHT(A43,4)),VALUE(MID(A43,4,2)),1)</f>
        <v/>
      </c>
      <c r="M43" s="17">
        <f>INDEX(IPCA!$D$5:$D$313,MATCH(Distrato!$B$3,IPCA!$A$5:$A$313,0))/INDEX(IPCA!$D$5:$D$313,MATCH(DATE(YEAR(L43),MONTH(L43)-1,1),IPCA!$A$5:$A$313,0))</f>
        <v/>
      </c>
      <c r="N43" s="15">
        <f>IF(L43&gt;Distrato!$B$3,D43,D43*M43)</f>
        <v/>
      </c>
    </row>
    <row r="44" ht="15" customHeight="1">
      <c r="A44" s="10" t="inlineStr">
        <is>
          <t>15/08/2004</t>
        </is>
      </c>
      <c r="B44" s="11" t="inlineStr">
        <is>
          <t>TOTAL CENTRO DE DISTRIBUICAO INTEGRADA LTDA - 12.460.301/0001-87</t>
        </is>
      </c>
      <c r="C44" s="11" t="inlineStr">
        <is>
          <t>FRUGIS REPRESENTACOES LTDA - 11.989.186/0001-70</t>
        </is>
      </c>
      <c r="D44" s="12">
        <f>F44</f>
        <v/>
      </c>
      <c r="E44" s="13" t="inlineStr">
        <is>
          <t>07/2004</t>
        </is>
      </c>
      <c r="F44" s="14" t="n">
        <v>319.8799387026884</v>
      </c>
      <c r="G44" s="14" t="n"/>
      <c r="H44" s="15" t="n"/>
      <c r="I44" s="13" t="inlineStr">
        <is>
          <t>Mantido valor original da base (sem extrato)</t>
        </is>
      </c>
      <c r="J44" s="13" t="inlineStr">
        <is>
          <t>—</t>
        </is>
      </c>
      <c r="K44" s="13">
        <f>VALUE(RIGHT(A44,4))</f>
        <v/>
      </c>
      <c r="L44" s="16">
        <f>DATE(VALUE(RIGHT(A44,4)),VALUE(MID(A44,4,2)),1)</f>
        <v/>
      </c>
      <c r="M44" s="17">
        <f>INDEX(IPCA!$D$5:$D$313,MATCH(Distrato!$B$3,IPCA!$A$5:$A$313,0))/INDEX(IPCA!$D$5:$D$313,MATCH(DATE(YEAR(L44),MONTH(L44)-1,1),IPCA!$A$5:$A$313,0))</f>
        <v/>
      </c>
      <c r="N44" s="15">
        <f>IF(L44&gt;Distrato!$B$3,D44,D44*M44)</f>
        <v/>
      </c>
    </row>
    <row r="45" ht="15" customHeight="1">
      <c r="A45" s="18" t="inlineStr">
        <is>
          <t>15/09/2004</t>
        </is>
      </c>
      <c r="B45" s="19" t="inlineStr">
        <is>
          <t>TOTAL CENTRO DE DISTRIBUICAO INTEGRADA LTDA - 12.460.301/0001-87</t>
        </is>
      </c>
      <c r="C45" s="19" t="inlineStr">
        <is>
          <t>FRUGIS REPRESENTACOES LTDA - 11.989.186/0001-70</t>
        </is>
      </c>
      <c r="D45" s="20">
        <f>F45</f>
        <v/>
      </c>
      <c r="E45" s="13" t="inlineStr">
        <is>
          <t>08/2004</t>
        </is>
      </c>
      <c r="F45" s="14" t="n">
        <v>314.1727630833539</v>
      </c>
      <c r="G45" s="14" t="n"/>
      <c r="H45" s="15" t="n"/>
      <c r="I45" s="13" t="inlineStr">
        <is>
          <t>Mantido valor original da base (sem extrato)</t>
        </is>
      </c>
      <c r="J45" s="13" t="inlineStr">
        <is>
          <t>—</t>
        </is>
      </c>
      <c r="K45" s="13">
        <f>VALUE(RIGHT(A45,4))</f>
        <v/>
      </c>
      <c r="L45" s="16">
        <f>DATE(VALUE(RIGHT(A45,4)),VALUE(MID(A45,4,2)),1)</f>
        <v/>
      </c>
      <c r="M45" s="17">
        <f>INDEX(IPCA!$D$5:$D$313,MATCH(Distrato!$B$3,IPCA!$A$5:$A$313,0))/INDEX(IPCA!$D$5:$D$313,MATCH(DATE(YEAR(L45),MONTH(L45)-1,1),IPCA!$A$5:$A$313,0))</f>
        <v/>
      </c>
      <c r="N45" s="15">
        <f>IF(L45&gt;Distrato!$B$3,D45,D45*M45)</f>
        <v/>
      </c>
    </row>
    <row r="46" ht="15" customHeight="1">
      <c r="A46" s="10" t="inlineStr">
        <is>
          <t>15/10/2004</t>
        </is>
      </c>
      <c r="B46" s="11" t="inlineStr">
        <is>
          <t>TOTAL CENTRO DE DISTRIBUICAO INTEGRADA LTDA - 12.460.301/0001-87</t>
        </is>
      </c>
      <c r="C46" s="11" t="inlineStr">
        <is>
          <t>FRUGIS REPRESENTACOES LTDA - 11.989.186/0001-70</t>
        </is>
      </c>
      <c r="D46" s="12">
        <f>F46</f>
        <v/>
      </c>
      <c r="E46" s="13" t="inlineStr">
        <is>
          <t>09/2004</t>
        </is>
      </c>
      <c r="F46" s="14" t="n">
        <v>317.5624201100208</v>
      </c>
      <c r="G46" s="14" t="n"/>
      <c r="H46" s="15" t="n"/>
      <c r="I46" s="13" t="inlineStr">
        <is>
          <t>Mantido valor original da base (sem extrato)</t>
        </is>
      </c>
      <c r="J46" s="13" t="inlineStr">
        <is>
          <t>—</t>
        </is>
      </c>
      <c r="K46" s="13">
        <f>VALUE(RIGHT(A46,4))</f>
        <v/>
      </c>
      <c r="L46" s="16">
        <f>DATE(VALUE(RIGHT(A46,4)),VALUE(MID(A46,4,2)),1)</f>
        <v/>
      </c>
      <c r="M46" s="17">
        <f>INDEX(IPCA!$D$5:$D$313,MATCH(Distrato!$B$3,IPCA!$A$5:$A$313,0))/INDEX(IPCA!$D$5:$D$313,MATCH(DATE(YEAR(L46),MONTH(L46)-1,1),IPCA!$A$5:$A$313,0))</f>
        <v/>
      </c>
      <c r="N46" s="15">
        <f>IF(L46&gt;Distrato!$B$3,D46,D46*M46)</f>
        <v/>
      </c>
    </row>
    <row r="47" ht="15" customHeight="1">
      <c r="A47" s="18" t="inlineStr">
        <is>
          <t>15/11/2004</t>
        </is>
      </c>
      <c r="B47" s="19" t="inlineStr">
        <is>
          <t>TOTAL CENTRO DE DISTRIBUICAO INTEGRADA LTDA - 12.460.301/0001-87</t>
        </is>
      </c>
      <c r="C47" s="19" t="inlineStr">
        <is>
          <t>FRUGIS REPRESENTACOES LTDA - 11.989.186/0001-70</t>
        </is>
      </c>
      <c r="D47" s="20">
        <f>F47</f>
        <v/>
      </c>
      <c r="E47" s="13" t="inlineStr">
        <is>
          <t>10/2004</t>
        </is>
      </c>
      <c r="F47" s="14" t="n">
        <v>317.9958499510973</v>
      </c>
      <c r="G47" s="14" t="n"/>
      <c r="H47" s="15" t="n"/>
      <c r="I47" s="13" t="inlineStr">
        <is>
          <t>Mantido valor original da base (sem extrato)</t>
        </is>
      </c>
      <c r="J47" s="13" t="inlineStr">
        <is>
          <t>—</t>
        </is>
      </c>
      <c r="K47" s="13">
        <f>VALUE(RIGHT(A47,4))</f>
        <v/>
      </c>
      <c r="L47" s="16">
        <f>DATE(VALUE(RIGHT(A47,4)),VALUE(MID(A47,4,2)),1)</f>
        <v/>
      </c>
      <c r="M47" s="17">
        <f>INDEX(IPCA!$D$5:$D$313,MATCH(Distrato!$B$3,IPCA!$A$5:$A$313,0))/INDEX(IPCA!$D$5:$D$313,MATCH(DATE(YEAR(L47),MONTH(L47)-1,1),IPCA!$A$5:$A$313,0))</f>
        <v/>
      </c>
      <c r="N47" s="15">
        <f>IF(L47&gt;Distrato!$B$3,D47,D47*M47)</f>
        <v/>
      </c>
    </row>
    <row r="48" ht="15" customHeight="1">
      <c r="A48" s="10" t="inlineStr">
        <is>
          <t>15/12/2004</t>
        </is>
      </c>
      <c r="B48" s="11" t="inlineStr">
        <is>
          <t>TOTAL CENTRO DE DISTRIBUICAO INTEGRADA LTDA - 12.460.301/0001-87</t>
        </is>
      </c>
      <c r="C48" s="11" t="inlineStr">
        <is>
          <t>FRUGIS REPRESENTACOES LTDA - 11.989.186/0001-70</t>
        </is>
      </c>
      <c r="D48" s="12">
        <f>F48</f>
        <v/>
      </c>
      <c r="E48" s="13" t="inlineStr">
        <is>
          <t>11/2004</t>
        </is>
      </c>
      <c r="F48" s="14" t="n">
        <v>312.1089948941477</v>
      </c>
      <c r="G48" s="14" t="n"/>
      <c r="H48" s="15" t="n"/>
      <c r="I48" s="13" t="inlineStr">
        <is>
          <t>Mantido valor original da base (sem extrato)</t>
        </is>
      </c>
      <c r="J48" s="13" t="inlineStr">
        <is>
          <t>—</t>
        </is>
      </c>
      <c r="K48" s="13">
        <f>VALUE(RIGHT(A48,4))</f>
        <v/>
      </c>
      <c r="L48" s="16">
        <f>DATE(VALUE(RIGHT(A48,4)),VALUE(MID(A48,4,2)),1)</f>
        <v/>
      </c>
      <c r="M48" s="17">
        <f>INDEX(IPCA!$D$5:$D$313,MATCH(Distrato!$B$3,IPCA!$A$5:$A$313,0))/INDEX(IPCA!$D$5:$D$313,MATCH(DATE(YEAR(L48),MONTH(L48)-1,1),IPCA!$A$5:$A$313,0))</f>
        <v/>
      </c>
      <c r="N48" s="15">
        <f>IF(L48&gt;Distrato!$B$3,D48,D48*M48)</f>
        <v/>
      </c>
    </row>
    <row r="49" ht="15" customHeight="1">
      <c r="A49" s="18" t="inlineStr">
        <is>
          <t>15/01/2005</t>
        </is>
      </c>
      <c r="B49" s="19" t="inlineStr">
        <is>
          <t>TOTAL CENTRO DE DISTRIBUICAO INTEGRADA LTDA - 12.460.301/0001-87</t>
        </is>
      </c>
      <c r="C49" s="19" t="inlineStr">
        <is>
          <t>FRUGIS REPRESENTACOES LTDA - 11.989.186/0001-70</t>
        </is>
      </c>
      <c r="D49" s="20">
        <f>F49</f>
        <v/>
      </c>
      <c r="E49" s="13" t="inlineStr">
        <is>
          <t>12/2004</t>
        </is>
      </c>
      <c r="F49" s="14" t="n">
        <v>324.8753854804519</v>
      </c>
      <c r="G49" s="14" t="n"/>
      <c r="H49" s="15" t="n"/>
      <c r="I49" s="13" t="inlineStr">
        <is>
          <t>Mantido valor original da base (sem extrato)</t>
        </is>
      </c>
      <c r="J49" s="13" t="inlineStr">
        <is>
          <t>—</t>
        </is>
      </c>
      <c r="K49" s="13">
        <f>VALUE(RIGHT(A49,4))</f>
        <v/>
      </c>
      <c r="L49" s="16">
        <f>DATE(VALUE(RIGHT(A49,4)),VALUE(MID(A49,4,2)),1)</f>
        <v/>
      </c>
      <c r="M49" s="17">
        <f>INDEX(IPCA!$D$5:$D$313,MATCH(Distrato!$B$3,IPCA!$A$5:$A$313,0))/INDEX(IPCA!$D$5:$D$313,MATCH(DATE(YEAR(L49),MONTH(L49)-1,1),IPCA!$A$5:$A$313,0))</f>
        <v/>
      </c>
      <c r="N49" s="15">
        <f>IF(L49&gt;Distrato!$B$3,D49,D49*M49)</f>
        <v/>
      </c>
    </row>
    <row r="50" ht="15" customHeight="1">
      <c r="A50" s="21" t="inlineStr">
        <is>
          <t>15/02/2005</t>
        </is>
      </c>
      <c r="B50" s="22" t="inlineStr">
        <is>
          <t>TOTAL CENTRO DE DISTRIBUICAO INTEGRADA LTDA - 12.460.301/0001-87</t>
        </is>
      </c>
      <c r="C50" s="22" t="inlineStr">
        <is>
          <t>FRUGIS REPRESENTACOES LTDA - 11.989.186/0001-70</t>
        </is>
      </c>
      <c r="D50" s="23">
        <f>G50</f>
        <v/>
      </c>
      <c r="E50" s="24" t="inlineStr">
        <is>
          <t>01/2005</t>
        </is>
      </c>
      <c r="F50" s="25" t="n">
        <v>602.2</v>
      </c>
      <c r="G50" s="25" t="n">
        <v>602.2</v>
      </c>
      <c r="H50" s="26">
        <f>F50-G50</f>
        <v/>
      </c>
      <c r="I50" s="24" t="inlineStr">
        <is>
          <t>Extrato real</t>
        </is>
      </c>
      <c r="J50" s="24" t="inlineStr">
        <is>
          <t>Extrato conta corrente - Tenda</t>
        </is>
      </c>
      <c r="K50" s="24">
        <f>VALUE(RIGHT(A50,4))</f>
        <v/>
      </c>
      <c r="L50" s="16">
        <f>DATE(VALUE(RIGHT(A50,4)),VALUE(MID(A50,4,2)),1)</f>
        <v/>
      </c>
      <c r="M50" s="17">
        <f>INDEX(IPCA!$D$5:$D$313,MATCH(Distrato!$B$3,IPCA!$A$5:$A$313,0))/INDEX(IPCA!$D$5:$D$313,MATCH(DATE(YEAR(L50),MONTH(L50)-1,1),IPCA!$A$5:$A$313,0))</f>
        <v/>
      </c>
      <c r="N50" s="15">
        <f>IF(L50&gt;Distrato!$B$3,D50,D50*M50)</f>
        <v/>
      </c>
    </row>
    <row r="51" ht="15" customHeight="1">
      <c r="A51" s="21" t="inlineStr">
        <is>
          <t>15/03/2005</t>
        </is>
      </c>
      <c r="B51" s="22" t="inlineStr">
        <is>
          <t>TOTAL CENTRO DE DISTRIBUICAO INTEGRADA LTDA - 12.460.301/0001-87</t>
        </is>
      </c>
      <c r="C51" s="22" t="inlineStr">
        <is>
          <t>FRUGIS REPRESENTACOES LTDA - 11.989.186/0001-70</t>
        </is>
      </c>
      <c r="D51" s="23">
        <f>G51</f>
        <v/>
      </c>
      <c r="E51" s="24" t="inlineStr">
        <is>
          <t>02/2005</t>
        </is>
      </c>
      <c r="F51" s="25" t="n">
        <v>217.38</v>
      </c>
      <c r="G51" s="25" t="n">
        <v>217.38</v>
      </c>
      <c r="H51" s="26">
        <f>F51-G51</f>
        <v/>
      </c>
      <c r="I51" s="24" t="inlineStr">
        <is>
          <t>Extrato real</t>
        </is>
      </c>
      <c r="J51" s="24" t="inlineStr">
        <is>
          <t>Extrato conta corrente - Tenda</t>
        </is>
      </c>
      <c r="K51" s="24">
        <f>VALUE(RIGHT(A51,4))</f>
        <v/>
      </c>
      <c r="L51" s="16">
        <f>DATE(VALUE(RIGHT(A51,4)),VALUE(MID(A51,4,2)),1)</f>
        <v/>
      </c>
      <c r="M51" s="17">
        <f>INDEX(IPCA!$D$5:$D$313,MATCH(Distrato!$B$3,IPCA!$A$5:$A$313,0))/INDEX(IPCA!$D$5:$D$313,MATCH(DATE(YEAR(L51),MONTH(L51)-1,1),IPCA!$A$5:$A$313,0))</f>
        <v/>
      </c>
      <c r="N51" s="15">
        <f>IF(L51&gt;Distrato!$B$3,D51,D51*M51)</f>
        <v/>
      </c>
    </row>
    <row r="52" ht="15" customHeight="1">
      <c r="A52" s="21" t="inlineStr">
        <is>
          <t>15/04/2005</t>
        </is>
      </c>
      <c r="B52" s="22" t="inlineStr">
        <is>
          <t>TOTAL CENTRO DE DISTRIBUICAO INTEGRADA LTDA - 12.460.301/0001-87</t>
        </is>
      </c>
      <c r="C52" s="22" t="inlineStr">
        <is>
          <t>FRUGIS REPRESENTACOES LTDA - 11.989.186/0001-70</t>
        </is>
      </c>
      <c r="D52" s="23">
        <f>G52</f>
        <v/>
      </c>
      <c r="E52" s="24" t="inlineStr">
        <is>
          <t>03/2005</t>
        </is>
      </c>
      <c r="F52" s="25" t="n">
        <v>517.9899999999999</v>
      </c>
      <c r="G52" s="25" t="n">
        <v>517.99</v>
      </c>
      <c r="H52" s="26">
        <f>F52-G52</f>
        <v/>
      </c>
      <c r="I52" s="24" t="inlineStr">
        <is>
          <t>Extrato real</t>
        </is>
      </c>
      <c r="J52" s="24" t="inlineStr">
        <is>
          <t>Extrato conta corrente - Tenda</t>
        </is>
      </c>
      <c r="K52" s="24">
        <f>VALUE(RIGHT(A52,4))</f>
        <v/>
      </c>
      <c r="L52" s="16">
        <f>DATE(VALUE(RIGHT(A52,4)),VALUE(MID(A52,4,2)),1)</f>
        <v/>
      </c>
      <c r="M52" s="17">
        <f>INDEX(IPCA!$D$5:$D$313,MATCH(Distrato!$B$3,IPCA!$A$5:$A$313,0))/INDEX(IPCA!$D$5:$D$313,MATCH(DATE(YEAR(L52),MONTH(L52)-1,1),IPCA!$A$5:$A$313,0))</f>
        <v/>
      </c>
      <c r="N52" s="15">
        <f>IF(L52&gt;Distrato!$B$3,D52,D52*M52)</f>
        <v/>
      </c>
    </row>
    <row r="53" ht="15" customHeight="1">
      <c r="A53" s="21" t="inlineStr">
        <is>
          <t>15/05/2005</t>
        </is>
      </c>
      <c r="B53" s="22" t="inlineStr">
        <is>
          <t>TOTAL CENTRO DE DISTRIBUICAO INTEGRADA LTDA - 12.460.301/0001-87</t>
        </is>
      </c>
      <c r="C53" s="22" t="inlineStr">
        <is>
          <t>FRUGIS REPRESENTACOES LTDA - 11.989.186/0001-70</t>
        </is>
      </c>
      <c r="D53" s="23">
        <f>G53</f>
        <v/>
      </c>
      <c r="E53" s="24" t="inlineStr">
        <is>
          <t>04/2005</t>
        </is>
      </c>
      <c r="F53" s="25" t="n">
        <v>226.59</v>
      </c>
      <c r="G53" s="25" t="n">
        <v>226.59</v>
      </c>
      <c r="H53" s="26">
        <f>F53-G53</f>
        <v/>
      </c>
      <c r="I53" s="24" t="inlineStr">
        <is>
          <t>Extrato real</t>
        </is>
      </c>
      <c r="J53" s="24" t="inlineStr">
        <is>
          <t>Extrato conta corrente - Tenda</t>
        </is>
      </c>
      <c r="K53" s="24">
        <f>VALUE(RIGHT(A53,4))</f>
        <v/>
      </c>
      <c r="L53" s="16">
        <f>DATE(VALUE(RIGHT(A53,4)),VALUE(MID(A53,4,2)),1)</f>
        <v/>
      </c>
      <c r="M53" s="17">
        <f>INDEX(IPCA!$D$5:$D$313,MATCH(Distrato!$B$3,IPCA!$A$5:$A$313,0))/INDEX(IPCA!$D$5:$D$313,MATCH(DATE(YEAR(L53),MONTH(L53)-1,1),IPCA!$A$5:$A$313,0))</f>
        <v/>
      </c>
      <c r="N53" s="15">
        <f>IF(L53&gt;Distrato!$B$3,D53,D53*M53)</f>
        <v/>
      </c>
    </row>
    <row r="54" ht="15" customHeight="1">
      <c r="A54" s="21" t="inlineStr">
        <is>
          <t>15/06/2005</t>
        </is>
      </c>
      <c r="B54" s="22" t="inlineStr">
        <is>
          <t>TOTAL CENTRO DE DISTRIBUICAO INTEGRADA LTDA - 12.460.301/0001-87</t>
        </is>
      </c>
      <c r="C54" s="22" t="inlineStr">
        <is>
          <t>FRUGIS REPRESENTACOES LTDA - 11.989.186/0001-70</t>
        </is>
      </c>
      <c r="D54" s="23">
        <f>G54</f>
        <v/>
      </c>
      <c r="E54" s="24" t="inlineStr">
        <is>
          <t>05/2005</t>
        </is>
      </c>
      <c r="F54" s="25" t="n">
        <v>315.4</v>
      </c>
      <c r="G54" s="25" t="n">
        <v>315.4</v>
      </c>
      <c r="H54" s="26">
        <f>F54-G54</f>
        <v/>
      </c>
      <c r="I54" s="24" t="inlineStr">
        <is>
          <t>Extrato real</t>
        </is>
      </c>
      <c r="J54" s="24" t="inlineStr">
        <is>
          <t>Extrato conta corrente - Tenda</t>
        </is>
      </c>
      <c r="K54" s="24">
        <f>VALUE(RIGHT(A54,4))</f>
        <v/>
      </c>
      <c r="L54" s="16">
        <f>DATE(VALUE(RIGHT(A54,4)),VALUE(MID(A54,4,2)),1)</f>
        <v/>
      </c>
      <c r="M54" s="17">
        <f>INDEX(IPCA!$D$5:$D$313,MATCH(Distrato!$B$3,IPCA!$A$5:$A$313,0))/INDEX(IPCA!$D$5:$D$313,MATCH(DATE(YEAR(L54),MONTH(L54)-1,1),IPCA!$A$5:$A$313,0))</f>
        <v/>
      </c>
      <c r="N54" s="15">
        <f>IF(L54&gt;Distrato!$B$3,D54,D54*M54)</f>
        <v/>
      </c>
    </row>
    <row r="55" ht="15" customHeight="1">
      <c r="A55" s="21" t="inlineStr">
        <is>
          <t>15/07/2005</t>
        </is>
      </c>
      <c r="B55" s="22" t="inlineStr">
        <is>
          <t>TOTAL CENTRO DE DISTRIBUICAO INTEGRADA LTDA - 12.460.301/0001-87</t>
        </is>
      </c>
      <c r="C55" s="22" t="inlineStr">
        <is>
          <t>FRUGIS REPRESENTACOES LTDA - 11.989.186/0001-70</t>
        </is>
      </c>
      <c r="D55" s="23">
        <f>G55</f>
        <v/>
      </c>
      <c r="E55" s="24" t="inlineStr">
        <is>
          <t>06/2005</t>
        </is>
      </c>
      <c r="F55" s="25" t="n">
        <v>368.97</v>
      </c>
      <c r="G55" s="25" t="n">
        <v>368.97</v>
      </c>
      <c r="H55" s="26">
        <f>F55-G55</f>
        <v/>
      </c>
      <c r="I55" s="24" t="inlineStr">
        <is>
          <t>Extrato real</t>
        </is>
      </c>
      <c r="J55" s="24" t="inlineStr">
        <is>
          <t>Extrato conta corrente - Tenda</t>
        </is>
      </c>
      <c r="K55" s="24">
        <f>VALUE(RIGHT(A55,4))</f>
        <v/>
      </c>
      <c r="L55" s="16">
        <f>DATE(VALUE(RIGHT(A55,4)),VALUE(MID(A55,4,2)),1)</f>
        <v/>
      </c>
      <c r="M55" s="17">
        <f>INDEX(IPCA!$D$5:$D$313,MATCH(Distrato!$B$3,IPCA!$A$5:$A$313,0))/INDEX(IPCA!$D$5:$D$313,MATCH(DATE(YEAR(L55),MONTH(L55)-1,1),IPCA!$A$5:$A$313,0))</f>
        <v/>
      </c>
      <c r="N55" s="15">
        <f>IF(L55&gt;Distrato!$B$3,D55,D55*M55)</f>
        <v/>
      </c>
    </row>
    <row r="56" ht="15" customHeight="1">
      <c r="A56" s="21" t="inlineStr">
        <is>
          <t>15/08/2005</t>
        </is>
      </c>
      <c r="B56" s="22" t="inlineStr">
        <is>
          <t>TOTAL CENTRO DE DISTRIBUICAO INTEGRADA LTDA - 12.460.301/0001-87</t>
        </is>
      </c>
      <c r="C56" s="22" t="inlineStr">
        <is>
          <t>FRUGIS REPRESENTACOES LTDA - 11.989.186/0001-70</t>
        </is>
      </c>
      <c r="D56" s="23">
        <f>G56</f>
        <v/>
      </c>
      <c r="E56" s="24" t="inlineStr">
        <is>
          <t>07/2005</t>
        </is>
      </c>
      <c r="F56" s="25" t="n">
        <v>163.91</v>
      </c>
      <c r="G56" s="25" t="n">
        <v>163.91</v>
      </c>
      <c r="H56" s="26">
        <f>F56-G56</f>
        <v/>
      </c>
      <c r="I56" s="24" t="inlineStr">
        <is>
          <t>Extrato real</t>
        </is>
      </c>
      <c r="J56" s="24" t="inlineStr">
        <is>
          <t>Extrato conta corrente - Tenda</t>
        </is>
      </c>
      <c r="K56" s="24">
        <f>VALUE(RIGHT(A56,4))</f>
        <v/>
      </c>
      <c r="L56" s="16">
        <f>DATE(VALUE(RIGHT(A56,4)),VALUE(MID(A56,4,2)),1)</f>
        <v/>
      </c>
      <c r="M56" s="17">
        <f>INDEX(IPCA!$D$5:$D$313,MATCH(Distrato!$B$3,IPCA!$A$5:$A$313,0))/INDEX(IPCA!$D$5:$D$313,MATCH(DATE(YEAR(L56),MONTH(L56)-1,1),IPCA!$A$5:$A$313,0))</f>
        <v/>
      </c>
      <c r="N56" s="15">
        <f>IF(L56&gt;Distrato!$B$3,D56,D56*M56)</f>
        <v/>
      </c>
    </row>
    <row r="57" ht="15" customHeight="1">
      <c r="A57" s="21" t="inlineStr">
        <is>
          <t>15/09/2005</t>
        </is>
      </c>
      <c r="B57" s="22" t="inlineStr">
        <is>
          <t>TOTAL CENTRO DE DISTRIBUICAO INTEGRADA LTDA - 12.460.301/0001-87</t>
        </is>
      </c>
      <c r="C57" s="22" t="inlineStr">
        <is>
          <t>FRUGIS REPRESENTACOES LTDA - 11.989.186/0001-70</t>
        </is>
      </c>
      <c r="D57" s="23">
        <f>G57</f>
        <v/>
      </c>
      <c r="E57" s="24" t="inlineStr">
        <is>
          <t>08/2005</t>
        </is>
      </c>
      <c r="F57" s="25" t="n">
        <v>295.13</v>
      </c>
      <c r="G57" s="25" t="n">
        <v>295.13</v>
      </c>
      <c r="H57" s="26">
        <f>F57-G57</f>
        <v/>
      </c>
      <c r="I57" s="24" t="inlineStr">
        <is>
          <t>Extrato real</t>
        </is>
      </c>
      <c r="J57" s="24" t="inlineStr">
        <is>
          <t>Extrato conta corrente - Tenda</t>
        </is>
      </c>
      <c r="K57" s="24">
        <f>VALUE(RIGHT(A57,4))</f>
        <v/>
      </c>
      <c r="L57" s="16">
        <f>DATE(VALUE(RIGHT(A57,4)),VALUE(MID(A57,4,2)),1)</f>
        <v/>
      </c>
      <c r="M57" s="17">
        <f>INDEX(IPCA!$D$5:$D$313,MATCH(Distrato!$B$3,IPCA!$A$5:$A$313,0))/INDEX(IPCA!$D$5:$D$313,MATCH(DATE(YEAR(L57),MONTH(L57)-1,1),IPCA!$A$5:$A$313,0))</f>
        <v/>
      </c>
      <c r="N57" s="15">
        <f>IF(L57&gt;Distrato!$B$3,D57,D57*M57)</f>
        <v/>
      </c>
    </row>
    <row r="58" ht="15" customHeight="1">
      <c r="A58" s="21" t="inlineStr">
        <is>
          <t>15/10/2005</t>
        </is>
      </c>
      <c r="B58" s="22" t="inlineStr">
        <is>
          <t>TOTAL CENTRO DE DISTRIBUICAO INTEGRADA LTDA - 12.460.301/0001-87</t>
        </is>
      </c>
      <c r="C58" s="22" t="inlineStr">
        <is>
          <t>FRUGIS REPRESENTACOES LTDA - 11.989.186/0001-70</t>
        </is>
      </c>
      <c r="D58" s="23">
        <f>G58</f>
        <v/>
      </c>
      <c r="E58" s="24" t="inlineStr">
        <is>
          <t>09/2005</t>
        </is>
      </c>
      <c r="F58" s="25" t="n">
        <v>314.69</v>
      </c>
      <c r="G58" s="25" t="n">
        <v>314.69</v>
      </c>
      <c r="H58" s="26">
        <f>F58-G58</f>
        <v/>
      </c>
      <c r="I58" s="24" t="inlineStr">
        <is>
          <t>Extrato real</t>
        </is>
      </c>
      <c r="J58" s="24" t="inlineStr">
        <is>
          <t>Extrato conta corrente - Tenda</t>
        </is>
      </c>
      <c r="K58" s="24">
        <f>VALUE(RIGHT(A58,4))</f>
        <v/>
      </c>
      <c r="L58" s="16">
        <f>DATE(VALUE(RIGHT(A58,4)),VALUE(MID(A58,4,2)),1)</f>
        <v/>
      </c>
      <c r="M58" s="17">
        <f>INDEX(IPCA!$D$5:$D$313,MATCH(Distrato!$B$3,IPCA!$A$5:$A$313,0))/INDEX(IPCA!$D$5:$D$313,MATCH(DATE(YEAR(L58),MONTH(L58)-1,1),IPCA!$A$5:$A$313,0))</f>
        <v/>
      </c>
      <c r="N58" s="15">
        <f>IF(L58&gt;Distrato!$B$3,D58,D58*M58)</f>
        <v/>
      </c>
    </row>
    <row r="59" ht="15" customHeight="1">
      <c r="A59" s="21" t="inlineStr">
        <is>
          <t>15/11/2005</t>
        </is>
      </c>
      <c r="B59" s="22" t="inlineStr">
        <is>
          <t>TOTAL CENTRO DE DISTRIBUICAO INTEGRADA LTDA - 12.460.301/0001-87</t>
        </is>
      </c>
      <c r="C59" s="22" t="inlineStr">
        <is>
          <t>FRUGIS REPRESENTACOES LTDA - 11.989.186/0001-70</t>
        </is>
      </c>
      <c r="D59" s="23">
        <f>G59</f>
        <v/>
      </c>
      <c r="E59" s="24" t="inlineStr">
        <is>
          <t>10/2005</t>
        </is>
      </c>
      <c r="F59" s="25" t="n">
        <v>258.22</v>
      </c>
      <c r="G59" s="25" t="n">
        <v>258.22</v>
      </c>
      <c r="H59" s="26">
        <f>F59-G59</f>
        <v/>
      </c>
      <c r="I59" s="24" t="inlineStr">
        <is>
          <t>Extrato real</t>
        </is>
      </c>
      <c r="J59" s="24" t="inlineStr">
        <is>
          <t>Extrato conta corrente - Tenda</t>
        </is>
      </c>
      <c r="K59" s="24">
        <f>VALUE(RIGHT(A59,4))</f>
        <v/>
      </c>
      <c r="L59" s="16">
        <f>DATE(VALUE(RIGHT(A59,4)),VALUE(MID(A59,4,2)),1)</f>
        <v/>
      </c>
      <c r="M59" s="17">
        <f>INDEX(IPCA!$D$5:$D$313,MATCH(Distrato!$B$3,IPCA!$A$5:$A$313,0))/INDEX(IPCA!$D$5:$D$313,MATCH(DATE(YEAR(L59),MONTH(L59)-1,1),IPCA!$A$5:$A$313,0))</f>
        <v/>
      </c>
      <c r="N59" s="15">
        <f>IF(L59&gt;Distrato!$B$3,D59,D59*M59)</f>
        <v/>
      </c>
    </row>
    <row r="60" ht="15" customHeight="1">
      <c r="A60" s="21" t="inlineStr">
        <is>
          <t>15/12/2005</t>
        </is>
      </c>
      <c r="B60" s="22" t="inlineStr">
        <is>
          <t>TOTAL CENTRO DE DISTRIBUICAO INTEGRADA LTDA - 12.460.301/0001-87</t>
        </is>
      </c>
      <c r="C60" s="22" t="inlineStr">
        <is>
          <t>FRUGIS REPRESENTACOES LTDA - 11.989.186/0001-70</t>
        </is>
      </c>
      <c r="D60" s="23">
        <f>G60</f>
        <v/>
      </c>
      <c r="E60" s="24" t="inlineStr">
        <is>
          <t>11/2005</t>
        </is>
      </c>
      <c r="F60" s="25" t="n">
        <v>253.8499999999999</v>
      </c>
      <c r="G60" s="25" t="n">
        <v>253.85</v>
      </c>
      <c r="H60" s="26">
        <f>F60-G60</f>
        <v/>
      </c>
      <c r="I60" s="24" t="inlineStr">
        <is>
          <t>Extrato real</t>
        </is>
      </c>
      <c r="J60" s="24" t="inlineStr">
        <is>
          <t>Extrato conta corrente - Tenda</t>
        </is>
      </c>
      <c r="K60" s="24">
        <f>VALUE(RIGHT(A60,4))</f>
        <v/>
      </c>
      <c r="L60" s="16">
        <f>DATE(VALUE(RIGHT(A60,4)),VALUE(MID(A60,4,2)),1)</f>
        <v/>
      </c>
      <c r="M60" s="17">
        <f>INDEX(IPCA!$D$5:$D$313,MATCH(Distrato!$B$3,IPCA!$A$5:$A$313,0))/INDEX(IPCA!$D$5:$D$313,MATCH(DATE(YEAR(L60),MONTH(L60)-1,1),IPCA!$A$5:$A$313,0))</f>
        <v/>
      </c>
      <c r="N60" s="15">
        <f>IF(L60&gt;Distrato!$B$3,D60,D60*M60)</f>
        <v/>
      </c>
    </row>
    <row r="61" ht="15" customHeight="1">
      <c r="A61" s="21" t="inlineStr">
        <is>
          <t>15/01/2006</t>
        </is>
      </c>
      <c r="B61" s="22" t="inlineStr">
        <is>
          <t>TOTAL CENTRO DE DISTRIBUICAO INTEGRADA LTDA - 12.460.301/0001-87</t>
        </is>
      </c>
      <c r="C61" s="22" t="inlineStr">
        <is>
          <t>FRUGIS REPRESENTACOES LTDA - 11.989.186/0001-70</t>
        </is>
      </c>
      <c r="D61" s="23">
        <f>G61</f>
        <v/>
      </c>
      <c r="E61" s="24" t="inlineStr">
        <is>
          <t>12/2005</t>
        </is>
      </c>
      <c r="F61" s="25" t="n">
        <v>666.8499999999999</v>
      </c>
      <c r="G61" s="25" t="n">
        <v>666.85</v>
      </c>
      <c r="H61" s="26">
        <f>F61-G61</f>
        <v/>
      </c>
      <c r="I61" s="24" t="inlineStr">
        <is>
          <t>Extrato real</t>
        </is>
      </c>
      <c r="J61" s="24" t="inlineStr">
        <is>
          <t>Extrato conta corrente - Tenda</t>
        </is>
      </c>
      <c r="K61" s="24">
        <f>VALUE(RIGHT(A61,4))</f>
        <v/>
      </c>
      <c r="L61" s="16">
        <f>DATE(VALUE(RIGHT(A61,4)),VALUE(MID(A61,4,2)),1)</f>
        <v/>
      </c>
      <c r="M61" s="17">
        <f>INDEX(IPCA!$D$5:$D$313,MATCH(Distrato!$B$3,IPCA!$A$5:$A$313,0))/INDEX(IPCA!$D$5:$D$313,MATCH(DATE(YEAR(L61),MONTH(L61)-1,1),IPCA!$A$5:$A$313,0))</f>
        <v/>
      </c>
      <c r="N61" s="15">
        <f>IF(L61&gt;Distrato!$B$3,D61,D61*M61)</f>
        <v/>
      </c>
    </row>
    <row r="62" ht="15" customHeight="1">
      <c r="A62" s="21" t="inlineStr">
        <is>
          <t>15/02/2006</t>
        </is>
      </c>
      <c r="B62" s="22" t="inlineStr">
        <is>
          <t>TOTAL CENTRO DE DISTRIBUICAO INTEGRADA LTDA - 12.460.301/0001-87</t>
        </is>
      </c>
      <c r="C62" s="22" t="inlineStr">
        <is>
          <t>FRUGIS REPRESENTACOES LTDA - 11.989.186/0001-70</t>
        </is>
      </c>
      <c r="D62" s="23">
        <f>G62</f>
        <v/>
      </c>
      <c r="E62" s="24" t="inlineStr">
        <is>
          <t>01/2006</t>
        </is>
      </c>
      <c r="F62" s="25" t="n">
        <v>179.62</v>
      </c>
      <c r="G62" s="25" t="n">
        <v>179.62</v>
      </c>
      <c r="H62" s="26">
        <f>F62-G62</f>
        <v/>
      </c>
      <c r="I62" s="24" t="inlineStr">
        <is>
          <t>Extrato real</t>
        </is>
      </c>
      <c r="J62" s="24" t="inlineStr">
        <is>
          <t>Extrato conta corrente - Tenda</t>
        </is>
      </c>
      <c r="K62" s="24">
        <f>VALUE(RIGHT(A62,4))</f>
        <v/>
      </c>
      <c r="L62" s="16">
        <f>DATE(VALUE(RIGHT(A62,4)),VALUE(MID(A62,4,2)),1)</f>
        <v/>
      </c>
      <c r="M62" s="17">
        <f>INDEX(IPCA!$D$5:$D$313,MATCH(Distrato!$B$3,IPCA!$A$5:$A$313,0))/INDEX(IPCA!$D$5:$D$313,MATCH(DATE(YEAR(L62),MONTH(L62)-1,1),IPCA!$A$5:$A$313,0))</f>
        <v/>
      </c>
      <c r="N62" s="15">
        <f>IF(L62&gt;Distrato!$B$3,D62,D62*M62)</f>
        <v/>
      </c>
    </row>
    <row r="63" ht="15" customHeight="1">
      <c r="A63" s="21" t="inlineStr">
        <is>
          <t>15/03/2006</t>
        </is>
      </c>
      <c r="B63" s="22" t="inlineStr">
        <is>
          <t>TOTAL CENTRO DE DISTRIBUICAO INTEGRADA LTDA - 12.460.301/0001-87</t>
        </is>
      </c>
      <c r="C63" s="22" t="inlineStr">
        <is>
          <t>FRUGIS REPRESENTACOES LTDA - 11.989.186/0001-70</t>
        </is>
      </c>
      <c r="D63" s="23">
        <f>G63</f>
        <v/>
      </c>
      <c r="E63" s="24" t="inlineStr">
        <is>
          <t>02/2006</t>
        </is>
      </c>
      <c r="F63" s="25" t="n">
        <v>444.17</v>
      </c>
      <c r="G63" s="25" t="n">
        <v>444.17</v>
      </c>
      <c r="H63" s="26">
        <f>F63-G63</f>
        <v/>
      </c>
      <c r="I63" s="24" t="inlineStr">
        <is>
          <t>Extrato real</t>
        </is>
      </c>
      <c r="J63" s="24" t="inlineStr">
        <is>
          <t>Extrato conta corrente - Tenda</t>
        </is>
      </c>
      <c r="K63" s="24">
        <f>VALUE(RIGHT(A63,4))</f>
        <v/>
      </c>
      <c r="L63" s="16">
        <f>DATE(VALUE(RIGHT(A63,4)),VALUE(MID(A63,4,2)),1)</f>
        <v/>
      </c>
      <c r="M63" s="17">
        <f>INDEX(IPCA!$D$5:$D$313,MATCH(Distrato!$B$3,IPCA!$A$5:$A$313,0))/INDEX(IPCA!$D$5:$D$313,MATCH(DATE(YEAR(L63),MONTH(L63)-1,1),IPCA!$A$5:$A$313,0))</f>
        <v/>
      </c>
      <c r="N63" s="15">
        <f>IF(L63&gt;Distrato!$B$3,D63,D63*M63)</f>
        <v/>
      </c>
    </row>
    <row r="64" ht="15" customHeight="1">
      <c r="A64" s="21" t="inlineStr">
        <is>
          <t>15/04/2006</t>
        </is>
      </c>
      <c r="B64" s="22" t="inlineStr">
        <is>
          <t>TOTAL CENTRO DE DISTRIBUICAO INTEGRADA LTDA - 12.460.301/0001-87</t>
        </is>
      </c>
      <c r="C64" s="22" t="inlineStr">
        <is>
          <t>FRUGIS REPRESENTACOES LTDA - 11.989.186/0001-70</t>
        </is>
      </c>
      <c r="D64" s="23">
        <f>G64</f>
        <v/>
      </c>
      <c r="E64" s="24" t="inlineStr">
        <is>
          <t>03/2006</t>
        </is>
      </c>
      <c r="F64" s="25" t="n">
        <v>535.36</v>
      </c>
      <c r="G64" s="25" t="n">
        <v>535.36</v>
      </c>
      <c r="H64" s="26">
        <f>F64-G64</f>
        <v/>
      </c>
      <c r="I64" s="24" t="inlineStr">
        <is>
          <t>Extrato real</t>
        </is>
      </c>
      <c r="J64" s="24" t="inlineStr">
        <is>
          <t>Extrato conta corrente - Tenda</t>
        </is>
      </c>
      <c r="K64" s="24">
        <f>VALUE(RIGHT(A64,4))</f>
        <v/>
      </c>
      <c r="L64" s="16">
        <f>DATE(VALUE(RIGHT(A64,4)),VALUE(MID(A64,4,2)),1)</f>
        <v/>
      </c>
      <c r="M64" s="17">
        <f>INDEX(IPCA!$D$5:$D$313,MATCH(Distrato!$B$3,IPCA!$A$5:$A$313,0))/INDEX(IPCA!$D$5:$D$313,MATCH(DATE(YEAR(L64),MONTH(L64)-1,1),IPCA!$A$5:$A$313,0))</f>
        <v/>
      </c>
      <c r="N64" s="15">
        <f>IF(L64&gt;Distrato!$B$3,D64,D64*M64)</f>
        <v/>
      </c>
    </row>
    <row r="65" ht="15" customHeight="1">
      <c r="A65" s="21" t="inlineStr">
        <is>
          <t>15/05/2006</t>
        </is>
      </c>
      <c r="B65" s="22" t="inlineStr">
        <is>
          <t>TOTAL CENTRO DE DISTRIBUICAO INTEGRADA LTDA - 12.460.301/0001-87</t>
        </is>
      </c>
      <c r="C65" s="22" t="inlineStr">
        <is>
          <t>FRUGIS REPRESENTACOES LTDA - 11.989.186/0001-70</t>
        </is>
      </c>
      <c r="D65" s="23">
        <f>G65</f>
        <v/>
      </c>
      <c r="E65" s="24" t="inlineStr">
        <is>
          <t>04/2006</t>
        </is>
      </c>
      <c r="F65" s="25" t="n">
        <v>860.6800000000001</v>
      </c>
      <c r="G65" s="25" t="n">
        <v>860.6799999999999</v>
      </c>
      <c r="H65" s="26">
        <f>F65-G65</f>
        <v/>
      </c>
      <c r="I65" s="24" t="inlineStr">
        <is>
          <t>Extrato real</t>
        </is>
      </c>
      <c r="J65" s="24" t="inlineStr">
        <is>
          <t>Extrato conta corrente - Tenda</t>
        </is>
      </c>
      <c r="K65" s="24">
        <f>VALUE(RIGHT(A65,4))</f>
        <v/>
      </c>
      <c r="L65" s="16">
        <f>DATE(VALUE(RIGHT(A65,4)),VALUE(MID(A65,4,2)),1)</f>
        <v/>
      </c>
      <c r="M65" s="17">
        <f>INDEX(IPCA!$D$5:$D$313,MATCH(Distrato!$B$3,IPCA!$A$5:$A$313,0))/INDEX(IPCA!$D$5:$D$313,MATCH(DATE(YEAR(L65),MONTH(L65)-1,1),IPCA!$A$5:$A$313,0))</f>
        <v/>
      </c>
      <c r="N65" s="15">
        <f>IF(L65&gt;Distrato!$B$3,D65,D65*M65)</f>
        <v/>
      </c>
    </row>
    <row r="66" ht="15" customHeight="1">
      <c r="A66" s="21" t="inlineStr">
        <is>
          <t>15/06/2006</t>
        </is>
      </c>
      <c r="B66" s="22" t="inlineStr">
        <is>
          <t>TOTAL CENTRO DE DISTRIBUICAO INTEGRADA LTDA - 12.460.301/0001-87</t>
        </is>
      </c>
      <c r="C66" s="22" t="inlineStr">
        <is>
          <t>FRUGIS REPRESENTACOES LTDA - 11.989.186/0001-70</t>
        </is>
      </c>
      <c r="D66" s="23">
        <f>G66</f>
        <v/>
      </c>
      <c r="E66" s="24" t="inlineStr">
        <is>
          <t>05/2006</t>
        </is>
      </c>
      <c r="F66" s="25" t="n">
        <v>346.98</v>
      </c>
      <c r="G66" s="25" t="n">
        <v>346.98</v>
      </c>
      <c r="H66" s="26">
        <f>F66-G66</f>
        <v/>
      </c>
      <c r="I66" s="24" t="inlineStr">
        <is>
          <t>Extrato real</t>
        </is>
      </c>
      <c r="J66" s="24" t="inlineStr">
        <is>
          <t>Extrato conta corrente - Tenda</t>
        </is>
      </c>
      <c r="K66" s="24">
        <f>VALUE(RIGHT(A66,4))</f>
        <v/>
      </c>
      <c r="L66" s="16">
        <f>DATE(VALUE(RIGHT(A66,4)),VALUE(MID(A66,4,2)),1)</f>
        <v/>
      </c>
      <c r="M66" s="17">
        <f>INDEX(IPCA!$D$5:$D$313,MATCH(Distrato!$B$3,IPCA!$A$5:$A$313,0))/INDEX(IPCA!$D$5:$D$313,MATCH(DATE(YEAR(L66),MONTH(L66)-1,1),IPCA!$A$5:$A$313,0))</f>
        <v/>
      </c>
      <c r="N66" s="15">
        <f>IF(L66&gt;Distrato!$B$3,D66,D66*M66)</f>
        <v/>
      </c>
    </row>
    <row r="67" ht="15" customHeight="1">
      <c r="A67" s="21" t="inlineStr">
        <is>
          <t>15/07/2006</t>
        </is>
      </c>
      <c r="B67" s="22" t="inlineStr">
        <is>
          <t>TOTAL CENTRO DE DISTRIBUICAO INTEGRADA LTDA - 12.460.301/0001-87</t>
        </is>
      </c>
      <c r="C67" s="22" t="inlineStr">
        <is>
          <t>FRUGIS REPRESENTACOES LTDA - 11.989.186/0001-70</t>
        </is>
      </c>
      <c r="D67" s="23">
        <f>G67</f>
        <v/>
      </c>
      <c r="E67" s="24" t="inlineStr">
        <is>
          <t>06/2006</t>
        </is>
      </c>
      <c r="F67" s="25" t="n">
        <v>276.49</v>
      </c>
      <c r="G67" s="25" t="n">
        <v>276.49</v>
      </c>
      <c r="H67" s="26">
        <f>F67-G67</f>
        <v/>
      </c>
      <c r="I67" s="24" t="inlineStr">
        <is>
          <t>Extrato real</t>
        </is>
      </c>
      <c r="J67" s="24" t="inlineStr">
        <is>
          <t>Extrato conta corrente - Tenda</t>
        </is>
      </c>
      <c r="K67" s="24">
        <f>VALUE(RIGHT(A67,4))</f>
        <v/>
      </c>
      <c r="L67" s="16">
        <f>DATE(VALUE(RIGHT(A67,4)),VALUE(MID(A67,4,2)),1)</f>
        <v/>
      </c>
      <c r="M67" s="17">
        <f>INDEX(IPCA!$D$5:$D$313,MATCH(Distrato!$B$3,IPCA!$A$5:$A$313,0))/INDEX(IPCA!$D$5:$D$313,MATCH(DATE(YEAR(L67),MONTH(L67)-1,1),IPCA!$A$5:$A$313,0))</f>
        <v/>
      </c>
      <c r="N67" s="15">
        <f>IF(L67&gt;Distrato!$B$3,D67,D67*M67)</f>
        <v/>
      </c>
    </row>
    <row r="68" ht="15" customHeight="1">
      <c r="A68" s="21" t="inlineStr">
        <is>
          <t>15/08/2006</t>
        </is>
      </c>
      <c r="B68" s="22" t="inlineStr">
        <is>
          <t>TOTAL CENTRO DE DISTRIBUICAO INTEGRADA LTDA - 12.460.301/0001-87</t>
        </is>
      </c>
      <c r="C68" s="22" t="inlineStr">
        <is>
          <t>FRUGIS REPRESENTACOES LTDA - 11.989.186/0001-70</t>
        </is>
      </c>
      <c r="D68" s="23">
        <f>G68</f>
        <v/>
      </c>
      <c r="E68" s="24" t="inlineStr">
        <is>
          <t>07/2006</t>
        </is>
      </c>
      <c r="F68" s="25" t="n">
        <v>379.97</v>
      </c>
      <c r="G68" s="25" t="n">
        <v>379.97</v>
      </c>
      <c r="H68" s="26">
        <f>F68-G68</f>
        <v/>
      </c>
      <c r="I68" s="24" t="inlineStr">
        <is>
          <t>Extrato real</t>
        </is>
      </c>
      <c r="J68" s="24" t="inlineStr">
        <is>
          <t>Extrato conta corrente - Tenda</t>
        </is>
      </c>
      <c r="K68" s="24">
        <f>VALUE(RIGHT(A68,4))</f>
        <v/>
      </c>
      <c r="L68" s="16">
        <f>DATE(VALUE(RIGHT(A68,4)),VALUE(MID(A68,4,2)),1)</f>
        <v/>
      </c>
      <c r="M68" s="17">
        <f>INDEX(IPCA!$D$5:$D$313,MATCH(Distrato!$B$3,IPCA!$A$5:$A$313,0))/INDEX(IPCA!$D$5:$D$313,MATCH(DATE(YEAR(L68),MONTH(L68)-1,1),IPCA!$A$5:$A$313,0))</f>
        <v/>
      </c>
      <c r="N68" s="15">
        <f>IF(L68&gt;Distrato!$B$3,D68,D68*M68)</f>
        <v/>
      </c>
    </row>
    <row r="69" ht="15" customHeight="1">
      <c r="A69" s="21" t="inlineStr">
        <is>
          <t>15/09/2006</t>
        </is>
      </c>
      <c r="B69" s="22" t="inlineStr">
        <is>
          <t>TOTAL CENTRO DE DISTRIBUICAO INTEGRADA LTDA - 12.460.301/0001-87</t>
        </is>
      </c>
      <c r="C69" s="22" t="inlineStr">
        <is>
          <t>FRUGIS REPRESENTACOES LTDA - 11.989.186/0001-70</t>
        </is>
      </c>
      <c r="D69" s="23">
        <f>G69</f>
        <v/>
      </c>
      <c r="E69" s="24" t="inlineStr">
        <is>
          <t>08/2006</t>
        </is>
      </c>
      <c r="F69" s="25" t="n">
        <v>852.8799999999999</v>
      </c>
      <c r="G69" s="25" t="n">
        <v>852.88</v>
      </c>
      <c r="H69" s="26">
        <f>F69-G69</f>
        <v/>
      </c>
      <c r="I69" s="24" t="inlineStr">
        <is>
          <t>Extrato real</t>
        </is>
      </c>
      <c r="J69" s="24" t="inlineStr">
        <is>
          <t>Extrato conta corrente - Tenda</t>
        </is>
      </c>
      <c r="K69" s="24">
        <f>VALUE(RIGHT(A69,4))</f>
        <v/>
      </c>
      <c r="L69" s="16">
        <f>DATE(VALUE(RIGHT(A69,4)),VALUE(MID(A69,4,2)),1)</f>
        <v/>
      </c>
      <c r="M69" s="17">
        <f>INDEX(IPCA!$D$5:$D$313,MATCH(Distrato!$B$3,IPCA!$A$5:$A$313,0))/INDEX(IPCA!$D$5:$D$313,MATCH(DATE(YEAR(L69),MONTH(L69)-1,1),IPCA!$A$5:$A$313,0))</f>
        <v/>
      </c>
      <c r="N69" s="15">
        <f>IF(L69&gt;Distrato!$B$3,D69,D69*M69)</f>
        <v/>
      </c>
    </row>
    <row r="70" ht="15" customHeight="1">
      <c r="A70" s="21" t="inlineStr">
        <is>
          <t>15/10/2006</t>
        </is>
      </c>
      <c r="B70" s="22" t="inlineStr">
        <is>
          <t>TOTAL CENTRO DE DISTRIBUICAO INTEGRADA LTDA - 12.460.301/0001-87</t>
        </is>
      </c>
      <c r="C70" s="22" t="inlineStr">
        <is>
          <t>FRUGIS REPRESENTACOES LTDA - 11.989.186/0001-70</t>
        </is>
      </c>
      <c r="D70" s="23">
        <f>G70</f>
        <v/>
      </c>
      <c r="E70" s="24" t="inlineStr">
        <is>
          <t>09/2006</t>
        </is>
      </c>
      <c r="F70" s="25" t="n">
        <v>1041.52</v>
      </c>
      <c r="G70" s="25" t="n">
        <v>1041.52</v>
      </c>
      <c r="H70" s="26">
        <f>F70-G70</f>
        <v/>
      </c>
      <c r="I70" s="24" t="inlineStr">
        <is>
          <t>Extrato real</t>
        </is>
      </c>
      <c r="J70" s="24" t="inlineStr">
        <is>
          <t>Extrato conta corrente - Tenda</t>
        </is>
      </c>
      <c r="K70" s="24">
        <f>VALUE(RIGHT(A70,4))</f>
        <v/>
      </c>
      <c r="L70" s="16">
        <f>DATE(VALUE(RIGHT(A70,4)),VALUE(MID(A70,4,2)),1)</f>
        <v/>
      </c>
      <c r="M70" s="17">
        <f>INDEX(IPCA!$D$5:$D$313,MATCH(Distrato!$B$3,IPCA!$A$5:$A$313,0))/INDEX(IPCA!$D$5:$D$313,MATCH(DATE(YEAR(L70),MONTH(L70)-1,1),IPCA!$A$5:$A$313,0))</f>
        <v/>
      </c>
      <c r="N70" s="15">
        <f>IF(L70&gt;Distrato!$B$3,D70,D70*M70)</f>
        <v/>
      </c>
    </row>
    <row r="71" ht="15" customHeight="1">
      <c r="A71" s="21" t="inlineStr">
        <is>
          <t>15/11/2006</t>
        </is>
      </c>
      <c r="B71" s="22" t="inlineStr">
        <is>
          <t>TOTAL CENTRO DE DISTRIBUICAO INTEGRADA LTDA - 12.460.301/0001-87</t>
        </is>
      </c>
      <c r="C71" s="22" t="inlineStr">
        <is>
          <t>FRUGIS REPRESENTACOES LTDA - 11.989.186/0001-70</t>
        </is>
      </c>
      <c r="D71" s="23">
        <f>G71</f>
        <v/>
      </c>
      <c r="E71" s="24" t="inlineStr">
        <is>
          <t>10/2006</t>
        </is>
      </c>
      <c r="F71" s="25" t="n">
        <v>774.0900000000001</v>
      </c>
      <c r="G71" s="25" t="n">
        <v>774.09</v>
      </c>
      <c r="H71" s="26">
        <f>F71-G71</f>
        <v/>
      </c>
      <c r="I71" s="24" t="inlineStr">
        <is>
          <t>Extrato real</t>
        </is>
      </c>
      <c r="J71" s="24" t="inlineStr">
        <is>
          <t>Extrato conta corrente - Tenda</t>
        </is>
      </c>
      <c r="K71" s="24">
        <f>VALUE(RIGHT(A71,4))</f>
        <v/>
      </c>
      <c r="L71" s="16">
        <f>DATE(VALUE(RIGHT(A71,4)),VALUE(MID(A71,4,2)),1)</f>
        <v/>
      </c>
      <c r="M71" s="17">
        <f>INDEX(IPCA!$D$5:$D$313,MATCH(Distrato!$B$3,IPCA!$A$5:$A$313,0))/INDEX(IPCA!$D$5:$D$313,MATCH(DATE(YEAR(L71),MONTH(L71)-1,1),IPCA!$A$5:$A$313,0))</f>
        <v/>
      </c>
      <c r="N71" s="15">
        <f>IF(L71&gt;Distrato!$B$3,D71,D71*M71)</f>
        <v/>
      </c>
    </row>
    <row r="72" ht="15" customHeight="1">
      <c r="A72" s="21" t="inlineStr">
        <is>
          <t>15/12/2006</t>
        </is>
      </c>
      <c r="B72" s="22" t="inlineStr">
        <is>
          <t>TOTAL CENTRO DE DISTRIBUICAO INTEGRADA LTDA - 12.460.301/0001-87</t>
        </is>
      </c>
      <c r="C72" s="22" t="inlineStr">
        <is>
          <t>FRUGIS REPRESENTACOES LTDA - 11.989.186/0001-70</t>
        </is>
      </c>
      <c r="D72" s="23">
        <f>G72</f>
        <v/>
      </c>
      <c r="E72" s="24" t="inlineStr">
        <is>
          <t>11/2006</t>
        </is>
      </c>
      <c r="F72" s="25" t="n">
        <v>1376.61</v>
      </c>
      <c r="G72" s="25" t="n">
        <v>1376.61</v>
      </c>
      <c r="H72" s="26">
        <f>F72-G72</f>
        <v/>
      </c>
      <c r="I72" s="24" t="inlineStr">
        <is>
          <t>Extrato real</t>
        </is>
      </c>
      <c r="J72" s="24" t="inlineStr">
        <is>
          <t>Extrato conta corrente - Tenda</t>
        </is>
      </c>
      <c r="K72" s="24">
        <f>VALUE(RIGHT(A72,4))</f>
        <v/>
      </c>
      <c r="L72" s="16">
        <f>DATE(VALUE(RIGHT(A72,4)),VALUE(MID(A72,4,2)),1)</f>
        <v/>
      </c>
      <c r="M72" s="17">
        <f>INDEX(IPCA!$D$5:$D$313,MATCH(Distrato!$B$3,IPCA!$A$5:$A$313,0))/INDEX(IPCA!$D$5:$D$313,MATCH(DATE(YEAR(L72),MONTH(L72)-1,1),IPCA!$A$5:$A$313,0))</f>
        <v/>
      </c>
      <c r="N72" s="15">
        <f>IF(L72&gt;Distrato!$B$3,D72,D72*M72)</f>
        <v/>
      </c>
    </row>
    <row r="73" ht="15" customHeight="1">
      <c r="A73" s="21" t="inlineStr">
        <is>
          <t>15/01/2007</t>
        </is>
      </c>
      <c r="B73" s="22" t="inlineStr">
        <is>
          <t>TOTAL CENTRO DE DISTRIBUICAO INTEGRADA LTDA - 12.460.301/0001-87</t>
        </is>
      </c>
      <c r="C73" s="22" t="inlineStr">
        <is>
          <t>FRUGIS REPRESENTACOES LTDA - 11.989.186/0001-70</t>
        </is>
      </c>
      <c r="D73" s="23">
        <f>G73</f>
        <v/>
      </c>
      <c r="E73" s="24" t="inlineStr">
        <is>
          <t>12/2006</t>
        </is>
      </c>
      <c r="F73" s="25" t="n">
        <v>1038.93</v>
      </c>
      <c r="G73" s="25" t="n">
        <v>1038.93</v>
      </c>
      <c r="H73" s="26">
        <f>F73-G73</f>
        <v/>
      </c>
      <c r="I73" s="24" t="inlineStr">
        <is>
          <t>Extrato real</t>
        </is>
      </c>
      <c r="J73" s="24" t="inlineStr">
        <is>
          <t>Extrato conta corrente - Tenda</t>
        </is>
      </c>
      <c r="K73" s="24">
        <f>VALUE(RIGHT(A73,4))</f>
        <v/>
      </c>
      <c r="L73" s="16">
        <f>DATE(VALUE(RIGHT(A73,4)),VALUE(MID(A73,4,2)),1)</f>
        <v/>
      </c>
      <c r="M73" s="17">
        <f>INDEX(IPCA!$D$5:$D$313,MATCH(Distrato!$B$3,IPCA!$A$5:$A$313,0))/INDEX(IPCA!$D$5:$D$313,MATCH(DATE(YEAR(L73),MONTH(L73)-1,1),IPCA!$A$5:$A$313,0))</f>
        <v/>
      </c>
      <c r="N73" s="15">
        <f>IF(L73&gt;Distrato!$B$3,D73,D73*M73)</f>
        <v/>
      </c>
    </row>
    <row r="74" ht="15" customHeight="1">
      <c r="A74" s="27" t="inlineStr">
        <is>
          <t>15/02/2007</t>
        </is>
      </c>
      <c r="B74" s="28" t="inlineStr">
        <is>
          <t>TOTAL CENTRO DE DISTRIBUICAO INTEGRADA LTDA - 12.460.301/0001-87</t>
        </is>
      </c>
      <c r="C74" s="28" t="inlineStr">
        <is>
          <t>FRUGIS REPRESENTACOES LTDA - 11.989.186/0001-70</t>
        </is>
      </c>
      <c r="D74" s="29">
        <f>G74</f>
        <v/>
      </c>
      <c r="E74" s="30" t="inlineStr">
        <is>
          <t>01/2007</t>
        </is>
      </c>
      <c r="F74" s="31" t="n">
        <v>1633.254773509233</v>
      </c>
      <c r="G74" s="31" t="n">
        <v>2210.96</v>
      </c>
      <c r="H74" s="32">
        <f>F74-G74</f>
        <v/>
      </c>
      <c r="I74" s="30" t="inlineStr">
        <is>
          <t>2007 recalculado: 2008 real ÷ (1+IPCA 2008)</t>
        </is>
      </c>
      <c r="J74" s="30" t="inlineStr">
        <is>
          <t>ESTIMADO (2008 ÷ IPCA)</t>
        </is>
      </c>
      <c r="K74" s="30">
        <f>VALUE(RIGHT(A74,4))</f>
        <v/>
      </c>
      <c r="L74" s="16">
        <f>DATE(VALUE(RIGHT(A74,4)),VALUE(MID(A74,4,2)),1)</f>
        <v/>
      </c>
      <c r="M74" s="17">
        <f>INDEX(IPCA!$D$5:$D$313,MATCH(Distrato!$B$3,IPCA!$A$5:$A$313,0))/INDEX(IPCA!$D$5:$D$313,MATCH(DATE(YEAR(L74),MONTH(L74)-1,1),IPCA!$A$5:$A$313,0))</f>
        <v/>
      </c>
      <c r="N74" s="15">
        <f>IF(L74&gt;Distrato!$B$3,D74,D74*M74)</f>
        <v/>
      </c>
    </row>
    <row r="75" ht="15" customHeight="1">
      <c r="A75" s="27" t="inlineStr">
        <is>
          <t>15/03/2007</t>
        </is>
      </c>
      <c r="B75" s="28" t="inlineStr">
        <is>
          <t>TOTAL CENTRO DE DISTRIBUICAO INTEGRADA LTDA - 12.460.301/0001-87</t>
        </is>
      </c>
      <c r="C75" s="28" t="inlineStr">
        <is>
          <t>FRUGIS REPRESENTACOES LTDA - 11.989.186/0001-70</t>
        </is>
      </c>
      <c r="D75" s="29">
        <f>G75</f>
        <v/>
      </c>
      <c r="E75" s="30" t="inlineStr">
        <is>
          <t>02/2007</t>
        </is>
      </c>
      <c r="F75" s="31" t="n">
        <v>1646.829991918953</v>
      </c>
      <c r="G75" s="31" t="n">
        <v>1735.17</v>
      </c>
      <c r="H75" s="32">
        <f>F75-G75</f>
        <v/>
      </c>
      <c r="I75" s="30" t="inlineStr">
        <is>
          <t>2007 recalculado: 2008 real ÷ (1+IPCA 2008)</t>
        </is>
      </c>
      <c r="J75" s="30" t="inlineStr">
        <is>
          <t>ESTIMADO (2008 ÷ IPCA)</t>
        </is>
      </c>
      <c r="K75" s="30">
        <f>VALUE(RIGHT(A75,4))</f>
        <v/>
      </c>
      <c r="L75" s="16">
        <f>DATE(VALUE(RIGHT(A75,4)),VALUE(MID(A75,4,2)),1)</f>
        <v/>
      </c>
      <c r="M75" s="17">
        <f>INDEX(IPCA!$D$5:$D$313,MATCH(Distrato!$B$3,IPCA!$A$5:$A$313,0))/INDEX(IPCA!$D$5:$D$313,MATCH(DATE(YEAR(L75),MONTH(L75)-1,1),IPCA!$A$5:$A$313,0))</f>
        <v/>
      </c>
      <c r="N75" s="15">
        <f>IF(L75&gt;Distrato!$B$3,D75,D75*M75)</f>
        <v/>
      </c>
    </row>
    <row r="76" ht="15" customHeight="1">
      <c r="A76" s="27" t="inlineStr">
        <is>
          <t>15/04/2007</t>
        </is>
      </c>
      <c r="B76" s="28" t="inlineStr">
        <is>
          <t>TOTAL CENTRO DE DISTRIBUICAO INTEGRADA LTDA - 12.460.301/0001-87</t>
        </is>
      </c>
      <c r="C76" s="28" t="inlineStr">
        <is>
          <t>FRUGIS REPRESENTACOES LTDA - 11.989.186/0001-70</t>
        </is>
      </c>
      <c r="D76" s="29">
        <f>G76</f>
        <v/>
      </c>
      <c r="E76" s="30" t="inlineStr">
        <is>
          <t>03/2007</t>
        </is>
      </c>
      <c r="F76" s="31" t="n">
        <v>1643.140505222924</v>
      </c>
      <c r="G76" s="31" t="n">
        <v>1714.93</v>
      </c>
      <c r="H76" s="32">
        <f>F76-G76</f>
        <v/>
      </c>
      <c r="I76" s="30" t="inlineStr">
        <is>
          <t>2007 recalculado: 2008 real ÷ (1+IPCA 2008)</t>
        </is>
      </c>
      <c r="J76" s="30" t="inlineStr">
        <is>
          <t>ESTIMADO (2008 ÷ IPCA)</t>
        </is>
      </c>
      <c r="K76" s="30">
        <f>VALUE(RIGHT(A76,4))</f>
        <v/>
      </c>
      <c r="L76" s="16">
        <f>DATE(VALUE(RIGHT(A76,4)),VALUE(MID(A76,4,2)),1)</f>
        <v/>
      </c>
      <c r="M76" s="17">
        <f>INDEX(IPCA!$D$5:$D$313,MATCH(Distrato!$B$3,IPCA!$A$5:$A$313,0))/INDEX(IPCA!$D$5:$D$313,MATCH(DATE(YEAR(L76),MONTH(L76)-1,1),IPCA!$A$5:$A$313,0))</f>
        <v/>
      </c>
      <c r="N76" s="15">
        <f>IF(L76&gt;Distrato!$B$3,D76,D76*M76)</f>
        <v/>
      </c>
    </row>
    <row r="77" ht="15" customHeight="1">
      <c r="A77" s="27" t="inlineStr">
        <is>
          <t>15/05/2007</t>
        </is>
      </c>
      <c r="B77" s="28" t="inlineStr">
        <is>
          <t>TOTAL CENTRO DE DISTRIBUICAO INTEGRADA LTDA - 12.460.301/0001-87</t>
        </is>
      </c>
      <c r="C77" s="28" t="inlineStr">
        <is>
          <t>FRUGIS REPRESENTACOES LTDA - 11.989.186/0001-70</t>
        </is>
      </c>
      <c r="D77" s="29">
        <f>G77</f>
        <v/>
      </c>
      <c r="E77" s="30" t="inlineStr">
        <is>
          <t>04/2007</t>
        </is>
      </c>
      <c r="F77" s="31" t="n">
        <v>1618.616874893351</v>
      </c>
      <c r="G77" s="31" t="n">
        <v>2931.19</v>
      </c>
      <c r="H77" s="32">
        <f>F77-G77</f>
        <v/>
      </c>
      <c r="I77" s="30" t="inlineStr">
        <is>
          <t>2007 recalculado: 2008 real ÷ (1+IPCA 2008)</t>
        </is>
      </c>
      <c r="J77" s="30" t="inlineStr">
        <is>
          <t>ESTIMADO (2008 ÷ IPCA)</t>
        </is>
      </c>
      <c r="K77" s="30">
        <f>VALUE(RIGHT(A77,4))</f>
        <v/>
      </c>
      <c r="L77" s="16">
        <f>DATE(VALUE(RIGHT(A77,4)),VALUE(MID(A77,4,2)),1)</f>
        <v/>
      </c>
      <c r="M77" s="17">
        <f>INDEX(IPCA!$D$5:$D$313,MATCH(Distrato!$B$3,IPCA!$A$5:$A$313,0))/INDEX(IPCA!$D$5:$D$313,MATCH(DATE(YEAR(L77),MONTH(L77)-1,1),IPCA!$A$5:$A$313,0))</f>
        <v/>
      </c>
      <c r="N77" s="15">
        <f>IF(L77&gt;Distrato!$B$3,D77,D77*M77)</f>
        <v/>
      </c>
    </row>
    <row r="78" ht="15" customHeight="1">
      <c r="A78" s="27" t="inlineStr">
        <is>
          <t>15/06/2007</t>
        </is>
      </c>
      <c r="B78" s="28" t="inlineStr">
        <is>
          <t>TOTAL CENTRO DE DISTRIBUICAO INTEGRADA LTDA - 12.460.301/0001-87</t>
        </is>
      </c>
      <c r="C78" s="28" t="inlineStr">
        <is>
          <t>FRUGIS REPRESENTACOES LTDA - 11.989.186/0001-70</t>
        </is>
      </c>
      <c r="D78" s="29">
        <f>G78</f>
        <v/>
      </c>
      <c r="E78" s="30" t="inlineStr">
        <is>
          <t>05/2007</t>
        </is>
      </c>
      <c r="F78" s="31" t="n">
        <v>1645.374343739645</v>
      </c>
      <c r="G78" s="31" t="n">
        <v>2785.34</v>
      </c>
      <c r="H78" s="32">
        <f>F78-G78</f>
        <v/>
      </c>
      <c r="I78" s="30" t="inlineStr">
        <is>
          <t>2007 recalculado: 2008 real ÷ (1+IPCA 2008)</t>
        </is>
      </c>
      <c r="J78" s="30" t="inlineStr">
        <is>
          <t>ESTIMADO (2008 ÷ IPCA)</t>
        </is>
      </c>
      <c r="K78" s="30">
        <f>VALUE(RIGHT(A78,4))</f>
        <v/>
      </c>
      <c r="L78" s="16">
        <f>DATE(VALUE(RIGHT(A78,4)),VALUE(MID(A78,4,2)),1)</f>
        <v/>
      </c>
      <c r="M78" s="17">
        <f>INDEX(IPCA!$D$5:$D$313,MATCH(Distrato!$B$3,IPCA!$A$5:$A$313,0))/INDEX(IPCA!$D$5:$D$313,MATCH(DATE(YEAR(L78),MONTH(L78)-1,1),IPCA!$A$5:$A$313,0))</f>
        <v/>
      </c>
      <c r="N78" s="15">
        <f>IF(L78&gt;Distrato!$B$3,D78,D78*M78)</f>
        <v/>
      </c>
    </row>
    <row r="79" ht="15" customHeight="1">
      <c r="A79" s="27" t="inlineStr">
        <is>
          <t>15/07/2007</t>
        </is>
      </c>
      <c r="B79" s="28" t="inlineStr">
        <is>
          <t>TOTAL CENTRO DE DISTRIBUICAO INTEGRADA LTDA - 12.460.301/0001-87</t>
        </is>
      </c>
      <c r="C79" s="28" t="inlineStr">
        <is>
          <t>FRUGIS REPRESENTACOES LTDA - 11.989.186/0001-70</t>
        </is>
      </c>
      <c r="D79" s="29">
        <f>G79</f>
        <v/>
      </c>
      <c r="E79" s="30" t="inlineStr">
        <is>
          <t>06/2007</t>
        </is>
      </c>
      <c r="F79" s="31" t="n">
        <v>1576.544227366284</v>
      </c>
      <c r="G79" s="31" t="n">
        <v>3034.38</v>
      </c>
      <c r="H79" s="32">
        <f>F79-G79</f>
        <v/>
      </c>
      <c r="I79" s="30" t="inlineStr">
        <is>
          <t>2007 recalculado: 2008 real ÷ (1+IPCA 2008)</t>
        </is>
      </c>
      <c r="J79" s="30" t="inlineStr">
        <is>
          <t>ESTIMADO (2008 ÷ IPCA)</t>
        </is>
      </c>
      <c r="K79" s="30">
        <f>VALUE(RIGHT(A79,4))</f>
        <v/>
      </c>
      <c r="L79" s="16">
        <f>DATE(VALUE(RIGHT(A79,4)),VALUE(MID(A79,4,2)),1)</f>
        <v/>
      </c>
      <c r="M79" s="17">
        <f>INDEX(IPCA!$D$5:$D$313,MATCH(Distrato!$B$3,IPCA!$A$5:$A$313,0))/INDEX(IPCA!$D$5:$D$313,MATCH(DATE(YEAR(L79),MONTH(L79)-1,1),IPCA!$A$5:$A$313,0))</f>
        <v/>
      </c>
      <c r="N79" s="15">
        <f>IF(L79&gt;Distrato!$B$3,D79,D79*M79)</f>
        <v/>
      </c>
    </row>
    <row r="80" ht="15" customHeight="1">
      <c r="A80" s="27" t="inlineStr">
        <is>
          <t>15/08/2007</t>
        </is>
      </c>
      <c r="B80" s="28" t="inlineStr">
        <is>
          <t>TOTAL CENTRO DE DISTRIBUICAO INTEGRADA LTDA - 12.460.301/0001-87</t>
        </is>
      </c>
      <c r="C80" s="28" t="inlineStr">
        <is>
          <t>FRUGIS REPRESENTACOES LTDA - 11.989.186/0001-70</t>
        </is>
      </c>
      <c r="D80" s="29">
        <f>G80</f>
        <v/>
      </c>
      <c r="E80" s="30" t="inlineStr">
        <is>
          <t>07/2007</t>
        </is>
      </c>
      <c r="F80" s="31" t="n">
        <v>1585.422000564784</v>
      </c>
      <c r="G80" s="31" t="n">
        <v>2741.61</v>
      </c>
      <c r="H80" s="32">
        <f>F80-G80</f>
        <v/>
      </c>
      <c r="I80" s="30" t="inlineStr">
        <is>
          <t>2007 recalculado: 2008 real ÷ (1+IPCA 2008)</t>
        </is>
      </c>
      <c r="J80" s="30" t="inlineStr">
        <is>
          <t>ESTIMADO (2008 ÷ IPCA)</t>
        </is>
      </c>
      <c r="K80" s="30">
        <f>VALUE(RIGHT(A80,4))</f>
        <v/>
      </c>
      <c r="L80" s="16">
        <f>DATE(VALUE(RIGHT(A80,4)),VALUE(MID(A80,4,2)),1)</f>
        <v/>
      </c>
      <c r="M80" s="17">
        <f>INDEX(IPCA!$D$5:$D$313,MATCH(Distrato!$B$3,IPCA!$A$5:$A$313,0))/INDEX(IPCA!$D$5:$D$313,MATCH(DATE(YEAR(L80),MONTH(L80)-1,1),IPCA!$A$5:$A$313,0))</f>
        <v/>
      </c>
      <c r="N80" s="15">
        <f>IF(L80&gt;Distrato!$B$3,D80,D80*M80)</f>
        <v/>
      </c>
    </row>
    <row r="81" ht="15" customHeight="1">
      <c r="A81" s="27" t="inlineStr">
        <is>
          <t>15/09/2007</t>
        </is>
      </c>
      <c r="B81" s="28" t="inlineStr">
        <is>
          <t>TOTAL CENTRO DE DISTRIBUICAO INTEGRADA LTDA - 12.460.301/0001-87</t>
        </is>
      </c>
      <c r="C81" s="28" t="inlineStr">
        <is>
          <t>FRUGIS REPRESENTACOES LTDA - 11.989.186/0001-70</t>
        </is>
      </c>
      <c r="D81" s="29">
        <f>G81</f>
        <v/>
      </c>
      <c r="E81" s="30" t="inlineStr">
        <is>
          <t>08/2007</t>
        </is>
      </c>
      <c r="F81" s="31" t="n">
        <v>1572.970895317329</v>
      </c>
      <c r="G81" s="31" t="n">
        <v>3182.54</v>
      </c>
      <c r="H81" s="32">
        <f>F81-G81</f>
        <v/>
      </c>
      <c r="I81" s="30" t="inlineStr">
        <is>
          <t>2007 recalculado: 2008 real ÷ (1+IPCA 2008)</t>
        </is>
      </c>
      <c r="J81" s="30" t="inlineStr">
        <is>
          <t>ESTIMADO (2008 ÷ IPCA)</t>
        </is>
      </c>
      <c r="K81" s="30">
        <f>VALUE(RIGHT(A81,4))</f>
        <v/>
      </c>
      <c r="L81" s="16">
        <f>DATE(VALUE(RIGHT(A81,4)),VALUE(MID(A81,4,2)),1)</f>
        <v/>
      </c>
      <c r="M81" s="17">
        <f>INDEX(IPCA!$D$5:$D$313,MATCH(Distrato!$B$3,IPCA!$A$5:$A$313,0))/INDEX(IPCA!$D$5:$D$313,MATCH(DATE(YEAR(L81),MONTH(L81)-1,1),IPCA!$A$5:$A$313,0))</f>
        <v/>
      </c>
      <c r="N81" s="15">
        <f>IF(L81&gt;Distrato!$B$3,D81,D81*M81)</f>
        <v/>
      </c>
    </row>
    <row r="82" ht="15" customHeight="1">
      <c r="A82" s="27" t="inlineStr">
        <is>
          <t>15/10/2007</t>
        </is>
      </c>
      <c r="B82" s="28" t="inlineStr">
        <is>
          <t>TOTAL CENTRO DE DISTRIBUICAO INTEGRADA LTDA - 12.460.301/0001-87</t>
        </is>
      </c>
      <c r="C82" s="28" t="inlineStr">
        <is>
          <t>FRUGIS REPRESENTACOES LTDA - 11.989.186/0001-70</t>
        </is>
      </c>
      <c r="D82" s="29">
        <f>G82</f>
        <v/>
      </c>
      <c r="E82" s="30" t="inlineStr">
        <is>
          <t>09/2007</t>
        </is>
      </c>
      <c r="F82" s="31" t="n">
        <v>1596.104981660354</v>
      </c>
      <c r="G82" s="31" t="n">
        <v>3105.87</v>
      </c>
      <c r="H82" s="32">
        <f>F82-G82</f>
        <v/>
      </c>
      <c r="I82" s="30" t="inlineStr">
        <is>
          <t>2007 recalculado: 2008 real ÷ (1+IPCA 2008)</t>
        </is>
      </c>
      <c r="J82" s="30" t="inlineStr">
        <is>
          <t>ESTIMADO (2008 ÷ IPCA)</t>
        </is>
      </c>
      <c r="K82" s="30">
        <f>VALUE(RIGHT(A82,4))</f>
        <v/>
      </c>
      <c r="L82" s="16">
        <f>DATE(VALUE(RIGHT(A82,4)),VALUE(MID(A82,4,2)),1)</f>
        <v/>
      </c>
      <c r="M82" s="17">
        <f>INDEX(IPCA!$D$5:$D$313,MATCH(Distrato!$B$3,IPCA!$A$5:$A$313,0))/INDEX(IPCA!$D$5:$D$313,MATCH(DATE(YEAR(L82),MONTH(L82)-1,1),IPCA!$A$5:$A$313,0))</f>
        <v/>
      </c>
      <c r="N82" s="15">
        <f>IF(L82&gt;Distrato!$B$3,D82,D82*M82)</f>
        <v/>
      </c>
    </row>
    <row r="83" ht="15" customHeight="1">
      <c r="A83" s="27" t="inlineStr">
        <is>
          <t>15/11/2007</t>
        </is>
      </c>
      <c r="B83" s="28" t="inlineStr">
        <is>
          <t>TOTAL CENTRO DE DISTRIBUICAO INTEGRADA LTDA - 12.460.301/0001-87</t>
        </is>
      </c>
      <c r="C83" s="28" t="inlineStr">
        <is>
          <t>FRUGIS REPRESENTACOES LTDA - 11.989.186/0001-70</t>
        </is>
      </c>
      <c r="D83" s="29">
        <f>G83</f>
        <v/>
      </c>
      <c r="E83" s="30" t="inlineStr">
        <is>
          <t>10/2007</t>
        </is>
      </c>
      <c r="F83" s="31" t="n">
        <v>1601.33689205902</v>
      </c>
      <c r="G83" s="31" t="n">
        <v>2624.88</v>
      </c>
      <c r="H83" s="32">
        <f>F83-G83</f>
        <v/>
      </c>
      <c r="I83" s="30" t="inlineStr">
        <is>
          <t>2007 recalculado: 2008 real ÷ (1+IPCA 2008)</t>
        </is>
      </c>
      <c r="J83" s="30" t="inlineStr">
        <is>
          <t>ESTIMADO (2008 ÷ IPCA)</t>
        </is>
      </c>
      <c r="K83" s="30">
        <f>VALUE(RIGHT(A83,4))</f>
        <v/>
      </c>
      <c r="L83" s="16">
        <f>DATE(VALUE(RIGHT(A83,4)),VALUE(MID(A83,4,2)),1)</f>
        <v/>
      </c>
      <c r="M83" s="17">
        <f>INDEX(IPCA!$D$5:$D$313,MATCH(Distrato!$B$3,IPCA!$A$5:$A$313,0))/INDEX(IPCA!$D$5:$D$313,MATCH(DATE(YEAR(L83),MONTH(L83)-1,1),IPCA!$A$5:$A$313,0))</f>
        <v/>
      </c>
      <c r="N83" s="15">
        <f>IF(L83&gt;Distrato!$B$3,D83,D83*M83)</f>
        <v/>
      </c>
    </row>
    <row r="84" ht="15" customHeight="1">
      <c r="A84" s="27" t="inlineStr">
        <is>
          <t>15/12/2007</t>
        </is>
      </c>
      <c r="B84" s="28" t="inlineStr">
        <is>
          <t>TOTAL CENTRO DE DISTRIBUICAO INTEGRADA LTDA - 12.460.301/0001-87</t>
        </is>
      </c>
      <c r="C84" s="28" t="inlineStr">
        <is>
          <t>FRUGIS REPRESENTACOES LTDA - 11.989.186/0001-70</t>
        </is>
      </c>
      <c r="D84" s="29">
        <f>G84</f>
        <v/>
      </c>
      <c r="E84" s="30" t="inlineStr">
        <is>
          <t>11/2007</t>
        </is>
      </c>
      <c r="F84" s="31" t="n">
        <v>1591.646593691882</v>
      </c>
      <c r="G84" s="31" t="n">
        <v>2923.69</v>
      </c>
      <c r="H84" s="32">
        <f>F84-G84</f>
        <v/>
      </c>
      <c r="I84" s="30" t="inlineStr">
        <is>
          <t>2007 recalculado: 2008 real ÷ (1+IPCA 2008)</t>
        </is>
      </c>
      <c r="J84" s="30" t="inlineStr">
        <is>
          <t>ESTIMADO (2008 ÷ IPCA)</t>
        </is>
      </c>
      <c r="K84" s="30">
        <f>VALUE(RIGHT(A84,4))</f>
        <v/>
      </c>
      <c r="L84" s="16">
        <f>DATE(VALUE(RIGHT(A84,4)),VALUE(MID(A84,4,2)),1)</f>
        <v/>
      </c>
      <c r="M84" s="17">
        <f>INDEX(IPCA!$D$5:$D$313,MATCH(Distrato!$B$3,IPCA!$A$5:$A$313,0))/INDEX(IPCA!$D$5:$D$313,MATCH(DATE(YEAR(L84),MONTH(L84)-1,1),IPCA!$A$5:$A$313,0))</f>
        <v/>
      </c>
      <c r="N84" s="15">
        <f>IF(L84&gt;Distrato!$B$3,D84,D84*M84)</f>
        <v/>
      </c>
    </row>
    <row r="85" ht="15" customHeight="1">
      <c r="A85" s="27" t="inlineStr">
        <is>
          <t>15/01/2008</t>
        </is>
      </c>
      <c r="B85" s="28" t="inlineStr">
        <is>
          <t>TOTAL CENTRO DE DISTRIBUICAO INTEGRADA LTDA - 12.460.301/0001-87</t>
        </is>
      </c>
      <c r="C85" s="28" t="inlineStr">
        <is>
          <t>FRUGIS REPRESENTACOES LTDA - 11.989.186/0001-70</t>
        </is>
      </c>
      <c r="D85" s="29">
        <f>G85</f>
        <v/>
      </c>
      <c r="E85" s="30" t="inlineStr">
        <is>
          <t>12/2007</t>
        </is>
      </c>
      <c r="F85" s="31" t="n">
        <v>1637.682056487928</v>
      </c>
      <c r="G85" s="31" t="n">
        <v>4685.44</v>
      </c>
      <c r="H85" s="32">
        <f>F85-G85</f>
        <v/>
      </c>
      <c r="I85" s="30" t="inlineStr">
        <is>
          <t>2007 recalculado: 2008 real ÷ (1+IPCA 2008)</t>
        </is>
      </c>
      <c r="J85" s="30" t="inlineStr">
        <is>
          <t>ESTIMADO (2008 ÷ IPCA)</t>
        </is>
      </c>
      <c r="K85" s="30">
        <f>VALUE(RIGHT(A85,4))</f>
        <v/>
      </c>
      <c r="L85" s="16">
        <f>DATE(VALUE(RIGHT(A85,4)),VALUE(MID(A85,4,2)),1)</f>
        <v/>
      </c>
      <c r="M85" s="17">
        <f>INDEX(IPCA!$D$5:$D$313,MATCH(Distrato!$B$3,IPCA!$A$5:$A$313,0))/INDEX(IPCA!$D$5:$D$313,MATCH(DATE(YEAR(L85),MONTH(L85)-1,1),IPCA!$A$5:$A$313,0))</f>
        <v/>
      </c>
      <c r="N85" s="15">
        <f>IF(L85&gt;Distrato!$B$3,D85,D85*M85)</f>
        <v/>
      </c>
    </row>
    <row r="86" ht="15" customHeight="1">
      <c r="A86" s="21" t="inlineStr">
        <is>
          <t>15/02/2008</t>
        </is>
      </c>
      <c r="B86" s="22" t="inlineStr">
        <is>
          <t>TOTAL CENTRO DE DISTRIBUICAO INTEGRADA LTDA - 12.460.301/0001-87</t>
        </is>
      </c>
      <c r="C86" s="22" t="inlineStr">
        <is>
          <t>FRUGIS REPRESENTACOES LTDA - 11.989.186/0001-70</t>
        </is>
      </c>
      <c r="D86" s="23">
        <f>G86</f>
        <v/>
      </c>
      <c r="E86" s="24" t="inlineStr">
        <is>
          <t>01/2008</t>
        </is>
      </c>
      <c r="F86" s="25" t="n">
        <v>1281.57</v>
      </c>
      <c r="G86" s="25" t="n">
        <v>2341.41</v>
      </c>
      <c r="H86" s="26">
        <f>F86-G86</f>
        <v/>
      </c>
      <c r="I86" s="24" t="inlineStr">
        <is>
          <t>Substituído pelo extrato real</t>
        </is>
      </c>
      <c r="J86" s="24" t="inlineStr">
        <is>
          <t>Extrato conta corrente - Tenda + ajuste %</t>
        </is>
      </c>
      <c r="K86" s="24">
        <f>VALUE(RIGHT(A86,4))</f>
        <v/>
      </c>
      <c r="L86" s="16">
        <f>DATE(VALUE(RIGHT(A86,4)),VALUE(MID(A86,4,2)),1)</f>
        <v/>
      </c>
      <c r="M86" s="17">
        <f>INDEX(IPCA!$D$5:$D$313,MATCH(Distrato!$B$3,IPCA!$A$5:$A$313,0))/INDEX(IPCA!$D$5:$D$313,MATCH(DATE(YEAR(L86),MONTH(L86)-1,1),IPCA!$A$5:$A$313,0))</f>
        <v/>
      </c>
      <c r="N86" s="15">
        <f>IF(L86&gt;Distrato!$B$3,D86,D86*M86)</f>
        <v/>
      </c>
    </row>
    <row r="87" ht="15" customHeight="1">
      <c r="A87" s="21" t="inlineStr">
        <is>
          <t>15/03/2008</t>
        </is>
      </c>
      <c r="B87" s="22" t="inlineStr">
        <is>
          <t>TOTAL CENTRO DE DISTRIBUICAO INTEGRADA LTDA - 12.460.301/0001-87</t>
        </is>
      </c>
      <c r="C87" s="22" t="inlineStr">
        <is>
          <t>FRUGIS REPRESENTACOES LTDA - 11.989.186/0001-70</t>
        </is>
      </c>
      <c r="D87" s="23">
        <f>G87</f>
        <v/>
      </c>
      <c r="E87" s="24" t="inlineStr">
        <is>
          <t>02/2008</t>
        </is>
      </c>
      <c r="F87" s="25" t="n">
        <v>1008.93</v>
      </c>
      <c r="G87" s="25" t="n">
        <v>1837.54</v>
      </c>
      <c r="H87" s="26">
        <f>F87-G87</f>
        <v/>
      </c>
      <c r="I87" s="24" t="inlineStr">
        <is>
          <t>Substituído pelo extrato real</t>
        </is>
      </c>
      <c r="J87" s="24" t="inlineStr">
        <is>
          <t>Extrato conta corrente - Tenda + ajuste %</t>
        </is>
      </c>
      <c r="K87" s="24">
        <f>VALUE(RIGHT(A87,4))</f>
        <v/>
      </c>
      <c r="L87" s="16">
        <f>DATE(VALUE(RIGHT(A87,4)),VALUE(MID(A87,4,2)),1)</f>
        <v/>
      </c>
      <c r="M87" s="17">
        <f>INDEX(IPCA!$D$5:$D$313,MATCH(Distrato!$B$3,IPCA!$A$5:$A$313,0))/INDEX(IPCA!$D$5:$D$313,MATCH(DATE(YEAR(L87),MONTH(L87)-1,1),IPCA!$A$5:$A$313,0))</f>
        <v/>
      </c>
      <c r="N87" s="15">
        <f>IF(L87&gt;Distrato!$B$3,D87,D87*M87)</f>
        <v/>
      </c>
    </row>
    <row r="88" ht="15" customHeight="1">
      <c r="A88" s="21" t="inlineStr">
        <is>
          <t>15/04/2008</t>
        </is>
      </c>
      <c r="B88" s="22" t="inlineStr">
        <is>
          <t>TOTAL CENTRO DE DISTRIBUICAO INTEGRADA LTDA - 12.460.301/0001-87</t>
        </is>
      </c>
      <c r="C88" s="22" t="inlineStr">
        <is>
          <t>FRUGIS REPRESENTACOES LTDA - 11.989.186/0001-70</t>
        </is>
      </c>
      <c r="D88" s="23">
        <f>G88</f>
        <v/>
      </c>
      <c r="E88" s="24" t="inlineStr">
        <is>
          <t>03/2008</t>
        </is>
      </c>
      <c r="F88" s="25" t="n">
        <v>1384.68</v>
      </c>
      <c r="G88" s="25" t="n">
        <v>1816.11</v>
      </c>
      <c r="H88" s="26">
        <f>F88-G88</f>
        <v/>
      </c>
      <c r="I88" s="24" t="inlineStr">
        <is>
          <t>Substituído pelo extrato real</t>
        </is>
      </c>
      <c r="J88" s="24" t="inlineStr">
        <is>
          <t>Extrato conta corrente - Tenda + ajuste %</t>
        </is>
      </c>
      <c r="K88" s="24">
        <f>VALUE(RIGHT(A88,4))</f>
        <v/>
      </c>
      <c r="L88" s="16">
        <f>DATE(VALUE(RIGHT(A88,4)),VALUE(MID(A88,4,2)),1)</f>
        <v/>
      </c>
      <c r="M88" s="17">
        <f>INDEX(IPCA!$D$5:$D$313,MATCH(Distrato!$B$3,IPCA!$A$5:$A$313,0))/INDEX(IPCA!$D$5:$D$313,MATCH(DATE(YEAR(L88),MONTH(L88)-1,1),IPCA!$A$5:$A$313,0))</f>
        <v/>
      </c>
      <c r="N88" s="15">
        <f>IF(L88&gt;Distrato!$B$3,D88,D88*M88)</f>
        <v/>
      </c>
    </row>
    <row r="89" ht="15" customHeight="1">
      <c r="A89" s="21" t="inlineStr">
        <is>
          <t>15/05/2008</t>
        </is>
      </c>
      <c r="B89" s="22" t="inlineStr">
        <is>
          <t>TOTAL CENTRO DE DISTRIBUICAO INTEGRADA LTDA - 12.460.301/0001-87</t>
        </is>
      </c>
      <c r="C89" s="22" t="inlineStr">
        <is>
          <t>FRUGIS REPRESENTACOES LTDA - 11.989.186/0001-70</t>
        </is>
      </c>
      <c r="D89" s="23">
        <f>G89</f>
        <v/>
      </c>
      <c r="E89" s="24" t="inlineStr">
        <is>
          <t>04/2008</t>
        </is>
      </c>
      <c r="F89" s="25" t="n">
        <v>1881.27</v>
      </c>
      <c r="G89" s="25" t="n">
        <v>3104.13</v>
      </c>
      <c r="H89" s="26">
        <f>F89-G89</f>
        <v/>
      </c>
      <c r="I89" s="24" t="inlineStr">
        <is>
          <t>Substituído pelo extrato real</t>
        </is>
      </c>
      <c r="J89" s="24" t="inlineStr">
        <is>
          <t>Extrato conta corrente - Tenda + ajuste %</t>
        </is>
      </c>
      <c r="K89" s="24">
        <f>VALUE(RIGHT(A89,4))</f>
        <v/>
      </c>
      <c r="L89" s="16">
        <f>DATE(VALUE(RIGHT(A89,4)),VALUE(MID(A89,4,2)),1)</f>
        <v/>
      </c>
      <c r="M89" s="17">
        <f>INDEX(IPCA!$D$5:$D$313,MATCH(Distrato!$B$3,IPCA!$A$5:$A$313,0))/INDEX(IPCA!$D$5:$D$313,MATCH(DATE(YEAR(L89),MONTH(L89)-1,1),IPCA!$A$5:$A$313,0))</f>
        <v/>
      </c>
      <c r="N89" s="15">
        <f>IF(L89&gt;Distrato!$B$3,D89,D89*M89)</f>
        <v/>
      </c>
    </row>
    <row r="90" ht="15" customHeight="1">
      <c r="A90" s="21" t="inlineStr">
        <is>
          <t>15/06/2008</t>
        </is>
      </c>
      <c r="B90" s="22" t="inlineStr">
        <is>
          <t>TOTAL CENTRO DE DISTRIBUICAO INTEGRADA LTDA - 12.460.301/0001-87</t>
        </is>
      </c>
      <c r="C90" s="22" t="inlineStr">
        <is>
          <t>FRUGIS REPRESENTACOES LTDA - 11.989.186/0001-70</t>
        </is>
      </c>
      <c r="D90" s="23">
        <f>G90</f>
        <v/>
      </c>
      <c r="E90" s="24" t="inlineStr">
        <is>
          <t>05/2008</t>
        </is>
      </c>
      <c r="F90" s="25" t="n">
        <v>1595.69</v>
      </c>
      <c r="G90" s="25" t="n">
        <v>2949.67</v>
      </c>
      <c r="H90" s="26">
        <f>F90-G90</f>
        <v/>
      </c>
      <c r="I90" s="24" t="inlineStr">
        <is>
          <t>Substituído pelo extrato real</t>
        </is>
      </c>
      <c r="J90" s="24" t="inlineStr">
        <is>
          <t>Extrato conta corrente - Tenda + ajuste %</t>
        </is>
      </c>
      <c r="K90" s="24">
        <f>VALUE(RIGHT(A90,4))</f>
        <v/>
      </c>
      <c r="L90" s="16">
        <f>DATE(VALUE(RIGHT(A90,4)),VALUE(MID(A90,4,2)),1)</f>
        <v/>
      </c>
      <c r="M90" s="17">
        <f>INDEX(IPCA!$D$5:$D$313,MATCH(Distrato!$B$3,IPCA!$A$5:$A$313,0))/INDEX(IPCA!$D$5:$D$313,MATCH(DATE(YEAR(L90),MONTH(L90)-1,1),IPCA!$A$5:$A$313,0))</f>
        <v/>
      </c>
      <c r="N90" s="15">
        <f>IF(L90&gt;Distrato!$B$3,D90,D90*M90)</f>
        <v/>
      </c>
    </row>
    <row r="91" ht="15" customHeight="1">
      <c r="A91" s="21" t="inlineStr">
        <is>
          <t>15/07/2008</t>
        </is>
      </c>
      <c r="B91" s="22" t="inlineStr">
        <is>
          <t>TOTAL CENTRO DE DISTRIBUICAO INTEGRADA LTDA - 12.460.301/0001-87</t>
        </is>
      </c>
      <c r="C91" s="22" t="inlineStr">
        <is>
          <t>FRUGIS REPRESENTACOES LTDA - 11.989.186/0001-70</t>
        </is>
      </c>
      <c r="D91" s="23">
        <f>G91</f>
        <v/>
      </c>
      <c r="E91" s="24" t="inlineStr">
        <is>
          <t>06/2008</t>
        </is>
      </c>
      <c r="F91" s="25" t="n">
        <v>1705.72</v>
      </c>
      <c r="G91" s="25" t="n">
        <v>3213.41</v>
      </c>
      <c r="H91" s="26">
        <f>F91-G91</f>
        <v/>
      </c>
      <c r="I91" s="24" t="inlineStr">
        <is>
          <t>Substituído pelo extrato real</t>
        </is>
      </c>
      <c r="J91" s="24" t="inlineStr">
        <is>
          <t>Extrato conta corrente - Tenda + ajuste %</t>
        </is>
      </c>
      <c r="K91" s="24">
        <f>VALUE(RIGHT(A91,4))</f>
        <v/>
      </c>
      <c r="L91" s="16">
        <f>DATE(VALUE(RIGHT(A91,4)),VALUE(MID(A91,4,2)),1)</f>
        <v/>
      </c>
      <c r="M91" s="17">
        <f>INDEX(IPCA!$D$5:$D$313,MATCH(Distrato!$B$3,IPCA!$A$5:$A$313,0))/INDEX(IPCA!$D$5:$D$313,MATCH(DATE(YEAR(L91),MONTH(L91)-1,1),IPCA!$A$5:$A$313,0))</f>
        <v/>
      </c>
      <c r="N91" s="15">
        <f>IF(L91&gt;Distrato!$B$3,D91,D91*M91)</f>
        <v/>
      </c>
    </row>
    <row r="92" ht="15" customHeight="1">
      <c r="A92" s="21" t="inlineStr">
        <is>
          <t>15/08/2008</t>
        </is>
      </c>
      <c r="B92" s="22" t="inlineStr">
        <is>
          <t>TOTAL CENTRO DE DISTRIBUICAO INTEGRADA LTDA - 12.460.301/0001-87</t>
        </is>
      </c>
      <c r="C92" s="22" t="inlineStr">
        <is>
          <t>FRUGIS REPRESENTACOES LTDA - 11.989.186/0001-70</t>
        </is>
      </c>
      <c r="D92" s="23">
        <f>G92</f>
        <v/>
      </c>
      <c r="E92" s="24" t="inlineStr">
        <is>
          <t>07/2008</t>
        </is>
      </c>
      <c r="F92" s="25" t="n">
        <v>1591.91</v>
      </c>
      <c r="G92" s="25" t="n">
        <v>2903.37</v>
      </c>
      <c r="H92" s="26">
        <f>F92-G92</f>
        <v/>
      </c>
      <c r="I92" s="24" t="inlineStr">
        <is>
          <t>Substituído pelo extrato real</t>
        </is>
      </c>
      <c r="J92" s="24" t="inlineStr">
        <is>
          <t>Extrato conta corrente - Tenda + ajuste %</t>
        </is>
      </c>
      <c r="K92" s="24">
        <f>VALUE(RIGHT(A92,4))</f>
        <v/>
      </c>
      <c r="L92" s="16">
        <f>DATE(VALUE(RIGHT(A92,4)),VALUE(MID(A92,4,2)),1)</f>
        <v/>
      </c>
      <c r="M92" s="17">
        <f>INDEX(IPCA!$D$5:$D$313,MATCH(Distrato!$B$3,IPCA!$A$5:$A$313,0))/INDEX(IPCA!$D$5:$D$313,MATCH(DATE(YEAR(L92),MONTH(L92)-1,1),IPCA!$A$5:$A$313,0))</f>
        <v/>
      </c>
      <c r="N92" s="15">
        <f>IF(L92&gt;Distrato!$B$3,D92,D92*M92)</f>
        <v/>
      </c>
    </row>
    <row r="93" ht="15" customHeight="1">
      <c r="A93" s="21" t="inlineStr">
        <is>
          <t>15/09/2008</t>
        </is>
      </c>
      <c r="B93" s="22" t="inlineStr">
        <is>
          <t>TOTAL CENTRO DE DISTRIBUICAO INTEGRADA LTDA - 12.460.301/0001-87</t>
        </is>
      </c>
      <c r="C93" s="22" t="inlineStr">
        <is>
          <t>FRUGIS REPRESENTACOES LTDA - 11.989.186/0001-70</t>
        </is>
      </c>
      <c r="D93" s="23">
        <f>G93</f>
        <v/>
      </c>
      <c r="E93" s="24" t="inlineStr">
        <is>
          <t>08/2008</t>
        </is>
      </c>
      <c r="F93" s="25" t="n">
        <v>1811.9</v>
      </c>
      <c r="G93" s="25" t="n">
        <v>3370.31</v>
      </c>
      <c r="H93" s="26">
        <f>F93-G93</f>
        <v/>
      </c>
      <c r="I93" s="24" t="inlineStr">
        <is>
          <t>Substituído pelo extrato real</t>
        </is>
      </c>
      <c r="J93" s="24" t="inlineStr">
        <is>
          <t>Extrato conta corrente - Tenda + ajuste %</t>
        </is>
      </c>
      <c r="K93" s="24">
        <f>VALUE(RIGHT(A93,4))</f>
        <v/>
      </c>
      <c r="L93" s="16">
        <f>DATE(VALUE(RIGHT(A93,4)),VALUE(MID(A93,4,2)),1)</f>
        <v/>
      </c>
      <c r="M93" s="17">
        <f>INDEX(IPCA!$D$5:$D$313,MATCH(Distrato!$B$3,IPCA!$A$5:$A$313,0))/INDEX(IPCA!$D$5:$D$313,MATCH(DATE(YEAR(L93),MONTH(L93)-1,1),IPCA!$A$5:$A$313,0))</f>
        <v/>
      </c>
      <c r="N93" s="15">
        <f>IF(L93&gt;Distrato!$B$3,D93,D93*M93)</f>
        <v/>
      </c>
    </row>
    <row r="94" ht="15" customHeight="1">
      <c r="A94" s="21" t="inlineStr">
        <is>
          <t>15/10/2008</t>
        </is>
      </c>
      <c r="B94" s="22" t="inlineStr">
        <is>
          <t>TOTAL CENTRO DE DISTRIBUICAO INTEGRADA LTDA - 12.460.301/0001-87</t>
        </is>
      </c>
      <c r="C94" s="22" t="inlineStr">
        <is>
          <t>FRUGIS REPRESENTACOES LTDA - 11.989.186/0001-70</t>
        </is>
      </c>
      <c r="D94" s="23">
        <f>G94</f>
        <v/>
      </c>
      <c r="E94" s="24" t="inlineStr">
        <is>
          <t>09/2008</t>
        </is>
      </c>
      <c r="F94" s="25" t="n">
        <v>1978.5</v>
      </c>
      <c r="G94" s="25" t="n">
        <v>3289.12</v>
      </c>
      <c r="H94" s="26">
        <f>F94-G94</f>
        <v/>
      </c>
      <c r="I94" s="24" t="inlineStr">
        <is>
          <t>Substituído pelo extrato real</t>
        </is>
      </c>
      <c r="J94" s="24" t="inlineStr">
        <is>
          <t>Extrato conta corrente - Tenda + ajuste %</t>
        </is>
      </c>
      <c r="K94" s="24">
        <f>VALUE(RIGHT(A94,4))</f>
        <v/>
      </c>
      <c r="L94" s="16">
        <f>DATE(VALUE(RIGHT(A94,4)),VALUE(MID(A94,4,2)),1)</f>
        <v/>
      </c>
      <c r="M94" s="17">
        <f>INDEX(IPCA!$D$5:$D$313,MATCH(Distrato!$B$3,IPCA!$A$5:$A$313,0))/INDEX(IPCA!$D$5:$D$313,MATCH(DATE(YEAR(L94),MONTH(L94)-1,1),IPCA!$A$5:$A$313,0))</f>
        <v/>
      </c>
      <c r="N94" s="15">
        <f>IF(L94&gt;Distrato!$B$3,D94,D94*M94)</f>
        <v/>
      </c>
    </row>
    <row r="95" ht="15" customHeight="1">
      <c r="A95" s="21" t="inlineStr">
        <is>
          <t>15/11/2008</t>
        </is>
      </c>
      <c r="B95" s="22" t="inlineStr">
        <is>
          <t>TOTAL CENTRO DE DISTRIBUICAO INTEGRADA LTDA - 12.460.301/0001-87</t>
        </is>
      </c>
      <c r="C95" s="22" t="inlineStr">
        <is>
          <t>FRUGIS REPRESENTACOES LTDA - 11.989.186/0001-70</t>
        </is>
      </c>
      <c r="D95" s="23">
        <f>G95</f>
        <v/>
      </c>
      <c r="E95" s="24" t="inlineStr">
        <is>
          <t>10/2008</t>
        </is>
      </c>
      <c r="F95" s="25" t="n">
        <v>1743.56</v>
      </c>
      <c r="G95" s="25" t="n">
        <v>2779.75</v>
      </c>
      <c r="H95" s="26">
        <f>F95-G95</f>
        <v/>
      </c>
      <c r="I95" s="24" t="inlineStr">
        <is>
          <t>Substituído pelo extrato real</t>
        </is>
      </c>
      <c r="J95" s="24" t="inlineStr">
        <is>
          <t>Extrato conta corrente - Tenda + ajuste %</t>
        </is>
      </c>
      <c r="K95" s="24">
        <f>VALUE(RIGHT(A95,4))</f>
        <v/>
      </c>
      <c r="L95" s="16">
        <f>DATE(VALUE(RIGHT(A95,4)),VALUE(MID(A95,4,2)),1)</f>
        <v/>
      </c>
      <c r="M95" s="17">
        <f>INDEX(IPCA!$D$5:$D$313,MATCH(Distrato!$B$3,IPCA!$A$5:$A$313,0))/INDEX(IPCA!$D$5:$D$313,MATCH(DATE(YEAR(L95),MONTH(L95)-1,1),IPCA!$A$5:$A$313,0))</f>
        <v/>
      </c>
      <c r="N95" s="15">
        <f>IF(L95&gt;Distrato!$B$3,D95,D95*M95)</f>
        <v/>
      </c>
    </row>
    <row r="96" ht="15" customHeight="1">
      <c r="A96" s="21" t="inlineStr">
        <is>
          <t>15/12/2008</t>
        </is>
      </c>
      <c r="B96" s="22" t="inlineStr">
        <is>
          <t>TOTAL CENTRO DE DISTRIBUICAO INTEGRADA LTDA - 12.460.301/0001-87</t>
        </is>
      </c>
      <c r="C96" s="22" t="inlineStr">
        <is>
          <t>FRUGIS REPRESENTACOES LTDA - 11.989.186/0001-70</t>
        </is>
      </c>
      <c r="D96" s="23">
        <f>G96</f>
        <v/>
      </c>
      <c r="E96" s="24" t="inlineStr">
        <is>
          <t>11/2008</t>
        </is>
      </c>
      <c r="F96" s="25" t="n">
        <v>1688.34</v>
      </c>
      <c r="G96" s="25" t="n">
        <v>3096.19</v>
      </c>
      <c r="H96" s="26">
        <f>F96-G96</f>
        <v/>
      </c>
      <c r="I96" s="24" t="inlineStr">
        <is>
          <t>Substituído pelo extrato real</t>
        </is>
      </c>
      <c r="J96" s="24" t="inlineStr">
        <is>
          <t>Extrato conta corrente - Tenda + ajuste %</t>
        </is>
      </c>
      <c r="K96" s="24">
        <f>VALUE(RIGHT(A96,4))</f>
        <v/>
      </c>
      <c r="L96" s="16">
        <f>DATE(VALUE(RIGHT(A96,4)),VALUE(MID(A96,4,2)),1)</f>
        <v/>
      </c>
      <c r="M96" s="17">
        <f>INDEX(IPCA!$D$5:$D$313,MATCH(Distrato!$B$3,IPCA!$A$5:$A$313,0))/INDEX(IPCA!$D$5:$D$313,MATCH(DATE(YEAR(L96),MONTH(L96)-1,1),IPCA!$A$5:$A$313,0))</f>
        <v/>
      </c>
      <c r="N96" s="15">
        <f>IF(L96&gt;Distrato!$B$3,D96,D96*M96)</f>
        <v/>
      </c>
    </row>
    <row r="97" ht="15" customHeight="1">
      <c r="A97" s="21" t="inlineStr">
        <is>
          <t>15/01/2009</t>
        </is>
      </c>
      <c r="B97" s="22" t="inlineStr">
        <is>
          <t>TOTAL CENTRO DE DISTRIBUICAO INTEGRADA LTDA - 12.460.301/0001-87</t>
        </is>
      </c>
      <c r="C97" s="22" t="inlineStr">
        <is>
          <t>FRUGIS REPRESENTACOES LTDA - 11.989.186/0001-70</t>
        </is>
      </c>
      <c r="D97" s="23">
        <f>G97</f>
        <v/>
      </c>
      <c r="E97" s="24" t="inlineStr">
        <is>
          <t>12/2008</t>
        </is>
      </c>
      <c r="F97" s="25" t="n">
        <v>3033.91</v>
      </c>
      <c r="G97" s="25" t="n">
        <v>4961.88</v>
      </c>
      <c r="H97" s="26">
        <f>F97-G97</f>
        <v/>
      </c>
      <c r="I97" s="24" t="inlineStr">
        <is>
          <t>Substituído pelo extrato real</t>
        </is>
      </c>
      <c r="J97" s="24" t="inlineStr">
        <is>
          <t>Extrato conta corrente - Tenda + ajuste %</t>
        </is>
      </c>
      <c r="K97" s="24">
        <f>VALUE(RIGHT(A97,4))</f>
        <v/>
      </c>
      <c r="L97" s="16">
        <f>DATE(VALUE(RIGHT(A97,4)),VALUE(MID(A97,4,2)),1)</f>
        <v/>
      </c>
      <c r="M97" s="17">
        <f>INDEX(IPCA!$D$5:$D$313,MATCH(Distrato!$B$3,IPCA!$A$5:$A$313,0))/INDEX(IPCA!$D$5:$D$313,MATCH(DATE(YEAR(L97),MONTH(L97)-1,1),IPCA!$A$5:$A$313,0))</f>
        <v/>
      </c>
      <c r="N97" s="15">
        <f>IF(L97&gt;Distrato!$B$3,D97,D97*M97)</f>
        <v/>
      </c>
    </row>
    <row r="98" ht="15" customHeight="1">
      <c r="A98" s="21" t="inlineStr">
        <is>
          <t>15/02/2009</t>
        </is>
      </c>
      <c r="B98" s="22" t="inlineStr">
        <is>
          <t>TOTAL CENTRO DE DISTRIBUICAO INTEGRADA LTDA - 12.460.301/0001-87</t>
        </is>
      </c>
      <c r="C98" s="22" t="inlineStr">
        <is>
          <t>FRUGIS REPRESENTACOES LTDA - 11.989.186/0001-70</t>
        </is>
      </c>
      <c r="D98" s="23">
        <f>G98</f>
        <v/>
      </c>
      <c r="E98" s="24" t="inlineStr">
        <is>
          <t>01/2009</t>
        </is>
      </c>
      <c r="F98" s="25" t="n">
        <v>2342.787985562516</v>
      </c>
      <c r="G98" s="25" t="n">
        <v>2188.91</v>
      </c>
      <c r="H98" s="26">
        <f>F98-G98</f>
        <v/>
      </c>
      <c r="I98" s="24" t="inlineStr">
        <is>
          <t>Substituído pelo extrato real</t>
        </is>
      </c>
      <c r="J98" s="24" t="inlineStr">
        <is>
          <t>Extrato conta corrente - Tenda + ajuste %</t>
        </is>
      </c>
      <c r="K98" s="24">
        <f>VALUE(RIGHT(A98,4))</f>
        <v/>
      </c>
      <c r="L98" s="16">
        <f>DATE(VALUE(RIGHT(A98,4)),VALUE(MID(A98,4,2)),1)</f>
        <v/>
      </c>
      <c r="M98" s="17">
        <f>INDEX(IPCA!$D$5:$D$313,MATCH(Distrato!$B$3,IPCA!$A$5:$A$313,0))/INDEX(IPCA!$D$5:$D$313,MATCH(DATE(YEAR(L98),MONTH(L98)-1,1),IPCA!$A$5:$A$313,0))</f>
        <v/>
      </c>
      <c r="N98" s="15">
        <f>IF(L98&gt;Distrato!$B$3,D98,D98*M98)</f>
        <v/>
      </c>
    </row>
    <row r="99" ht="15" customHeight="1">
      <c r="A99" s="21" t="inlineStr">
        <is>
          <t>15/03/2009</t>
        </is>
      </c>
      <c r="B99" s="22" t="inlineStr">
        <is>
          <t>TOTAL CENTRO DE DISTRIBUICAO INTEGRADA LTDA - 12.460.301/0001-87</t>
        </is>
      </c>
      <c r="C99" s="22" t="inlineStr">
        <is>
          <t>FRUGIS REPRESENTACOES LTDA - 11.989.186/0001-70</t>
        </is>
      </c>
      <c r="D99" s="23">
        <f>G99</f>
        <v/>
      </c>
      <c r="E99" s="24" t="inlineStr">
        <is>
          <t>02/2009</t>
        </is>
      </c>
      <c r="F99" s="25" t="n">
        <v>2333.611476952638</v>
      </c>
      <c r="G99" s="25" t="n">
        <v>4128.36</v>
      </c>
      <c r="H99" s="26">
        <f>F99-G99</f>
        <v/>
      </c>
      <c r="I99" s="24" t="inlineStr">
        <is>
          <t>Substituído pelo extrato real</t>
        </is>
      </c>
      <c r="J99" s="24" t="inlineStr">
        <is>
          <t>Extrato conta corrente - Tenda + ajuste %</t>
        </is>
      </c>
      <c r="K99" s="24">
        <f>VALUE(RIGHT(A99,4))</f>
        <v/>
      </c>
      <c r="L99" s="16">
        <f>DATE(VALUE(RIGHT(A99,4)),VALUE(MID(A99,4,2)),1)</f>
        <v/>
      </c>
      <c r="M99" s="17">
        <f>INDEX(IPCA!$D$5:$D$313,MATCH(Distrato!$B$3,IPCA!$A$5:$A$313,0))/INDEX(IPCA!$D$5:$D$313,MATCH(DATE(YEAR(L99),MONTH(L99)-1,1),IPCA!$A$5:$A$313,0))</f>
        <v/>
      </c>
      <c r="N99" s="15">
        <f>IF(L99&gt;Distrato!$B$3,D99,D99*M99)</f>
        <v/>
      </c>
    </row>
    <row r="100" ht="15" customHeight="1">
      <c r="A100" s="21" t="inlineStr">
        <is>
          <t>15/04/2009</t>
        </is>
      </c>
      <c r="B100" s="22" t="inlineStr">
        <is>
          <t>TOTAL CENTRO DE DISTRIBUICAO INTEGRADA LTDA - 12.460.301/0001-87</t>
        </is>
      </c>
      <c r="C100" s="22" t="inlineStr">
        <is>
          <t>FRUGIS REPRESENTACOES LTDA - 11.989.186/0001-70</t>
        </is>
      </c>
      <c r="D100" s="23">
        <f>G100</f>
        <v/>
      </c>
      <c r="E100" s="24" t="inlineStr">
        <is>
          <t>03/2009</t>
        </is>
      </c>
      <c r="F100" s="25" t="n">
        <v>2365.29302287407</v>
      </c>
      <c r="G100" s="25" t="n">
        <v>1644.02</v>
      </c>
      <c r="H100" s="26">
        <f>F100-G100</f>
        <v/>
      </c>
      <c r="I100" s="24" t="inlineStr">
        <is>
          <t>Substituído pelo extrato real</t>
        </is>
      </c>
      <c r="J100" s="24" t="inlineStr">
        <is>
          <t>Extrato conta corrente - Tenda + ajuste %</t>
        </is>
      </c>
      <c r="K100" s="24">
        <f>VALUE(RIGHT(A100,4))</f>
        <v/>
      </c>
      <c r="L100" s="16">
        <f>DATE(VALUE(RIGHT(A100,4)),VALUE(MID(A100,4,2)),1)</f>
        <v/>
      </c>
      <c r="M100" s="17">
        <f>INDEX(IPCA!$D$5:$D$313,MATCH(Distrato!$B$3,IPCA!$A$5:$A$313,0))/INDEX(IPCA!$D$5:$D$313,MATCH(DATE(YEAR(L100),MONTH(L100)-1,1),IPCA!$A$5:$A$313,0))</f>
        <v/>
      </c>
      <c r="N100" s="15">
        <f>IF(L100&gt;Distrato!$B$3,D100,D100*M100)</f>
        <v/>
      </c>
    </row>
    <row r="101" ht="15" customHeight="1">
      <c r="A101" s="21" t="inlineStr">
        <is>
          <t>15/05/2009</t>
        </is>
      </c>
      <c r="B101" s="22" t="inlineStr">
        <is>
          <t>TOTAL CENTRO DE DISTRIBUICAO INTEGRADA LTDA - 12.460.301/0001-87</t>
        </is>
      </c>
      <c r="C101" s="22" t="inlineStr">
        <is>
          <t>FRUGIS REPRESENTACOES LTDA - 11.989.186/0001-70</t>
        </is>
      </c>
      <c r="D101" s="23">
        <f>G101</f>
        <v/>
      </c>
      <c r="E101" s="24" t="inlineStr">
        <is>
          <t>04/2009</t>
        </is>
      </c>
      <c r="F101" s="25" t="n">
        <v>2316.665741924462</v>
      </c>
      <c r="G101" s="25" t="n">
        <v>3112.94</v>
      </c>
      <c r="H101" s="26">
        <f>F101-G101</f>
        <v/>
      </c>
      <c r="I101" s="24" t="inlineStr">
        <is>
          <t>Substituído pelo extrato real</t>
        </is>
      </c>
      <c r="J101" s="24" t="inlineStr">
        <is>
          <t>Extrato conta corrente - Tenda + ajuste %</t>
        </is>
      </c>
      <c r="K101" s="24">
        <f>VALUE(RIGHT(A101,4))</f>
        <v/>
      </c>
      <c r="L101" s="16">
        <f>DATE(VALUE(RIGHT(A101,4)),VALUE(MID(A101,4,2)),1)</f>
        <v/>
      </c>
      <c r="M101" s="17">
        <f>INDEX(IPCA!$D$5:$D$313,MATCH(Distrato!$B$3,IPCA!$A$5:$A$313,0))/INDEX(IPCA!$D$5:$D$313,MATCH(DATE(YEAR(L101),MONTH(L101)-1,1),IPCA!$A$5:$A$313,0))</f>
        <v/>
      </c>
      <c r="N101" s="15">
        <f>IF(L101&gt;Distrato!$B$3,D101,D101*M101)</f>
        <v/>
      </c>
    </row>
    <row r="102" ht="15" customHeight="1">
      <c r="A102" s="21" t="inlineStr">
        <is>
          <t>15/06/2009</t>
        </is>
      </c>
      <c r="B102" s="22" t="inlineStr">
        <is>
          <t>TOTAL CENTRO DE DISTRIBUICAO INTEGRADA LTDA - 12.460.301/0001-87</t>
        </is>
      </c>
      <c r="C102" s="22" t="inlineStr">
        <is>
          <t>FRUGIS REPRESENTACOES LTDA - 11.989.186/0001-70</t>
        </is>
      </c>
      <c r="D102" s="23">
        <f>G102</f>
        <v/>
      </c>
      <c r="E102" s="24" t="inlineStr">
        <is>
          <t>05/2009</t>
        </is>
      </c>
      <c r="F102" s="25" t="n">
        <v>2396.700954507508</v>
      </c>
      <c r="G102" s="25" t="n">
        <v>2666.25</v>
      </c>
      <c r="H102" s="26">
        <f>F102-G102</f>
        <v/>
      </c>
      <c r="I102" s="24" t="inlineStr">
        <is>
          <t>Substituído pelo extrato real</t>
        </is>
      </c>
      <c r="J102" s="24" t="inlineStr">
        <is>
          <t>Extrato conta corrente - Tenda + ajuste %</t>
        </is>
      </c>
      <c r="K102" s="24">
        <f>VALUE(RIGHT(A102,4))</f>
        <v/>
      </c>
      <c r="L102" s="16">
        <f>DATE(VALUE(RIGHT(A102,4)),VALUE(MID(A102,4,2)),1)</f>
        <v/>
      </c>
      <c r="M102" s="17">
        <f>INDEX(IPCA!$D$5:$D$313,MATCH(Distrato!$B$3,IPCA!$A$5:$A$313,0))/INDEX(IPCA!$D$5:$D$313,MATCH(DATE(YEAR(L102),MONTH(L102)-1,1),IPCA!$A$5:$A$313,0))</f>
        <v/>
      </c>
      <c r="N102" s="15">
        <f>IF(L102&gt;Distrato!$B$3,D102,D102*M102)</f>
        <v/>
      </c>
    </row>
    <row r="103" ht="15" customHeight="1">
      <c r="A103" s="21" t="inlineStr">
        <is>
          <t>15/07/2009</t>
        </is>
      </c>
      <c r="B103" s="22" t="inlineStr">
        <is>
          <t>TOTAL CENTRO DE DISTRIBUICAO INTEGRADA LTDA - 12.460.301/0001-87</t>
        </is>
      </c>
      <c r="C103" s="22" t="inlineStr">
        <is>
          <t>FRUGIS REPRESENTACOES LTDA - 11.989.186/0001-70</t>
        </is>
      </c>
      <c r="D103" s="23">
        <f>G103</f>
        <v/>
      </c>
      <c r="E103" s="24" t="inlineStr">
        <is>
          <t>06/2009</t>
        </is>
      </c>
      <c r="F103" s="25" t="n">
        <v>2308.63240977458</v>
      </c>
      <c r="G103" s="25" t="n">
        <v>4348.02</v>
      </c>
      <c r="H103" s="26">
        <f>F103-G103</f>
        <v/>
      </c>
      <c r="I103" s="24" t="inlineStr">
        <is>
          <t>Substituído pelo extrato real</t>
        </is>
      </c>
      <c r="J103" s="24" t="inlineStr">
        <is>
          <t>Extrato conta corrente - Tenda + ajuste %</t>
        </is>
      </c>
      <c r="K103" s="24">
        <f>VALUE(RIGHT(A103,4))</f>
        <v/>
      </c>
      <c r="L103" s="16">
        <f>DATE(VALUE(RIGHT(A103,4)),VALUE(MID(A103,4,2)),1)</f>
        <v/>
      </c>
      <c r="M103" s="17">
        <f>INDEX(IPCA!$D$5:$D$313,MATCH(Distrato!$B$3,IPCA!$A$5:$A$313,0))/INDEX(IPCA!$D$5:$D$313,MATCH(DATE(YEAR(L103),MONTH(L103)-1,1),IPCA!$A$5:$A$313,0))</f>
        <v/>
      </c>
      <c r="N103" s="15">
        <f>IF(L103&gt;Distrato!$B$3,D103,D103*M103)</f>
        <v/>
      </c>
    </row>
    <row r="104" ht="15" customHeight="1">
      <c r="A104" s="21" t="inlineStr">
        <is>
          <t>15/08/2009</t>
        </is>
      </c>
      <c r="B104" s="22" t="inlineStr">
        <is>
          <t>TOTAL CENTRO DE DISTRIBUICAO INTEGRADA LTDA - 12.460.301/0001-87</t>
        </is>
      </c>
      <c r="C104" s="22" t="inlineStr">
        <is>
          <t>FRUGIS REPRESENTACOES LTDA - 11.989.186/0001-70</t>
        </is>
      </c>
      <c r="D104" s="23">
        <f>G104</f>
        <v/>
      </c>
      <c r="E104" s="24" t="inlineStr">
        <is>
          <t>07/2009</t>
        </is>
      </c>
      <c r="F104" s="25" t="n">
        <v>2419.054362762936</v>
      </c>
      <c r="G104" s="25" t="n">
        <v>3127.04</v>
      </c>
      <c r="H104" s="26">
        <f>F104-G104</f>
        <v/>
      </c>
      <c r="I104" s="24" t="inlineStr">
        <is>
          <t>Substituído pelo extrato real</t>
        </is>
      </c>
      <c r="J104" s="24" t="inlineStr">
        <is>
          <t>Extrato conta corrente - Tenda</t>
        </is>
      </c>
      <c r="K104" s="24">
        <f>VALUE(RIGHT(A104,4))</f>
        <v/>
      </c>
      <c r="L104" s="16">
        <f>DATE(VALUE(RIGHT(A104,4)),VALUE(MID(A104,4,2)),1)</f>
        <v/>
      </c>
      <c r="M104" s="17">
        <f>INDEX(IPCA!$D$5:$D$313,MATCH(Distrato!$B$3,IPCA!$A$5:$A$313,0))/INDEX(IPCA!$D$5:$D$313,MATCH(DATE(YEAR(L104),MONTH(L104)-1,1),IPCA!$A$5:$A$313,0))</f>
        <v/>
      </c>
      <c r="N104" s="15">
        <f>IF(L104&gt;Distrato!$B$3,D104,D104*M104)</f>
        <v/>
      </c>
    </row>
    <row r="105" ht="15" customHeight="1">
      <c r="A105" s="21" t="inlineStr">
        <is>
          <t>15/09/2009</t>
        </is>
      </c>
      <c r="B105" s="22" t="inlineStr">
        <is>
          <t>TOTAL CENTRO DE DISTRIBUICAO INTEGRADA LTDA - 12.460.301/0001-87</t>
        </is>
      </c>
      <c r="C105" s="22" t="inlineStr">
        <is>
          <t>FRUGIS REPRESENTACOES LTDA - 11.989.186/0001-70</t>
        </is>
      </c>
      <c r="D105" s="23">
        <f>G105</f>
        <v/>
      </c>
      <c r="E105" s="24" t="inlineStr">
        <is>
          <t>08/2009</t>
        </is>
      </c>
      <c r="F105" s="25" t="n">
        <v>2393.075776257878</v>
      </c>
      <c r="G105" s="25" t="n">
        <v>3313.89</v>
      </c>
      <c r="H105" s="26">
        <f>F105-G105</f>
        <v/>
      </c>
      <c r="I105" s="24" t="inlineStr">
        <is>
          <t>Substituído pelo extrato real</t>
        </is>
      </c>
      <c r="J105" s="24" t="inlineStr">
        <is>
          <t>Extrato conta corrente - Tenda + ajuste %</t>
        </is>
      </c>
      <c r="K105" s="24">
        <f>VALUE(RIGHT(A105,4))</f>
        <v/>
      </c>
      <c r="L105" s="16">
        <f>DATE(VALUE(RIGHT(A105,4)),VALUE(MID(A105,4,2)),1)</f>
        <v/>
      </c>
      <c r="M105" s="17">
        <f>INDEX(IPCA!$D$5:$D$313,MATCH(Distrato!$B$3,IPCA!$A$5:$A$313,0))/INDEX(IPCA!$D$5:$D$313,MATCH(DATE(YEAR(L105),MONTH(L105)-1,1),IPCA!$A$5:$A$313,0))</f>
        <v/>
      </c>
      <c r="N105" s="15">
        <f>IF(L105&gt;Distrato!$B$3,D105,D105*M105)</f>
        <v/>
      </c>
    </row>
    <row r="106" ht="15" customHeight="1">
      <c r="A106" s="21" t="inlineStr">
        <is>
          <t>15/10/2009</t>
        </is>
      </c>
      <c r="B106" s="22" t="inlineStr">
        <is>
          <t>TOTAL CENTRO DE DISTRIBUICAO INTEGRADA LTDA - 12.460.301/0001-87</t>
        </is>
      </c>
      <c r="C106" s="22" t="inlineStr">
        <is>
          <t>FRUGIS REPRESENTACOES LTDA - 11.989.186/0001-70</t>
        </is>
      </c>
      <c r="D106" s="23">
        <f>G106</f>
        <v/>
      </c>
      <c r="E106" s="24" t="inlineStr">
        <is>
          <t>09/2009</t>
        </is>
      </c>
      <c r="F106" s="25" t="n">
        <v>2323.66036172513</v>
      </c>
      <c r="G106" s="25" t="n">
        <v>3753.26</v>
      </c>
      <c r="H106" s="26">
        <f>F106-G106</f>
        <v/>
      </c>
      <c r="I106" s="24" t="inlineStr">
        <is>
          <t>Substituído pelo extrato real</t>
        </is>
      </c>
      <c r="J106" s="24" t="inlineStr">
        <is>
          <t>Extrato conta corrente - Tenda + ajuste %</t>
        </is>
      </c>
      <c r="K106" s="24">
        <f>VALUE(RIGHT(A106,4))</f>
        <v/>
      </c>
      <c r="L106" s="16">
        <f>DATE(VALUE(RIGHT(A106,4)),VALUE(MID(A106,4,2)),1)</f>
        <v/>
      </c>
      <c r="M106" s="17">
        <f>INDEX(IPCA!$D$5:$D$313,MATCH(Distrato!$B$3,IPCA!$A$5:$A$313,0))/INDEX(IPCA!$D$5:$D$313,MATCH(DATE(YEAR(L106),MONTH(L106)-1,1),IPCA!$A$5:$A$313,0))</f>
        <v/>
      </c>
      <c r="N106" s="15">
        <f>IF(L106&gt;Distrato!$B$3,D106,D106*M106)</f>
        <v/>
      </c>
    </row>
    <row r="107" ht="15" customHeight="1">
      <c r="A107" s="21" t="inlineStr">
        <is>
          <t>15/11/2009</t>
        </is>
      </c>
      <c r="B107" s="22" t="inlineStr">
        <is>
          <t>TOTAL CENTRO DE DISTRIBUICAO INTEGRADA LTDA - 12.460.301/0001-87</t>
        </is>
      </c>
      <c r="C107" s="22" t="inlineStr">
        <is>
          <t>FRUGIS REPRESENTACOES LTDA - 11.989.186/0001-70</t>
        </is>
      </c>
      <c r="D107" s="23">
        <f>G107</f>
        <v/>
      </c>
      <c r="E107" s="24" t="inlineStr">
        <is>
          <t>10/2009</t>
        </is>
      </c>
      <c r="F107" s="25" t="n">
        <v>2300.277744095503</v>
      </c>
      <c r="G107" s="25" t="n">
        <v>3874.4</v>
      </c>
      <c r="H107" s="26">
        <f>F107-G107</f>
        <v/>
      </c>
      <c r="I107" s="24" t="inlineStr">
        <is>
          <t>Substituído pelo extrato real</t>
        </is>
      </c>
      <c r="J107" s="24" t="inlineStr">
        <is>
          <t>Extrato conta corrente - Tenda + ajuste %</t>
        </is>
      </c>
      <c r="K107" s="24">
        <f>VALUE(RIGHT(A107,4))</f>
        <v/>
      </c>
      <c r="L107" s="16">
        <f>DATE(VALUE(RIGHT(A107,4)),VALUE(MID(A107,4,2)),1)</f>
        <v/>
      </c>
      <c r="M107" s="17">
        <f>INDEX(IPCA!$D$5:$D$313,MATCH(Distrato!$B$3,IPCA!$A$5:$A$313,0))/INDEX(IPCA!$D$5:$D$313,MATCH(DATE(YEAR(L107),MONTH(L107)-1,1),IPCA!$A$5:$A$313,0))</f>
        <v/>
      </c>
      <c r="N107" s="15">
        <f>IF(L107&gt;Distrato!$B$3,D107,D107*M107)</f>
        <v/>
      </c>
    </row>
    <row r="108" ht="15" customHeight="1">
      <c r="A108" s="21" t="inlineStr">
        <is>
          <t>15/12/2009</t>
        </is>
      </c>
      <c r="B108" s="22" t="inlineStr">
        <is>
          <t>TOTAL CENTRO DE DISTRIBUICAO INTEGRADA LTDA - 12.460.301/0001-87</t>
        </is>
      </c>
      <c r="C108" s="22" t="inlineStr">
        <is>
          <t>FRUGIS REPRESENTACOES LTDA - 11.989.186/0001-70</t>
        </is>
      </c>
      <c r="D108" s="23">
        <f>G108</f>
        <v/>
      </c>
      <c r="E108" s="24" t="inlineStr">
        <is>
          <t>11/2009</t>
        </is>
      </c>
      <c r="F108" s="25" t="n">
        <v>2398.306378112596</v>
      </c>
      <c r="G108" s="25" t="n">
        <v>3562.55</v>
      </c>
      <c r="H108" s="26">
        <f>F108-G108</f>
        <v/>
      </c>
      <c r="I108" s="24" t="inlineStr">
        <is>
          <t>Substituído pelo extrato real</t>
        </is>
      </c>
      <c r="J108" s="24" t="inlineStr">
        <is>
          <t>Extrato conta corrente - Tenda + ajuste %</t>
        </is>
      </c>
      <c r="K108" s="24">
        <f>VALUE(RIGHT(A108,4))</f>
        <v/>
      </c>
      <c r="L108" s="16">
        <f>DATE(VALUE(RIGHT(A108,4)),VALUE(MID(A108,4,2)),1)</f>
        <v/>
      </c>
      <c r="M108" s="17">
        <f>INDEX(IPCA!$D$5:$D$313,MATCH(Distrato!$B$3,IPCA!$A$5:$A$313,0))/INDEX(IPCA!$D$5:$D$313,MATCH(DATE(YEAR(L108),MONTH(L108)-1,1),IPCA!$A$5:$A$313,0))</f>
        <v/>
      </c>
      <c r="N108" s="15">
        <f>IF(L108&gt;Distrato!$B$3,D108,D108*M108)</f>
        <v/>
      </c>
    </row>
    <row r="109" ht="15" customHeight="1">
      <c r="A109" s="21" t="inlineStr">
        <is>
          <t>15/01/2010</t>
        </is>
      </c>
      <c r="B109" s="22" t="inlineStr">
        <is>
          <t>TOTAL CENTRO DE DISTRIBUICAO INTEGRADA LTDA - 12.460.301/0001-87</t>
        </is>
      </c>
      <c r="C109" s="22" t="inlineStr">
        <is>
          <t>FRUGIS REPRESENTACOES LTDA - 11.989.186/0001-70</t>
        </is>
      </c>
      <c r="D109" s="23">
        <f>G109</f>
        <v/>
      </c>
      <c r="E109" s="24" t="inlineStr">
        <is>
          <t>12/2009</t>
        </is>
      </c>
      <c r="F109" s="25" t="n">
        <v>2385.16180059453</v>
      </c>
      <c r="G109" s="25" t="n">
        <v>2012.91</v>
      </c>
      <c r="H109" s="26">
        <f>F109-G109</f>
        <v/>
      </c>
      <c r="I109" s="24" t="inlineStr">
        <is>
          <t>Substituído pelo extrato real</t>
        </is>
      </c>
      <c r="J109" s="24" t="inlineStr">
        <is>
          <t>Extrato conta corrente - Tenda + ajuste %</t>
        </is>
      </c>
      <c r="K109" s="24">
        <f>VALUE(RIGHT(A109,4))</f>
        <v/>
      </c>
      <c r="L109" s="16">
        <f>DATE(VALUE(RIGHT(A109,4)),VALUE(MID(A109,4,2)),1)</f>
        <v/>
      </c>
      <c r="M109" s="17">
        <f>INDEX(IPCA!$D$5:$D$313,MATCH(Distrato!$B$3,IPCA!$A$5:$A$313,0))/INDEX(IPCA!$D$5:$D$313,MATCH(DATE(YEAR(L109),MONTH(L109)-1,1),IPCA!$A$5:$A$313,0))</f>
        <v/>
      </c>
      <c r="N109" s="15">
        <f>IF(L109&gt;Distrato!$B$3,D109,D109*M109)</f>
        <v/>
      </c>
    </row>
    <row r="110" ht="15" customHeight="1">
      <c r="A110" s="21" t="inlineStr">
        <is>
          <t>15/02/2010</t>
        </is>
      </c>
      <c r="B110" s="22" t="inlineStr">
        <is>
          <t>TOTAL CENTRO DE DISTRIBUICAO INTEGRADA LTDA - 12.460.301/0001-87</t>
        </is>
      </c>
      <c r="C110" s="22" t="inlineStr">
        <is>
          <t>FRUGIS REPRESENTACOES LTDA - 11.989.186/0001-70</t>
        </is>
      </c>
      <c r="D110" s="23">
        <f>G110</f>
        <v/>
      </c>
      <c r="E110" s="24" t="inlineStr">
        <is>
          <t>01/2010</t>
        </is>
      </c>
      <c r="F110" s="25" t="n">
        <v>4028.72</v>
      </c>
      <c r="G110" s="25" t="n">
        <v>4028.72</v>
      </c>
      <c r="H110" s="26">
        <f>F110-G110</f>
        <v/>
      </c>
      <c r="I110" s="24" t="inlineStr">
        <is>
          <t>Extrato real</t>
        </is>
      </c>
      <c r="J110" s="24" t="inlineStr">
        <is>
          <t>Extrato conta corrente - Tenda</t>
        </is>
      </c>
      <c r="K110" s="24">
        <f>VALUE(RIGHT(A110,4))</f>
        <v/>
      </c>
      <c r="L110" s="16">
        <f>DATE(VALUE(RIGHT(A110,4)),VALUE(MID(A110,4,2)),1)</f>
        <v/>
      </c>
      <c r="M110" s="17">
        <f>INDEX(IPCA!$D$5:$D$313,MATCH(Distrato!$B$3,IPCA!$A$5:$A$313,0))/INDEX(IPCA!$D$5:$D$313,MATCH(DATE(YEAR(L110),MONTH(L110)-1,1),IPCA!$A$5:$A$313,0))</f>
        <v/>
      </c>
      <c r="N110" s="15">
        <f>IF(L110&gt;Distrato!$B$3,D110,D110*M110)</f>
        <v/>
      </c>
    </row>
    <row r="111" ht="15" customHeight="1">
      <c r="A111" s="21" t="inlineStr">
        <is>
          <t>15/03/2010</t>
        </is>
      </c>
      <c r="B111" s="22" t="inlineStr">
        <is>
          <t>TOTAL CENTRO DE DISTRIBUICAO INTEGRADA LTDA - 12.460.301/0001-87</t>
        </is>
      </c>
      <c r="C111" s="22" t="inlineStr">
        <is>
          <t>FRUGIS REPRESENTACOES LTDA - 11.989.186/0001-70</t>
        </is>
      </c>
      <c r="D111" s="23">
        <f>G111</f>
        <v/>
      </c>
      <c r="E111" s="24" t="inlineStr">
        <is>
          <t>02/2010</t>
        </is>
      </c>
      <c r="F111" s="25" t="n">
        <v>2811.71</v>
      </c>
      <c r="G111" s="25" t="n">
        <v>2811.71</v>
      </c>
      <c r="H111" s="26">
        <f>F111-G111</f>
        <v/>
      </c>
      <c r="I111" s="24" t="inlineStr">
        <is>
          <t>Extrato real</t>
        </is>
      </c>
      <c r="J111" s="24" t="inlineStr">
        <is>
          <t>Extrato conta corrente - Tenda</t>
        </is>
      </c>
      <c r="K111" s="24">
        <f>VALUE(RIGHT(A111,4))</f>
        <v/>
      </c>
      <c r="L111" s="16">
        <f>DATE(VALUE(RIGHT(A111,4)),VALUE(MID(A111,4,2)),1)</f>
        <v/>
      </c>
      <c r="M111" s="17">
        <f>INDEX(IPCA!$D$5:$D$313,MATCH(Distrato!$B$3,IPCA!$A$5:$A$313,0))/INDEX(IPCA!$D$5:$D$313,MATCH(DATE(YEAR(L111),MONTH(L111)-1,1),IPCA!$A$5:$A$313,0))</f>
        <v/>
      </c>
      <c r="N111" s="15">
        <f>IF(L111&gt;Distrato!$B$3,D111,D111*M111)</f>
        <v/>
      </c>
    </row>
    <row r="112" ht="15" customHeight="1">
      <c r="A112" s="21" t="inlineStr">
        <is>
          <t>15/04/2010</t>
        </is>
      </c>
      <c r="B112" s="22" t="inlineStr">
        <is>
          <t>TOTAL CENTRO DE DISTRIBUICAO INTEGRADA LTDA - 12.460.301/0001-87</t>
        </is>
      </c>
      <c r="C112" s="22" t="inlineStr">
        <is>
          <t>FRUGIS REPRESENTACOES LTDA - 11.989.186/0001-70</t>
        </is>
      </c>
      <c r="D112" s="23">
        <f>G112</f>
        <v/>
      </c>
      <c r="E112" s="24" t="inlineStr">
        <is>
          <t>03/2010</t>
        </is>
      </c>
      <c r="F112" s="25" t="n">
        <v>3136.400000000001</v>
      </c>
      <c r="G112" s="25" t="n">
        <v>3136.4</v>
      </c>
      <c r="H112" s="26">
        <f>F112-G112</f>
        <v/>
      </c>
      <c r="I112" s="24" t="inlineStr">
        <is>
          <t>Extrato real</t>
        </is>
      </c>
      <c r="J112" s="24" t="inlineStr">
        <is>
          <t>Extrato conta corrente - Tenda</t>
        </is>
      </c>
      <c r="K112" s="24">
        <f>VALUE(RIGHT(A112,4))</f>
        <v/>
      </c>
      <c r="L112" s="16">
        <f>DATE(VALUE(RIGHT(A112,4)),VALUE(MID(A112,4,2)),1)</f>
        <v/>
      </c>
      <c r="M112" s="17">
        <f>INDEX(IPCA!$D$5:$D$313,MATCH(Distrato!$B$3,IPCA!$A$5:$A$313,0))/INDEX(IPCA!$D$5:$D$313,MATCH(DATE(YEAR(L112),MONTH(L112)-1,1),IPCA!$A$5:$A$313,0))</f>
        <v/>
      </c>
      <c r="N112" s="15">
        <f>IF(L112&gt;Distrato!$B$3,D112,D112*M112)</f>
        <v/>
      </c>
    </row>
    <row r="113" ht="15" customHeight="1">
      <c r="A113" s="21" t="inlineStr">
        <is>
          <t>15/05/2010</t>
        </is>
      </c>
      <c r="B113" s="22" t="inlineStr">
        <is>
          <t>TOTAL CENTRO DE DISTRIBUICAO INTEGRADA LTDA - 12.460.301/0001-87</t>
        </is>
      </c>
      <c r="C113" s="22" t="inlineStr">
        <is>
          <t>FRUGIS REPRESENTACOES LTDA - 11.989.186/0001-70</t>
        </is>
      </c>
      <c r="D113" s="23">
        <f>G113</f>
        <v/>
      </c>
      <c r="E113" s="24" t="inlineStr">
        <is>
          <t>04/2010</t>
        </is>
      </c>
      <c r="F113" s="25" t="n">
        <v>2293.77</v>
      </c>
      <c r="G113" s="25" t="n">
        <v>2293.77</v>
      </c>
      <c r="H113" s="26">
        <f>F113-G113</f>
        <v/>
      </c>
      <c r="I113" s="24" t="inlineStr">
        <is>
          <t>Extrato real</t>
        </is>
      </c>
      <c r="J113" s="24" t="inlineStr">
        <is>
          <t>Extrato conta corrente - Tenda</t>
        </is>
      </c>
      <c r="K113" s="24">
        <f>VALUE(RIGHT(A113,4))</f>
        <v/>
      </c>
      <c r="L113" s="16">
        <f>DATE(VALUE(RIGHT(A113,4)),VALUE(MID(A113,4,2)),1)</f>
        <v/>
      </c>
      <c r="M113" s="17">
        <f>INDEX(IPCA!$D$5:$D$313,MATCH(Distrato!$B$3,IPCA!$A$5:$A$313,0))/INDEX(IPCA!$D$5:$D$313,MATCH(DATE(YEAR(L113),MONTH(L113)-1,1),IPCA!$A$5:$A$313,0))</f>
        <v/>
      </c>
      <c r="N113" s="15">
        <f>IF(L113&gt;Distrato!$B$3,D113,D113*M113)</f>
        <v/>
      </c>
    </row>
    <row r="114" ht="15" customHeight="1">
      <c r="A114" s="21" t="inlineStr">
        <is>
          <t>15/06/2010</t>
        </is>
      </c>
      <c r="B114" s="22" t="inlineStr">
        <is>
          <t>TOTAL CENTRO DE DISTRIBUICAO INTEGRADA LTDA - 12.460.301/0001-87</t>
        </is>
      </c>
      <c r="C114" s="22" t="inlineStr">
        <is>
          <t>FRUGIS REPRESENTACOES LTDA - 11.989.186/0001-70</t>
        </is>
      </c>
      <c r="D114" s="23">
        <f>G114</f>
        <v/>
      </c>
      <c r="E114" s="24" t="inlineStr">
        <is>
          <t>05/2010</t>
        </is>
      </c>
      <c r="F114" s="25" t="n">
        <v>1501.53</v>
      </c>
      <c r="G114" s="25" t="n">
        <v>1501.53</v>
      </c>
      <c r="H114" s="26">
        <f>F114-G114</f>
        <v/>
      </c>
      <c r="I114" s="24" t="inlineStr">
        <is>
          <t>Extrato real</t>
        </is>
      </c>
      <c r="J114" s="24" t="inlineStr">
        <is>
          <t>Extrato conta corrente - Tenda</t>
        </is>
      </c>
      <c r="K114" s="24">
        <f>VALUE(RIGHT(A114,4))</f>
        <v/>
      </c>
      <c r="L114" s="16">
        <f>DATE(VALUE(RIGHT(A114,4)),VALUE(MID(A114,4,2)),1)</f>
        <v/>
      </c>
      <c r="M114" s="17">
        <f>INDEX(IPCA!$D$5:$D$313,MATCH(Distrato!$B$3,IPCA!$A$5:$A$313,0))/INDEX(IPCA!$D$5:$D$313,MATCH(DATE(YEAR(L114),MONTH(L114)-1,1),IPCA!$A$5:$A$313,0))</f>
        <v/>
      </c>
      <c r="N114" s="15">
        <f>IF(L114&gt;Distrato!$B$3,D114,D114*M114)</f>
        <v/>
      </c>
    </row>
    <row r="115" ht="15" customHeight="1">
      <c r="A115" s="21" t="inlineStr">
        <is>
          <t>15/07/2010</t>
        </is>
      </c>
      <c r="B115" s="22" t="inlineStr">
        <is>
          <t>TOTAL CENTRO DE DISTRIBUICAO INTEGRADA LTDA - 12.460.301/0001-87</t>
        </is>
      </c>
      <c r="C115" s="22" t="inlineStr">
        <is>
          <t>FRUGIS REPRESENTACOES LTDA - 11.989.186/0001-70</t>
        </is>
      </c>
      <c r="D115" s="23">
        <f>G115</f>
        <v/>
      </c>
      <c r="E115" s="24" t="inlineStr">
        <is>
          <t>06/2010</t>
        </is>
      </c>
      <c r="F115" s="25" t="n">
        <v>3171.12</v>
      </c>
      <c r="G115" s="25" t="n">
        <v>3171.12</v>
      </c>
      <c r="H115" s="26">
        <f>F115-G115</f>
        <v/>
      </c>
      <c r="I115" s="24" t="inlineStr">
        <is>
          <t>Extrato real</t>
        </is>
      </c>
      <c r="J115" s="24" t="inlineStr">
        <is>
          <t>Extrato conta corrente - Tenda</t>
        </is>
      </c>
      <c r="K115" s="24">
        <f>VALUE(RIGHT(A115,4))</f>
        <v/>
      </c>
      <c r="L115" s="16">
        <f>DATE(VALUE(RIGHT(A115,4)),VALUE(MID(A115,4,2)),1)</f>
        <v/>
      </c>
      <c r="M115" s="17">
        <f>INDEX(IPCA!$D$5:$D$313,MATCH(Distrato!$B$3,IPCA!$A$5:$A$313,0))/INDEX(IPCA!$D$5:$D$313,MATCH(DATE(YEAR(L115),MONTH(L115)-1,1),IPCA!$A$5:$A$313,0))</f>
        <v/>
      </c>
      <c r="N115" s="15">
        <f>IF(L115&gt;Distrato!$B$3,D115,D115*M115)</f>
        <v/>
      </c>
    </row>
    <row r="116" ht="15" customHeight="1">
      <c r="A116" s="21" t="inlineStr">
        <is>
          <t>15/08/2010</t>
        </is>
      </c>
      <c r="B116" s="22" t="inlineStr">
        <is>
          <t>TOTAL CENTRO DE DISTRIBUICAO INTEGRADA LTDA - 12.460.301/0001-87</t>
        </is>
      </c>
      <c r="C116" s="22" t="inlineStr">
        <is>
          <t>FRUGIS REPRESENTACOES LTDA - 11.989.186/0001-70</t>
        </is>
      </c>
      <c r="D116" s="23">
        <f>G116</f>
        <v/>
      </c>
      <c r="E116" s="24" t="inlineStr">
        <is>
          <t>07/2010</t>
        </is>
      </c>
      <c r="F116" s="25" t="n">
        <v>1593.27</v>
      </c>
      <c r="G116" s="25" t="n">
        <v>1593.27</v>
      </c>
      <c r="H116" s="26">
        <f>F116-G116</f>
        <v/>
      </c>
      <c r="I116" s="24" t="inlineStr">
        <is>
          <t>Extrato real</t>
        </is>
      </c>
      <c r="J116" s="24" t="inlineStr">
        <is>
          <t>Extrato conta corrente - Tenda</t>
        </is>
      </c>
      <c r="K116" s="24">
        <f>VALUE(RIGHT(A116,4))</f>
        <v/>
      </c>
      <c r="L116" s="16">
        <f>DATE(VALUE(RIGHT(A116,4)),VALUE(MID(A116,4,2)),1)</f>
        <v/>
      </c>
      <c r="M116" s="17">
        <f>INDEX(IPCA!$D$5:$D$313,MATCH(Distrato!$B$3,IPCA!$A$5:$A$313,0))/INDEX(IPCA!$D$5:$D$313,MATCH(DATE(YEAR(L116),MONTH(L116)-1,1),IPCA!$A$5:$A$313,0))</f>
        <v/>
      </c>
      <c r="N116" s="15">
        <f>IF(L116&gt;Distrato!$B$3,D116,D116*M116)</f>
        <v/>
      </c>
    </row>
    <row r="117" ht="15" customHeight="1">
      <c r="A117" s="21" t="inlineStr">
        <is>
          <t>15/09/2010</t>
        </is>
      </c>
      <c r="B117" s="22" t="inlineStr">
        <is>
          <t>TOTAL CENTRO DE DISTRIBUICAO INTEGRADA LTDA - 12.460.301/0001-87</t>
        </is>
      </c>
      <c r="C117" s="22" t="inlineStr">
        <is>
          <t>FRUGIS REPRESENTACOES LTDA - 11.989.186/0001-70</t>
        </is>
      </c>
      <c r="D117" s="23">
        <f>G117</f>
        <v/>
      </c>
      <c r="E117" s="24" t="inlineStr">
        <is>
          <t>08/2010</t>
        </is>
      </c>
      <c r="F117" s="25" t="n">
        <v>2355.27</v>
      </c>
      <c r="G117" s="25" t="n">
        <v>2355.27</v>
      </c>
      <c r="H117" s="26">
        <f>F117-G117</f>
        <v/>
      </c>
      <c r="I117" s="24" t="inlineStr">
        <is>
          <t>Extrato real</t>
        </is>
      </c>
      <c r="J117" s="24" t="inlineStr">
        <is>
          <t>Extrato conta corrente - Tenda</t>
        </is>
      </c>
      <c r="K117" s="24">
        <f>VALUE(RIGHT(A117,4))</f>
        <v/>
      </c>
      <c r="L117" s="16">
        <f>DATE(VALUE(RIGHT(A117,4)),VALUE(MID(A117,4,2)),1)</f>
        <v/>
      </c>
      <c r="M117" s="17">
        <f>INDEX(IPCA!$D$5:$D$313,MATCH(Distrato!$B$3,IPCA!$A$5:$A$313,0))/INDEX(IPCA!$D$5:$D$313,MATCH(DATE(YEAR(L117),MONTH(L117)-1,1),IPCA!$A$5:$A$313,0))</f>
        <v/>
      </c>
      <c r="N117" s="15">
        <f>IF(L117&gt;Distrato!$B$3,D117,D117*M117)</f>
        <v/>
      </c>
    </row>
    <row r="118" ht="15" customHeight="1">
      <c r="A118" s="21" t="inlineStr">
        <is>
          <t>15/10/2010</t>
        </is>
      </c>
      <c r="B118" s="22" t="inlineStr">
        <is>
          <t>TOTAL CENTRO DE DISTRIBUICAO INTEGRADA LTDA - 12.460.301/0001-87</t>
        </is>
      </c>
      <c r="C118" s="22" t="inlineStr">
        <is>
          <t>FRUGIS REPRESENTACOES LTDA - 11.989.186/0001-70</t>
        </is>
      </c>
      <c r="D118" s="23">
        <f>G118</f>
        <v/>
      </c>
      <c r="E118" s="24" t="inlineStr">
        <is>
          <t>09/2010</t>
        </is>
      </c>
      <c r="F118" s="25" t="n">
        <v>1832.95</v>
      </c>
      <c r="G118" s="25" t="n">
        <v>1832.95</v>
      </c>
      <c r="H118" s="26">
        <f>F118-G118</f>
        <v/>
      </c>
      <c r="I118" s="24" t="inlineStr">
        <is>
          <t>Extrato real</t>
        </is>
      </c>
      <c r="J118" s="24" t="inlineStr">
        <is>
          <t>Extrato conta corrente - Tenda</t>
        </is>
      </c>
      <c r="K118" s="24">
        <f>VALUE(RIGHT(A118,4))</f>
        <v/>
      </c>
      <c r="L118" s="16">
        <f>DATE(VALUE(RIGHT(A118,4)),VALUE(MID(A118,4,2)),1)</f>
        <v/>
      </c>
      <c r="M118" s="17">
        <f>INDEX(IPCA!$D$5:$D$313,MATCH(Distrato!$B$3,IPCA!$A$5:$A$313,0))/INDEX(IPCA!$D$5:$D$313,MATCH(DATE(YEAR(L118),MONTH(L118)-1,1),IPCA!$A$5:$A$313,0))</f>
        <v/>
      </c>
      <c r="N118" s="15">
        <f>IF(L118&gt;Distrato!$B$3,D118,D118*M118)</f>
        <v/>
      </c>
    </row>
    <row r="119" ht="15" customHeight="1">
      <c r="A119" s="18" t="inlineStr">
        <is>
          <t>15/11/2010</t>
        </is>
      </c>
      <c r="B119" s="19" t="inlineStr">
        <is>
          <t>TOTAL CENTRO DE DISTRIBUICAO INTEGRADA LTDA - 12.460.301/0001-87</t>
        </is>
      </c>
      <c r="C119" s="19" t="inlineStr">
        <is>
          <t>FRUGIS REPRESENTACOES LTDA - 11.989.186/0001-70</t>
        </is>
      </c>
      <c r="D119" s="20">
        <f>F119</f>
        <v/>
      </c>
      <c r="E119" s="13" t="inlineStr">
        <is>
          <t>10/2010</t>
        </is>
      </c>
      <c r="F119" s="14" t="n">
        <v>2479.213265397804</v>
      </c>
      <c r="G119" s="14" t="n">
        <v>2440.52</v>
      </c>
      <c r="H119" s="15">
        <f>F119-G119</f>
        <v/>
      </c>
      <c r="I119" s="13" t="inlineStr">
        <is>
          <t>Mantido valor original da base (sem extrato)</t>
        </is>
      </c>
      <c r="J119" s="13" t="inlineStr">
        <is>
          <t>ESTIMADO (média c/ variação)</t>
        </is>
      </c>
      <c r="K119" s="13">
        <f>VALUE(RIGHT(A119,4))</f>
        <v/>
      </c>
      <c r="L119" s="16">
        <f>DATE(VALUE(RIGHT(A119,4)),VALUE(MID(A119,4,2)),1)</f>
        <v/>
      </c>
      <c r="M119" s="17">
        <f>INDEX(IPCA!$D$5:$D$313,MATCH(Distrato!$B$3,IPCA!$A$5:$A$313,0))/INDEX(IPCA!$D$5:$D$313,MATCH(DATE(YEAR(L119),MONTH(L119)-1,1),IPCA!$A$5:$A$313,0))</f>
        <v/>
      </c>
      <c r="N119" s="15">
        <f>IF(L119&gt;Distrato!$B$3,D119,D119*M119)</f>
        <v/>
      </c>
    </row>
    <row r="120" ht="15" customHeight="1">
      <c r="A120" s="10" t="inlineStr">
        <is>
          <t>15/12/2010</t>
        </is>
      </c>
      <c r="B120" s="11" t="inlineStr">
        <is>
          <t>TOTAL CENTRO DE DISTRIBUICAO INTEGRADA LTDA - 12.460.301/0001-87</t>
        </is>
      </c>
      <c r="C120" s="11" t="inlineStr">
        <is>
          <t>FRUGIS REPRESENTACOES LTDA - 11.989.186/0001-70</t>
        </is>
      </c>
      <c r="D120" s="12">
        <f>F120</f>
        <v/>
      </c>
      <c r="E120" s="13" t="inlineStr">
        <is>
          <t>11/2010</t>
        </is>
      </c>
      <c r="F120" s="14" t="n">
        <v>2510.7318827763</v>
      </c>
      <c r="G120" s="14" t="n">
        <v>2860.07</v>
      </c>
      <c r="H120" s="15">
        <f>F120-G120</f>
        <v/>
      </c>
      <c r="I120" s="13" t="inlineStr">
        <is>
          <t>Mantido valor original da base (sem extrato)</t>
        </is>
      </c>
      <c r="J120" s="13" t="inlineStr">
        <is>
          <t>ESTIMADO (média c/ variação)</t>
        </is>
      </c>
      <c r="K120" s="13">
        <f>VALUE(RIGHT(A120,4))</f>
        <v/>
      </c>
      <c r="L120" s="16">
        <f>DATE(VALUE(RIGHT(A120,4)),VALUE(MID(A120,4,2)),1)</f>
        <v/>
      </c>
      <c r="M120" s="17">
        <f>INDEX(IPCA!$D$5:$D$313,MATCH(Distrato!$B$3,IPCA!$A$5:$A$313,0))/INDEX(IPCA!$D$5:$D$313,MATCH(DATE(YEAR(L120),MONTH(L120)-1,1),IPCA!$A$5:$A$313,0))</f>
        <v/>
      </c>
      <c r="N120" s="15">
        <f>IF(L120&gt;Distrato!$B$3,D120,D120*M120)</f>
        <v/>
      </c>
    </row>
    <row r="121" ht="15" customHeight="1">
      <c r="A121" s="18" t="inlineStr">
        <is>
          <t>15/01/2011</t>
        </is>
      </c>
      <c r="B121" s="19" t="inlineStr">
        <is>
          <t>TOTAL CENTRO DE DISTRIBUICAO INTEGRADA LTDA - 12.460.301/0001-87</t>
        </is>
      </c>
      <c r="C121" s="19" t="inlineStr">
        <is>
          <t>FRUGIS REPRESENTACOES LTDA - 11.989.186/0001-70</t>
        </is>
      </c>
      <c r="D121" s="20">
        <f>F121</f>
        <v/>
      </c>
      <c r="E121" s="13" t="inlineStr">
        <is>
          <t>12/2010</t>
        </is>
      </c>
      <c r="F121" s="14" t="n">
        <v>2458.339007769026</v>
      </c>
      <c r="G121" s="14" t="n">
        <v>2970.45</v>
      </c>
      <c r="H121" s="15">
        <f>F121-G121</f>
        <v/>
      </c>
      <c r="I121" s="13" t="inlineStr">
        <is>
          <t>Mantido valor original da base (sem extrato)</t>
        </is>
      </c>
      <c r="J121" s="13" t="inlineStr">
        <is>
          <t>ESTIMADO (média c/ variação)</t>
        </is>
      </c>
      <c r="K121" s="13">
        <f>VALUE(RIGHT(A121,4))</f>
        <v/>
      </c>
      <c r="L121" s="16">
        <f>DATE(VALUE(RIGHT(A121,4)),VALUE(MID(A121,4,2)),1)</f>
        <v/>
      </c>
      <c r="M121" s="17">
        <f>INDEX(IPCA!$D$5:$D$313,MATCH(Distrato!$B$3,IPCA!$A$5:$A$313,0))/INDEX(IPCA!$D$5:$D$313,MATCH(DATE(YEAR(L121),MONTH(L121)-1,1),IPCA!$A$5:$A$313,0))</f>
        <v/>
      </c>
      <c r="N121" s="15">
        <f>IF(L121&gt;Distrato!$B$3,D121,D121*M121)</f>
        <v/>
      </c>
    </row>
    <row r="122" ht="15" customHeight="1">
      <c r="A122" s="10" t="inlineStr">
        <is>
          <t>15/02/2011</t>
        </is>
      </c>
      <c r="B122" s="11" t="inlineStr">
        <is>
          <t>TOTAL CENTRO DE DISTRIBUICAO INTEGRADA LTDA - 12.460.301/0001-87</t>
        </is>
      </c>
      <c r="C122" s="11" t="inlineStr">
        <is>
          <t>FRUGIS REPRESENTACOES LTDA - 11.989.186/0001-70</t>
        </is>
      </c>
      <c r="D122" s="12">
        <f>F122</f>
        <v/>
      </c>
      <c r="E122" s="13" t="inlineStr">
        <is>
          <t>01/2011</t>
        </is>
      </c>
      <c r="F122" s="14" t="n">
        <v>2652.657970248551</v>
      </c>
      <c r="G122" s="14" t="n">
        <v>3393.14</v>
      </c>
      <c r="H122" s="15">
        <f>F122-G122</f>
        <v/>
      </c>
      <c r="I122" s="13" t="inlineStr">
        <is>
          <t>Mantido valor original da base (sem extrato)</t>
        </is>
      </c>
      <c r="J122" s="13" t="inlineStr">
        <is>
          <t>ESTIMADO (média c/ variação)</t>
        </is>
      </c>
      <c r="K122" s="13">
        <f>VALUE(RIGHT(A122,4))</f>
        <v/>
      </c>
      <c r="L122" s="16">
        <f>DATE(VALUE(RIGHT(A122,4)),VALUE(MID(A122,4,2)),1)</f>
        <v/>
      </c>
      <c r="M122" s="17">
        <f>INDEX(IPCA!$D$5:$D$313,MATCH(Distrato!$B$3,IPCA!$A$5:$A$313,0))/INDEX(IPCA!$D$5:$D$313,MATCH(DATE(YEAR(L122),MONTH(L122)-1,1),IPCA!$A$5:$A$313,0))</f>
        <v/>
      </c>
      <c r="N122" s="15">
        <f>IF(L122&gt;Distrato!$B$3,D122,D122*M122)</f>
        <v/>
      </c>
    </row>
    <row r="123" ht="15" customHeight="1">
      <c r="A123" s="18" t="inlineStr">
        <is>
          <t>15/03/2011</t>
        </is>
      </c>
      <c r="B123" s="19" t="inlineStr">
        <is>
          <t>TOTAL CENTRO DE DISTRIBUICAO INTEGRADA LTDA - 12.460.301/0001-87</t>
        </is>
      </c>
      <c r="C123" s="19" t="inlineStr">
        <is>
          <t>FRUGIS REPRESENTACOES LTDA - 11.989.186/0001-70</t>
        </is>
      </c>
      <c r="D123" s="20">
        <f>F123</f>
        <v/>
      </c>
      <c r="E123" s="13" t="inlineStr">
        <is>
          <t>02/2011</t>
        </is>
      </c>
      <c r="F123" s="14" t="n">
        <v>2658.340453747375</v>
      </c>
      <c r="G123" s="14" t="n">
        <v>2787.47</v>
      </c>
      <c r="H123" s="15">
        <f>F123-G123</f>
        <v/>
      </c>
      <c r="I123" s="13" t="inlineStr">
        <is>
          <t>Mantido valor original da base (sem extrato)</t>
        </is>
      </c>
      <c r="J123" s="13" t="inlineStr">
        <is>
          <t>ESTIMADO (média c/ variação)</t>
        </is>
      </c>
      <c r="K123" s="13">
        <f>VALUE(RIGHT(A123,4))</f>
        <v/>
      </c>
      <c r="L123" s="16">
        <f>DATE(VALUE(RIGHT(A123,4)),VALUE(MID(A123,4,2)),1)</f>
        <v/>
      </c>
      <c r="M123" s="17">
        <f>INDEX(IPCA!$D$5:$D$313,MATCH(Distrato!$B$3,IPCA!$A$5:$A$313,0))/INDEX(IPCA!$D$5:$D$313,MATCH(DATE(YEAR(L123),MONTH(L123)-1,1),IPCA!$A$5:$A$313,0))</f>
        <v/>
      </c>
      <c r="N123" s="15">
        <f>IF(L123&gt;Distrato!$B$3,D123,D123*M123)</f>
        <v/>
      </c>
    </row>
    <row r="124" ht="15" customHeight="1">
      <c r="A124" s="10" t="inlineStr">
        <is>
          <t>15/04/2011</t>
        </is>
      </c>
      <c r="B124" s="11" t="inlineStr">
        <is>
          <t>TOTAL CENTRO DE DISTRIBUICAO INTEGRADA LTDA - 12.460.301/0001-87</t>
        </is>
      </c>
      <c r="C124" s="11" t="inlineStr">
        <is>
          <t>FRUGIS REPRESENTACOES LTDA - 11.989.186/0001-70</t>
        </is>
      </c>
      <c r="D124" s="12">
        <f>F124</f>
        <v/>
      </c>
      <c r="E124" s="13" t="inlineStr">
        <is>
          <t>03/2011</t>
        </is>
      </c>
      <c r="F124" s="14" t="n">
        <v>2564.595173966033</v>
      </c>
      <c r="G124" s="14" t="n">
        <v>2995.85</v>
      </c>
      <c r="H124" s="15">
        <f>F124-G124</f>
        <v/>
      </c>
      <c r="I124" s="13" t="inlineStr">
        <is>
          <t>Mantido valor original da base (sem extrato)</t>
        </is>
      </c>
      <c r="J124" s="13" t="inlineStr">
        <is>
          <t>ESTIMADO (média c/ variação)</t>
        </is>
      </c>
      <c r="K124" s="13">
        <f>VALUE(RIGHT(A124,4))</f>
        <v/>
      </c>
      <c r="L124" s="16">
        <f>DATE(VALUE(RIGHT(A124,4)),VALUE(MID(A124,4,2)),1)</f>
        <v/>
      </c>
      <c r="M124" s="17">
        <f>INDEX(IPCA!$D$5:$D$313,MATCH(Distrato!$B$3,IPCA!$A$5:$A$313,0))/INDEX(IPCA!$D$5:$D$313,MATCH(DATE(YEAR(L124),MONTH(L124)-1,1),IPCA!$A$5:$A$313,0))</f>
        <v/>
      </c>
      <c r="N124" s="15">
        <f>IF(L124&gt;Distrato!$B$3,D124,D124*M124)</f>
        <v/>
      </c>
    </row>
    <row r="125" ht="15" customHeight="1">
      <c r="A125" s="18" t="inlineStr">
        <is>
          <t>15/05/2011</t>
        </is>
      </c>
      <c r="B125" s="19" t="inlineStr">
        <is>
          <t>TOTAL CENTRO DE DISTRIBUICAO INTEGRADA LTDA - 12.460.301/0001-87</t>
        </is>
      </c>
      <c r="C125" s="19" t="inlineStr">
        <is>
          <t>FRUGIS REPRESENTACOES LTDA - 11.989.186/0001-70</t>
        </is>
      </c>
      <c r="D125" s="20">
        <f>F125</f>
        <v/>
      </c>
      <c r="E125" s="13" t="inlineStr">
        <is>
          <t>04/2011</t>
        </is>
      </c>
      <c r="F125" s="14" t="n">
        <v>2602.836927840468</v>
      </c>
      <c r="G125" s="14" t="n">
        <v>3471.41</v>
      </c>
      <c r="H125" s="15">
        <f>F125-G125</f>
        <v/>
      </c>
      <c r="I125" s="13" t="inlineStr">
        <is>
          <t>Mantido valor original da base (sem extrato)</t>
        </is>
      </c>
      <c r="J125" s="13" t="inlineStr">
        <is>
          <t>ESTIMADO (média c/ variação)</t>
        </is>
      </c>
      <c r="K125" s="13">
        <f>VALUE(RIGHT(A125,4))</f>
        <v/>
      </c>
      <c r="L125" s="16">
        <f>DATE(VALUE(RIGHT(A125,4)),VALUE(MID(A125,4,2)),1)</f>
        <v/>
      </c>
      <c r="M125" s="17">
        <f>INDEX(IPCA!$D$5:$D$313,MATCH(Distrato!$B$3,IPCA!$A$5:$A$313,0))/INDEX(IPCA!$D$5:$D$313,MATCH(DATE(YEAR(L125),MONTH(L125)-1,1),IPCA!$A$5:$A$313,0))</f>
        <v/>
      </c>
      <c r="N125" s="15">
        <f>IF(L125&gt;Distrato!$B$3,D125,D125*M125)</f>
        <v/>
      </c>
    </row>
    <row r="126" ht="15" customHeight="1">
      <c r="A126" s="10" t="inlineStr">
        <is>
          <t>15/06/2011</t>
        </is>
      </c>
      <c r="B126" s="11" t="inlineStr">
        <is>
          <t>TOTAL CENTRO DE DISTRIBUICAO INTEGRADA LTDA - 12.460.301/0001-87</t>
        </is>
      </c>
      <c r="C126" s="11" t="inlineStr">
        <is>
          <t>FRUGIS REPRESENTACOES LTDA - 11.989.186/0001-70</t>
        </is>
      </c>
      <c r="D126" s="12">
        <f>F126</f>
        <v/>
      </c>
      <c r="E126" s="13" t="inlineStr">
        <is>
          <t>05/2011</t>
        </is>
      </c>
      <c r="F126" s="14" t="n">
        <v>2570.218662656206</v>
      </c>
      <c r="G126" s="14" t="n">
        <v>3530.64</v>
      </c>
      <c r="H126" s="15">
        <f>F126-G126</f>
        <v/>
      </c>
      <c r="I126" s="13" t="inlineStr">
        <is>
          <t>Mantido valor original da base (sem extrato)</t>
        </is>
      </c>
      <c r="J126" s="13" t="inlineStr">
        <is>
          <t>ESTIMADO (média c/ variação)</t>
        </is>
      </c>
      <c r="K126" s="13">
        <f>VALUE(RIGHT(A126,4))</f>
        <v/>
      </c>
      <c r="L126" s="16">
        <f>DATE(VALUE(RIGHT(A126,4)),VALUE(MID(A126,4,2)),1)</f>
        <v/>
      </c>
      <c r="M126" s="17">
        <f>INDEX(IPCA!$D$5:$D$313,MATCH(Distrato!$B$3,IPCA!$A$5:$A$313,0))/INDEX(IPCA!$D$5:$D$313,MATCH(DATE(YEAR(L126),MONTH(L126)-1,1),IPCA!$A$5:$A$313,0))</f>
        <v/>
      </c>
      <c r="N126" s="15">
        <f>IF(L126&gt;Distrato!$B$3,D126,D126*M126)</f>
        <v/>
      </c>
    </row>
    <row r="127" ht="15" customHeight="1">
      <c r="A127" s="18" t="inlineStr">
        <is>
          <t>15/07/2011</t>
        </is>
      </c>
      <c r="B127" s="19" t="inlineStr">
        <is>
          <t>TOTAL CENTRO DE DISTRIBUICAO INTEGRADA LTDA - 12.460.301/0001-87</t>
        </is>
      </c>
      <c r="C127" s="19" t="inlineStr">
        <is>
          <t>FRUGIS REPRESENTACOES LTDA - 11.989.186/0001-70</t>
        </is>
      </c>
      <c r="D127" s="20">
        <f>F127</f>
        <v/>
      </c>
      <c r="E127" s="13" t="inlineStr">
        <is>
          <t>06/2011</t>
        </is>
      </c>
      <c r="F127" s="14" t="n">
        <v>2670.687843931281</v>
      </c>
      <c r="G127" s="14" t="n">
        <v>3877.72</v>
      </c>
      <c r="H127" s="15">
        <f>F127-G127</f>
        <v/>
      </c>
      <c r="I127" s="13" t="inlineStr">
        <is>
          <t>Mantido valor original da base (sem extrato)</t>
        </is>
      </c>
      <c r="J127" s="13" t="inlineStr">
        <is>
          <t>ESTIMADO (média c/ variação)</t>
        </is>
      </c>
      <c r="K127" s="13">
        <f>VALUE(RIGHT(A127,4))</f>
        <v/>
      </c>
      <c r="L127" s="16">
        <f>DATE(VALUE(RIGHT(A127,4)),VALUE(MID(A127,4,2)),1)</f>
        <v/>
      </c>
      <c r="M127" s="17">
        <f>INDEX(IPCA!$D$5:$D$313,MATCH(Distrato!$B$3,IPCA!$A$5:$A$313,0))/INDEX(IPCA!$D$5:$D$313,MATCH(DATE(YEAR(L127),MONTH(L127)-1,1),IPCA!$A$5:$A$313,0))</f>
        <v/>
      </c>
      <c r="N127" s="15">
        <f>IF(L127&gt;Distrato!$B$3,D127,D127*M127)</f>
        <v/>
      </c>
    </row>
    <row r="128" ht="15" customHeight="1">
      <c r="A128" s="10" t="inlineStr">
        <is>
          <t>15/08/2011</t>
        </is>
      </c>
      <c r="B128" s="11" t="inlineStr">
        <is>
          <t>TOTAL CENTRO DE DISTRIBUICAO INTEGRADA LTDA - 12.460.301/0001-87</t>
        </is>
      </c>
      <c r="C128" s="11" t="inlineStr">
        <is>
          <t>FRUGIS REPRESENTACOES LTDA - 11.989.186/0001-70</t>
        </is>
      </c>
      <c r="D128" s="12">
        <f>F128</f>
        <v/>
      </c>
      <c r="E128" s="13" t="inlineStr">
        <is>
          <t>07/2011</t>
        </is>
      </c>
      <c r="F128" s="14" t="n">
        <v>2638.44489159164</v>
      </c>
      <c r="G128" s="14" t="n">
        <v>3728.81</v>
      </c>
      <c r="H128" s="15">
        <f>F128-G128</f>
        <v/>
      </c>
      <c r="I128" s="13" t="inlineStr">
        <is>
          <t>Mantido valor original da base (sem extrato)</t>
        </is>
      </c>
      <c r="J128" s="13" t="inlineStr">
        <is>
          <t>ESTIMADO (média c/ variação)</t>
        </is>
      </c>
      <c r="K128" s="13">
        <f>VALUE(RIGHT(A128,4))</f>
        <v/>
      </c>
      <c r="L128" s="16">
        <f>DATE(VALUE(RIGHT(A128,4)),VALUE(MID(A128,4,2)),1)</f>
        <v/>
      </c>
      <c r="M128" s="17">
        <f>INDEX(IPCA!$D$5:$D$313,MATCH(Distrato!$B$3,IPCA!$A$5:$A$313,0))/INDEX(IPCA!$D$5:$D$313,MATCH(DATE(YEAR(L128),MONTH(L128)-1,1),IPCA!$A$5:$A$313,0))</f>
        <v/>
      </c>
      <c r="N128" s="15">
        <f>IF(L128&gt;Distrato!$B$3,D128,D128*M128)</f>
        <v/>
      </c>
    </row>
    <row r="129" ht="15" customHeight="1">
      <c r="A129" s="18" t="inlineStr">
        <is>
          <t>15/09/2011</t>
        </is>
      </c>
      <c r="B129" s="19" t="inlineStr">
        <is>
          <t>TOTAL CENTRO DE DISTRIBUICAO INTEGRADA LTDA - 12.460.301/0001-87</t>
        </is>
      </c>
      <c r="C129" s="19" t="inlineStr">
        <is>
          <t>FRUGIS REPRESENTACOES LTDA - 11.989.186/0001-70</t>
        </is>
      </c>
      <c r="D129" s="20">
        <f>F129</f>
        <v/>
      </c>
      <c r="E129" s="13" t="inlineStr">
        <is>
          <t>08/2011</t>
        </is>
      </c>
      <c r="F129" s="14" t="n">
        <v>2599.130320189299</v>
      </c>
      <c r="G129" s="14" t="n">
        <v>4040.02</v>
      </c>
      <c r="H129" s="15">
        <f>F129-G129</f>
        <v/>
      </c>
      <c r="I129" s="13" t="inlineStr">
        <is>
          <t>Mantido valor original da base (sem extrato)</t>
        </is>
      </c>
      <c r="J129" s="13" t="inlineStr">
        <is>
          <t>ESTIMADO (média c/ variação)</t>
        </is>
      </c>
      <c r="K129" s="13">
        <f>VALUE(RIGHT(A129,4))</f>
        <v/>
      </c>
      <c r="L129" s="16">
        <f>DATE(VALUE(RIGHT(A129,4)),VALUE(MID(A129,4,2)),1)</f>
        <v/>
      </c>
      <c r="M129" s="17">
        <f>INDEX(IPCA!$D$5:$D$313,MATCH(Distrato!$B$3,IPCA!$A$5:$A$313,0))/INDEX(IPCA!$D$5:$D$313,MATCH(DATE(YEAR(L129),MONTH(L129)-1,1),IPCA!$A$5:$A$313,0))</f>
        <v/>
      </c>
      <c r="N129" s="15">
        <f>IF(L129&gt;Distrato!$B$3,D129,D129*M129)</f>
        <v/>
      </c>
    </row>
    <row r="130" ht="15" customHeight="1">
      <c r="A130" s="10" t="inlineStr">
        <is>
          <t>15/10/2011</t>
        </is>
      </c>
      <c r="B130" s="11" t="inlineStr">
        <is>
          <t>TOTAL CENTRO DE DISTRIBUICAO INTEGRADA LTDA - 12.460.301/0001-87</t>
        </is>
      </c>
      <c r="C130" s="11" t="inlineStr">
        <is>
          <t>FRUGIS REPRESENTACOES LTDA - 11.989.186/0001-70</t>
        </is>
      </c>
      <c r="D130" s="12">
        <f>F130</f>
        <v/>
      </c>
      <c r="E130" s="13" t="inlineStr">
        <is>
          <t>09/2011</t>
        </is>
      </c>
      <c r="F130" s="14" t="n">
        <v>2563.185241328383</v>
      </c>
      <c r="G130" s="14" t="n">
        <v>4192.88</v>
      </c>
      <c r="H130" s="15">
        <f>F130-G130</f>
        <v/>
      </c>
      <c r="I130" s="13" t="inlineStr">
        <is>
          <t>Mantido valor original da base (sem extrato)</t>
        </is>
      </c>
      <c r="J130" s="13" t="inlineStr">
        <is>
          <t>ESTIMADO (média c/ variação)</t>
        </is>
      </c>
      <c r="K130" s="13">
        <f>VALUE(RIGHT(A130,4))</f>
        <v/>
      </c>
      <c r="L130" s="16">
        <f>DATE(VALUE(RIGHT(A130,4)),VALUE(MID(A130,4,2)),1)</f>
        <v/>
      </c>
      <c r="M130" s="17">
        <f>INDEX(IPCA!$D$5:$D$313,MATCH(Distrato!$B$3,IPCA!$A$5:$A$313,0))/INDEX(IPCA!$D$5:$D$313,MATCH(DATE(YEAR(L130),MONTH(L130)-1,1),IPCA!$A$5:$A$313,0))</f>
        <v/>
      </c>
      <c r="N130" s="15">
        <f>IF(L130&gt;Distrato!$B$3,D130,D130*M130)</f>
        <v/>
      </c>
    </row>
    <row r="131" ht="15" customHeight="1">
      <c r="A131" s="18" t="inlineStr">
        <is>
          <t>15/11/2011</t>
        </is>
      </c>
      <c r="B131" s="19" t="inlineStr">
        <is>
          <t>TOTAL CENTRO DE DISTRIBUICAO INTEGRADA LTDA - 12.460.301/0001-87</t>
        </is>
      </c>
      <c r="C131" s="19" t="inlineStr">
        <is>
          <t>FRUGIS REPRESENTACOES LTDA - 11.989.186/0001-70</t>
        </is>
      </c>
      <c r="D131" s="20">
        <f>F131</f>
        <v/>
      </c>
      <c r="E131" s="13" t="inlineStr">
        <is>
          <t>10/2011</t>
        </is>
      </c>
      <c r="F131" s="14" t="n">
        <v>2596.452560066376</v>
      </c>
      <c r="G131" s="14" t="n">
        <v>4283.09</v>
      </c>
      <c r="H131" s="15">
        <f>F131-G131</f>
        <v/>
      </c>
      <c r="I131" s="13" t="inlineStr">
        <is>
          <t>Mantido valor original da base (sem extrato)</t>
        </is>
      </c>
      <c r="J131" s="13" t="inlineStr">
        <is>
          <t>ESTIMADO (média c/ variação)</t>
        </is>
      </c>
      <c r="K131" s="13">
        <f>VALUE(RIGHT(A131,4))</f>
        <v/>
      </c>
      <c r="L131" s="16">
        <f>DATE(VALUE(RIGHT(A131,4)),VALUE(MID(A131,4,2)),1)</f>
        <v/>
      </c>
      <c r="M131" s="17">
        <f>INDEX(IPCA!$D$5:$D$313,MATCH(Distrato!$B$3,IPCA!$A$5:$A$313,0))/INDEX(IPCA!$D$5:$D$313,MATCH(DATE(YEAR(L131),MONTH(L131)-1,1),IPCA!$A$5:$A$313,0))</f>
        <v/>
      </c>
      <c r="N131" s="15">
        <f>IF(L131&gt;Distrato!$B$3,D131,D131*M131)</f>
        <v/>
      </c>
    </row>
    <row r="132" ht="15" customHeight="1">
      <c r="A132" s="10" t="inlineStr">
        <is>
          <t>15/12/2011</t>
        </is>
      </c>
      <c r="B132" s="11" t="inlineStr">
        <is>
          <t>TOTAL CENTRO DE DISTRIBUICAO INTEGRADA LTDA - 12.460.301/0001-87</t>
        </is>
      </c>
      <c r="C132" s="11" t="inlineStr">
        <is>
          <t>FRUGIS REPRESENTACOES LTDA - 11.989.186/0001-70</t>
        </is>
      </c>
      <c r="D132" s="12">
        <f>F132</f>
        <v/>
      </c>
      <c r="E132" s="13" t="inlineStr">
        <is>
          <t>11/2011</t>
        </is>
      </c>
      <c r="F132" s="14" t="n">
        <v>2598.361951468582</v>
      </c>
      <c r="G132" s="14" t="n">
        <v>4191.69</v>
      </c>
      <c r="H132" s="15">
        <f>F132-G132</f>
        <v/>
      </c>
      <c r="I132" s="13" t="inlineStr">
        <is>
          <t>Mantido valor original da base (sem extrato)</t>
        </is>
      </c>
      <c r="J132" s="13" t="inlineStr">
        <is>
          <t>ESTIMADO (média c/ variação)</t>
        </is>
      </c>
      <c r="K132" s="13">
        <f>VALUE(RIGHT(A132,4))</f>
        <v/>
      </c>
      <c r="L132" s="16">
        <f>DATE(VALUE(RIGHT(A132,4)),VALUE(MID(A132,4,2)),1)</f>
        <v/>
      </c>
      <c r="M132" s="17">
        <f>INDEX(IPCA!$D$5:$D$313,MATCH(Distrato!$B$3,IPCA!$A$5:$A$313,0))/INDEX(IPCA!$D$5:$D$313,MATCH(DATE(YEAR(L132),MONTH(L132)-1,1),IPCA!$A$5:$A$313,0))</f>
        <v/>
      </c>
      <c r="N132" s="15">
        <f>IF(L132&gt;Distrato!$B$3,D132,D132*M132)</f>
        <v/>
      </c>
    </row>
    <row r="133" ht="15" customHeight="1">
      <c r="A133" s="18" t="inlineStr">
        <is>
          <t>15/01/2012</t>
        </is>
      </c>
      <c r="B133" s="19" t="inlineStr">
        <is>
          <t>TOTAL CENTRO DE DISTRIBUICAO INTEGRADA LTDA - 12.460.301/0001-87</t>
        </is>
      </c>
      <c r="C133" s="19" t="inlineStr">
        <is>
          <t>FRUGIS REPRESENTACOES LTDA - 11.989.186/0001-70</t>
        </is>
      </c>
      <c r="D133" s="20">
        <f>F133</f>
        <v/>
      </c>
      <c r="E133" s="13" t="inlineStr">
        <is>
          <t>12/2011</t>
        </is>
      </c>
      <c r="F133" s="14" t="n">
        <v>2652.738510005329</v>
      </c>
      <c r="G133" s="14" t="n">
        <v>3861.13</v>
      </c>
      <c r="H133" s="15">
        <f>F133-G133</f>
        <v/>
      </c>
      <c r="I133" s="13" t="inlineStr">
        <is>
          <t>Mantido valor original da base (sem extrato)</t>
        </is>
      </c>
      <c r="J133" s="13" t="inlineStr">
        <is>
          <t>ESTIMADO (média c/ variação)</t>
        </is>
      </c>
      <c r="K133" s="13">
        <f>VALUE(RIGHT(A133,4))</f>
        <v/>
      </c>
      <c r="L133" s="16">
        <f>DATE(VALUE(RIGHT(A133,4)),VALUE(MID(A133,4,2)),1)</f>
        <v/>
      </c>
      <c r="M133" s="17">
        <f>INDEX(IPCA!$D$5:$D$313,MATCH(Distrato!$B$3,IPCA!$A$5:$A$313,0))/INDEX(IPCA!$D$5:$D$313,MATCH(DATE(YEAR(L133),MONTH(L133)-1,1),IPCA!$A$5:$A$313,0))</f>
        <v/>
      </c>
      <c r="N133" s="15">
        <f>IF(L133&gt;Distrato!$B$3,D133,D133*M133)</f>
        <v/>
      </c>
    </row>
    <row r="134" ht="15.6" customHeight="1" thickBot="1">
      <c r="A134" s="33" t="inlineStr">
        <is>
          <t>15/02/2012</t>
        </is>
      </c>
      <c r="B134" s="33" t="inlineStr">
        <is>
          <t>TOTAL CENTRO DE DISTRIBUICAO INTEGRADA LTDA - 12.460.301/0001-87</t>
        </is>
      </c>
      <c r="C134" s="33" t="inlineStr">
        <is>
          <t>FRUGIS REPRESENTACOES LTDA - 11.989.186/0001-70</t>
        </is>
      </c>
      <c r="D134" s="34">
        <f>G134</f>
        <v/>
      </c>
      <c r="E134" s="33" t="inlineStr">
        <is>
          <t>01/2012</t>
        </is>
      </c>
      <c r="F134" s="35" t="n"/>
      <c r="G134" s="35" t="n">
        <v>5189.32</v>
      </c>
      <c r="H134" s="34" t="n"/>
      <c r="I134" s="33" t="inlineStr">
        <is>
          <t>Complementado (não existia na base)</t>
        </is>
      </c>
      <c r="J134" s="33" t="inlineStr">
        <is>
          <t>Extrato conta corrente - Tenda</t>
        </is>
      </c>
      <c r="K134" s="33">
        <f>VALUE(RIGHT(A134,4))</f>
        <v/>
      </c>
      <c r="L134" s="16">
        <f>DATE(VALUE(RIGHT(A134,4)),VALUE(MID(A134,4,2)),1)</f>
        <v/>
      </c>
      <c r="M134" s="17">
        <f>INDEX(IPCA!$D$5:$D$313,MATCH(Distrato!$B$3,IPCA!$A$5:$A$313,0))/INDEX(IPCA!$D$5:$D$313,MATCH(DATE(YEAR(L134),MONTH(L134)-1,1),IPCA!$A$5:$A$313,0))</f>
        <v/>
      </c>
      <c r="N134" s="15">
        <f>IF(L134&gt;Distrato!$B$3,D134,D134*M134)</f>
        <v/>
      </c>
    </row>
    <row r="135" ht="15" customHeight="1" thickTop="1">
      <c r="A135" s="33" t="inlineStr">
        <is>
          <t>15/03/2012</t>
        </is>
      </c>
      <c r="B135" s="33" t="inlineStr">
        <is>
          <t>TOTAL CENTRO DE DISTRIBUICAO INTEGRADA LTDA - 12.460.301/0001-87</t>
        </is>
      </c>
      <c r="C135" s="33" t="inlineStr">
        <is>
          <t>FRUGIS REPRESENTACOES LTDA - 11.989.186/0001-70</t>
        </is>
      </c>
      <c r="D135" s="34">
        <f>G135</f>
        <v/>
      </c>
      <c r="E135" s="33" t="inlineStr">
        <is>
          <t>02/2012</t>
        </is>
      </c>
      <c r="F135" s="35" t="n"/>
      <c r="G135" s="35" t="n">
        <v>3832.74</v>
      </c>
      <c r="H135" s="34" t="n"/>
      <c r="I135" s="33" t="inlineStr">
        <is>
          <t>Complementado (não existia na base)</t>
        </is>
      </c>
      <c r="J135" s="33" t="inlineStr">
        <is>
          <t>Extrato conta corrente - Tenda</t>
        </is>
      </c>
      <c r="K135" s="33">
        <f>VALUE(RIGHT(A135,4))</f>
        <v/>
      </c>
      <c r="L135" s="16">
        <f>DATE(VALUE(RIGHT(A135,4)),VALUE(MID(A135,4,2)),1)</f>
        <v/>
      </c>
      <c r="M135" s="17">
        <f>INDEX(IPCA!$D$5:$D$313,MATCH(Distrato!$B$3,IPCA!$A$5:$A$313,0))/INDEX(IPCA!$D$5:$D$313,MATCH(DATE(YEAR(L135),MONTH(L135)-1,1),IPCA!$A$5:$A$313,0))</f>
        <v/>
      </c>
      <c r="N135" s="15">
        <f>IF(L135&gt;Distrato!$B$3,D135,D135*M135)</f>
        <v/>
      </c>
    </row>
    <row r="136">
      <c r="A136" s="33" t="inlineStr">
        <is>
          <t>15/04/2012</t>
        </is>
      </c>
      <c r="B136" s="33" t="inlineStr">
        <is>
          <t>TOTAL CENTRO DE DISTRIBUICAO INTEGRADA LTDA - 12.460.301/0001-87</t>
        </is>
      </c>
      <c r="C136" s="33" t="inlineStr">
        <is>
          <t>FRUGIS REPRESENTACOES LTDA - 11.989.186/0001-70</t>
        </is>
      </c>
      <c r="D136" s="34">
        <f>G136</f>
        <v/>
      </c>
      <c r="E136" s="33" t="inlineStr">
        <is>
          <t>03/2012</t>
        </is>
      </c>
      <c r="F136" s="35" t="n"/>
      <c r="G136" s="35" t="n">
        <v>3561.62</v>
      </c>
      <c r="H136" s="34" t="n"/>
      <c r="I136" s="33" t="inlineStr">
        <is>
          <t>Complementado (não existia na base)</t>
        </is>
      </c>
      <c r="J136" s="33" t="inlineStr">
        <is>
          <t>Extrato conta corrente - Tenda</t>
        </is>
      </c>
      <c r="K136" s="33">
        <f>VALUE(RIGHT(A136,4))</f>
        <v/>
      </c>
      <c r="L136" s="16">
        <f>DATE(VALUE(RIGHT(A136,4)),VALUE(MID(A136,4,2)),1)</f>
        <v/>
      </c>
      <c r="M136" s="17">
        <f>INDEX(IPCA!$D$5:$D$313,MATCH(Distrato!$B$3,IPCA!$A$5:$A$313,0))/INDEX(IPCA!$D$5:$D$313,MATCH(DATE(YEAR(L136),MONTH(L136)-1,1),IPCA!$A$5:$A$313,0))</f>
        <v/>
      </c>
      <c r="N136" s="15">
        <f>IF(L136&gt;Distrato!$B$3,D136,D136*M136)</f>
        <v/>
      </c>
    </row>
    <row r="137">
      <c r="A137" s="33" t="inlineStr">
        <is>
          <t>15/05/2012</t>
        </is>
      </c>
      <c r="B137" s="33" t="inlineStr">
        <is>
          <t>TOTAL CENTRO DE DISTRIBUICAO INTEGRADA LTDA - 12.460.301/0001-87</t>
        </is>
      </c>
      <c r="C137" s="33" t="inlineStr">
        <is>
          <t>FRUGIS REPRESENTACOES LTDA - 11.989.186/0001-70</t>
        </is>
      </c>
      <c r="D137" s="34">
        <f>G137</f>
        <v/>
      </c>
      <c r="E137" s="33" t="inlineStr">
        <is>
          <t>04/2012</t>
        </is>
      </c>
      <c r="F137" s="35" t="n"/>
      <c r="G137" s="35" t="n">
        <v>3583.48</v>
      </c>
      <c r="H137" s="34" t="n"/>
      <c r="I137" s="33" t="inlineStr">
        <is>
          <t>Complementado (não existia na base)</t>
        </is>
      </c>
      <c r="J137" s="33" t="inlineStr">
        <is>
          <t>Extrato conta corrente - Tenda</t>
        </is>
      </c>
      <c r="K137" s="33">
        <f>VALUE(RIGHT(A137,4))</f>
        <v/>
      </c>
      <c r="L137" s="16">
        <f>DATE(VALUE(RIGHT(A137,4)),VALUE(MID(A137,4,2)),1)</f>
        <v/>
      </c>
      <c r="M137" s="17">
        <f>INDEX(IPCA!$D$5:$D$313,MATCH(Distrato!$B$3,IPCA!$A$5:$A$313,0))/INDEX(IPCA!$D$5:$D$313,MATCH(DATE(YEAR(L137),MONTH(L137)-1,1),IPCA!$A$5:$A$313,0))</f>
        <v/>
      </c>
      <c r="N137" s="15">
        <f>IF(L137&gt;Distrato!$B$3,D137,D137*M137)</f>
        <v/>
      </c>
    </row>
    <row r="138">
      <c r="A138" s="33" t="inlineStr">
        <is>
          <t>15/06/2012</t>
        </is>
      </c>
      <c r="B138" s="33" t="inlineStr">
        <is>
          <t>TOTAL CENTRO DE DISTRIBUICAO INTEGRADA LTDA - 12.460.301/0001-87</t>
        </is>
      </c>
      <c r="C138" s="33" t="inlineStr">
        <is>
          <t>FRUGIS REPRESENTACOES LTDA - 11.989.186/0001-70</t>
        </is>
      </c>
      <c r="D138" s="34">
        <f>G138</f>
        <v/>
      </c>
      <c r="E138" s="33" t="inlineStr">
        <is>
          <t>05/2012</t>
        </is>
      </c>
      <c r="F138" s="35" t="n"/>
      <c r="G138" s="35" t="n">
        <v>5454.53</v>
      </c>
      <c r="H138" s="34" t="n"/>
      <c r="I138" s="33" t="inlineStr">
        <is>
          <t>Complementado (não existia na base)</t>
        </is>
      </c>
      <c r="J138" s="33" t="inlineStr">
        <is>
          <t>Extrato conta corrente - Tenda</t>
        </is>
      </c>
      <c r="K138" s="33">
        <f>VALUE(RIGHT(A138,4))</f>
        <v/>
      </c>
      <c r="L138" s="16">
        <f>DATE(VALUE(RIGHT(A138,4)),VALUE(MID(A138,4,2)),1)</f>
        <v/>
      </c>
      <c r="M138" s="17">
        <f>INDEX(IPCA!$D$5:$D$313,MATCH(Distrato!$B$3,IPCA!$A$5:$A$313,0))/INDEX(IPCA!$D$5:$D$313,MATCH(DATE(YEAR(L138),MONTH(L138)-1,1),IPCA!$A$5:$A$313,0))</f>
        <v/>
      </c>
      <c r="N138" s="15">
        <f>IF(L138&gt;Distrato!$B$3,D138,D138*M138)</f>
        <v/>
      </c>
    </row>
    <row r="139">
      <c r="A139" s="33" t="inlineStr">
        <is>
          <t>15/07/2012</t>
        </is>
      </c>
      <c r="B139" s="33" t="inlineStr">
        <is>
          <t>TOTAL CENTRO DE DISTRIBUICAO INTEGRADA LTDA - 12.460.301/0001-87</t>
        </is>
      </c>
      <c r="C139" s="33" t="inlineStr">
        <is>
          <t>FRUGIS REPRESENTACOES LTDA - 11.989.186/0001-70</t>
        </is>
      </c>
      <c r="D139" s="34">
        <f>G139</f>
        <v/>
      </c>
      <c r="E139" s="33" t="inlineStr">
        <is>
          <t>06/2012</t>
        </is>
      </c>
      <c r="F139" s="35" t="n"/>
      <c r="G139" s="35" t="n">
        <v>3774.93</v>
      </c>
      <c r="H139" s="34" t="n"/>
      <c r="I139" s="33" t="inlineStr">
        <is>
          <t>Complementado (não existia na base)</t>
        </is>
      </c>
      <c r="J139" s="33" t="inlineStr">
        <is>
          <t>Extrato conta corrente - Tenda</t>
        </is>
      </c>
      <c r="K139" s="33">
        <f>VALUE(RIGHT(A139,4))</f>
        <v/>
      </c>
      <c r="L139" s="16">
        <f>DATE(VALUE(RIGHT(A139,4)),VALUE(MID(A139,4,2)),1)</f>
        <v/>
      </c>
      <c r="M139" s="17">
        <f>INDEX(IPCA!$D$5:$D$313,MATCH(Distrato!$B$3,IPCA!$A$5:$A$313,0))/INDEX(IPCA!$D$5:$D$313,MATCH(DATE(YEAR(L139),MONTH(L139)-1,1),IPCA!$A$5:$A$313,0))</f>
        <v/>
      </c>
      <c r="N139" s="15">
        <f>IF(L139&gt;Distrato!$B$3,D139,D139*M139)</f>
        <v/>
      </c>
    </row>
    <row r="140">
      <c r="A140" s="33" t="inlineStr">
        <is>
          <t>15/08/2012</t>
        </is>
      </c>
      <c r="B140" s="33" t="inlineStr">
        <is>
          <t>TOTAL CENTRO DE DISTRIBUICAO INTEGRADA LTDA - 12.460.301/0001-87</t>
        </is>
      </c>
      <c r="C140" s="33" t="inlineStr">
        <is>
          <t>FRUGIS REPRESENTACOES LTDA - 11.989.186/0001-70</t>
        </is>
      </c>
      <c r="D140" s="34">
        <f>G140</f>
        <v/>
      </c>
      <c r="E140" s="33" t="inlineStr">
        <is>
          <t>07/2012</t>
        </is>
      </c>
      <c r="F140" s="35" t="n"/>
      <c r="G140" s="35" t="n">
        <v>3807.7</v>
      </c>
      <c r="H140" s="34" t="n"/>
      <c r="I140" s="33" t="inlineStr">
        <is>
          <t>Complementado (não existia na base)</t>
        </is>
      </c>
      <c r="J140" s="33" t="inlineStr">
        <is>
          <t>Extrato conta corrente - Tenda</t>
        </is>
      </c>
      <c r="K140" s="33">
        <f>VALUE(RIGHT(A140,4))</f>
        <v/>
      </c>
      <c r="L140" s="16">
        <f>DATE(VALUE(RIGHT(A140,4)),VALUE(MID(A140,4,2)),1)</f>
        <v/>
      </c>
      <c r="M140" s="17">
        <f>INDEX(IPCA!$D$5:$D$313,MATCH(Distrato!$B$3,IPCA!$A$5:$A$313,0))/INDEX(IPCA!$D$5:$D$313,MATCH(DATE(YEAR(L140),MONTH(L140)-1,1),IPCA!$A$5:$A$313,0))</f>
        <v/>
      </c>
      <c r="N140" s="15">
        <f>IF(L140&gt;Distrato!$B$3,D140,D140*M140)</f>
        <v/>
      </c>
    </row>
    <row r="141">
      <c r="A141" s="33" t="inlineStr">
        <is>
          <t>15/09/2012</t>
        </is>
      </c>
      <c r="B141" s="33" t="inlineStr">
        <is>
          <t>TOTAL CENTRO DE DISTRIBUICAO INTEGRADA LTDA - 12.460.301/0001-87</t>
        </is>
      </c>
      <c r="C141" s="33" t="inlineStr">
        <is>
          <t>FRUGIS REPRESENTACOES LTDA - 11.989.186/0001-70</t>
        </is>
      </c>
      <c r="D141" s="34">
        <f>G141</f>
        <v/>
      </c>
      <c r="E141" s="33" t="inlineStr">
        <is>
          <t>08/2012</t>
        </is>
      </c>
      <c r="F141" s="35" t="n"/>
      <c r="G141" s="35" t="n">
        <v>4823.04</v>
      </c>
      <c r="H141" s="34" t="n"/>
      <c r="I141" s="33" t="inlineStr">
        <is>
          <t>Complementado (não existia na base)</t>
        </is>
      </c>
      <c r="J141" s="33" t="inlineStr">
        <is>
          <t>Extrato conta corrente - Tenda</t>
        </is>
      </c>
      <c r="K141" s="33">
        <f>VALUE(RIGHT(A141,4))</f>
        <v/>
      </c>
      <c r="L141" s="16">
        <f>DATE(VALUE(RIGHT(A141,4)),VALUE(MID(A141,4,2)),1)</f>
        <v/>
      </c>
      <c r="M141" s="17">
        <f>INDEX(IPCA!$D$5:$D$313,MATCH(Distrato!$B$3,IPCA!$A$5:$A$313,0))/INDEX(IPCA!$D$5:$D$313,MATCH(DATE(YEAR(L141),MONTH(L141)-1,1),IPCA!$A$5:$A$313,0))</f>
        <v/>
      </c>
      <c r="N141" s="15">
        <f>IF(L141&gt;Distrato!$B$3,D141,D141*M141)</f>
        <v/>
      </c>
    </row>
    <row r="142">
      <c r="A142" s="33" t="inlineStr">
        <is>
          <t>15/10/2012</t>
        </is>
      </c>
      <c r="B142" s="33" t="inlineStr">
        <is>
          <t>TOTAL CENTRO DE DISTRIBUICAO INTEGRADA LTDA - 12.460.301/0001-87</t>
        </is>
      </c>
      <c r="C142" s="33" t="inlineStr">
        <is>
          <t>FRUGIS REPRESENTACOES LTDA - 11.989.186/0001-70</t>
        </is>
      </c>
      <c r="D142" s="34">
        <f>G142</f>
        <v/>
      </c>
      <c r="E142" s="33" t="inlineStr">
        <is>
          <t>09/2012</t>
        </is>
      </c>
      <c r="F142" s="35" t="n"/>
      <c r="G142" s="35" t="n">
        <v>3992.12</v>
      </c>
      <c r="H142" s="34" t="n"/>
      <c r="I142" s="33" t="inlineStr">
        <is>
          <t>Complementado (não existia na base)</t>
        </is>
      </c>
      <c r="J142" s="33" t="inlineStr">
        <is>
          <t>Extrato conta corrente - Tenda</t>
        </is>
      </c>
      <c r="K142" s="33">
        <f>VALUE(RIGHT(A142,4))</f>
        <v/>
      </c>
      <c r="L142" s="16">
        <f>DATE(VALUE(RIGHT(A142,4)),VALUE(MID(A142,4,2)),1)</f>
        <v/>
      </c>
      <c r="M142" s="17">
        <f>INDEX(IPCA!$D$5:$D$313,MATCH(Distrato!$B$3,IPCA!$A$5:$A$313,0))/INDEX(IPCA!$D$5:$D$313,MATCH(DATE(YEAR(L142),MONTH(L142)-1,1),IPCA!$A$5:$A$313,0))</f>
        <v/>
      </c>
      <c r="N142" s="15">
        <f>IF(L142&gt;Distrato!$B$3,D142,D142*M142)</f>
        <v/>
      </c>
    </row>
    <row r="143">
      <c r="A143" s="33" t="inlineStr">
        <is>
          <t>15/11/2012</t>
        </is>
      </c>
      <c r="B143" s="33" t="inlineStr">
        <is>
          <t>TOTAL CENTRO DE DISTRIBUICAO INTEGRADA LTDA - 12.460.301/0001-87</t>
        </is>
      </c>
      <c r="C143" s="33" t="inlineStr">
        <is>
          <t>FRUGIS REPRESENTACOES LTDA - 11.989.186/0001-70</t>
        </is>
      </c>
      <c r="D143" s="34">
        <f>G143</f>
        <v/>
      </c>
      <c r="E143" s="33" t="inlineStr">
        <is>
          <t>10/2012</t>
        </is>
      </c>
      <c r="F143" s="35" t="n"/>
      <c r="G143" s="35" t="n">
        <v>4910.5</v>
      </c>
      <c r="H143" s="34" t="n"/>
      <c r="I143" s="33" t="inlineStr">
        <is>
          <t>Complementado (não existia na base)</t>
        </is>
      </c>
      <c r="J143" s="33" t="inlineStr">
        <is>
          <t>Extrato conta corrente - Tenda</t>
        </is>
      </c>
      <c r="K143" s="33">
        <f>VALUE(RIGHT(A143,4))</f>
        <v/>
      </c>
      <c r="L143" s="16">
        <f>DATE(VALUE(RIGHT(A143,4)),VALUE(MID(A143,4,2)),1)</f>
        <v/>
      </c>
      <c r="M143" s="17">
        <f>INDEX(IPCA!$D$5:$D$313,MATCH(Distrato!$B$3,IPCA!$A$5:$A$313,0))/INDEX(IPCA!$D$5:$D$313,MATCH(DATE(YEAR(L143),MONTH(L143)-1,1),IPCA!$A$5:$A$313,0))</f>
        <v/>
      </c>
      <c r="N143" s="15">
        <f>IF(L143&gt;Distrato!$B$3,D143,D143*M143)</f>
        <v/>
      </c>
    </row>
    <row r="144">
      <c r="A144" s="33" t="inlineStr">
        <is>
          <t>15/12/2012</t>
        </is>
      </c>
      <c r="B144" s="33" t="inlineStr">
        <is>
          <t>TOTAL CENTRO DE DISTRIBUICAO INTEGRADA LTDA - 12.460.301/0001-87</t>
        </is>
      </c>
      <c r="C144" s="33" t="inlineStr">
        <is>
          <t>FRUGIS REPRESENTACOES LTDA - 11.989.186/0001-70</t>
        </is>
      </c>
      <c r="D144" s="34">
        <f>G144</f>
        <v/>
      </c>
      <c r="E144" s="33" t="inlineStr">
        <is>
          <t>11/2012</t>
        </is>
      </c>
      <c r="F144" s="35" t="n"/>
      <c r="G144" s="35" t="n">
        <v>2820.55</v>
      </c>
      <c r="H144" s="34" t="n"/>
      <c r="I144" s="33" t="inlineStr">
        <is>
          <t>Complementado (não existia na base)</t>
        </is>
      </c>
      <c r="J144" s="33" t="inlineStr">
        <is>
          <t>Extrato conta corrente - Tenda</t>
        </is>
      </c>
      <c r="K144" s="33">
        <f>VALUE(RIGHT(A144,4))</f>
        <v/>
      </c>
      <c r="L144" s="16">
        <f>DATE(VALUE(RIGHT(A144,4)),VALUE(MID(A144,4,2)),1)</f>
        <v/>
      </c>
      <c r="M144" s="17">
        <f>INDEX(IPCA!$D$5:$D$313,MATCH(Distrato!$B$3,IPCA!$A$5:$A$313,0))/INDEX(IPCA!$D$5:$D$313,MATCH(DATE(YEAR(L144),MONTH(L144)-1,1),IPCA!$A$5:$A$313,0))</f>
        <v/>
      </c>
      <c r="N144" s="15">
        <f>IF(L144&gt;Distrato!$B$3,D144,D144*M144)</f>
        <v/>
      </c>
    </row>
    <row r="145">
      <c r="A145" s="33" t="inlineStr">
        <is>
          <t>15/01/2013</t>
        </is>
      </c>
      <c r="B145" s="33" t="inlineStr">
        <is>
          <t>TOTAL CENTRO DE DISTRIBUICAO INTEGRADA LTDA - 12.460.301/0001-87</t>
        </is>
      </c>
      <c r="C145" s="33" t="inlineStr">
        <is>
          <t>FRUGIS REPRESENTACOES LTDA - 11.989.186/0001-70</t>
        </is>
      </c>
      <c r="D145" s="34">
        <f>G145</f>
        <v/>
      </c>
      <c r="E145" s="33" t="inlineStr">
        <is>
          <t>12/2012</t>
        </is>
      </c>
      <c r="F145" s="35" t="n"/>
      <c r="G145" s="35" t="n">
        <v>6274.7</v>
      </c>
      <c r="H145" s="34" t="n"/>
      <c r="I145" s="33" t="inlineStr">
        <is>
          <t>Complementado (não existia na base)</t>
        </is>
      </c>
      <c r="J145" s="33" t="inlineStr">
        <is>
          <t>Extrato conta corrente - Tenda</t>
        </is>
      </c>
      <c r="K145" s="33">
        <f>VALUE(RIGHT(A145,4))</f>
        <v/>
      </c>
      <c r="L145" s="16">
        <f>DATE(VALUE(RIGHT(A145,4)),VALUE(MID(A145,4,2)),1)</f>
        <v/>
      </c>
      <c r="M145" s="17">
        <f>INDEX(IPCA!$D$5:$D$313,MATCH(Distrato!$B$3,IPCA!$A$5:$A$313,0))/INDEX(IPCA!$D$5:$D$313,MATCH(DATE(YEAR(L145),MONTH(L145)-1,1),IPCA!$A$5:$A$313,0))</f>
        <v/>
      </c>
      <c r="N145" s="15">
        <f>IF(L145&gt;Distrato!$B$3,D145,D145*M145)</f>
        <v/>
      </c>
    </row>
    <row r="146">
      <c r="A146" s="33" t="inlineStr">
        <is>
          <t>15/02/2013</t>
        </is>
      </c>
      <c r="B146" s="33" t="inlineStr">
        <is>
          <t>TOTAL CENTRO DE DISTRIBUICAO INTEGRADA LTDA - 12.460.301/0001-87</t>
        </is>
      </c>
      <c r="C146" s="33" t="inlineStr">
        <is>
          <t>FRUGIS REPRESENTACOES LTDA - 11.989.186/0001-70</t>
        </is>
      </c>
      <c r="D146" s="34">
        <f>G146</f>
        <v/>
      </c>
      <c r="E146" s="33" t="inlineStr">
        <is>
          <t>01/2013</t>
        </is>
      </c>
      <c r="F146" s="35" t="n"/>
      <c r="G146" s="35" t="n">
        <v>4970.35</v>
      </c>
      <c r="H146" s="34" t="n"/>
      <c r="I146" s="33" t="inlineStr">
        <is>
          <t>Complementado (não existia na base)</t>
        </is>
      </c>
      <c r="J146" s="33" t="inlineStr">
        <is>
          <t>Extrato conta corrente - Tenda</t>
        </is>
      </c>
      <c r="K146" s="33">
        <f>VALUE(RIGHT(A146,4))</f>
        <v/>
      </c>
      <c r="L146" s="16">
        <f>DATE(VALUE(RIGHT(A146,4)),VALUE(MID(A146,4,2)),1)</f>
        <v/>
      </c>
      <c r="M146" s="17">
        <f>INDEX(IPCA!$D$5:$D$313,MATCH(Distrato!$B$3,IPCA!$A$5:$A$313,0))/INDEX(IPCA!$D$5:$D$313,MATCH(DATE(YEAR(L146),MONTH(L146)-1,1),IPCA!$A$5:$A$313,0))</f>
        <v/>
      </c>
      <c r="N146" s="15">
        <f>IF(L146&gt;Distrato!$B$3,D146,D146*M146)</f>
        <v/>
      </c>
    </row>
    <row r="147">
      <c r="A147" s="33" t="inlineStr">
        <is>
          <t>15/03/2013</t>
        </is>
      </c>
      <c r="B147" s="33" t="inlineStr">
        <is>
          <t>TOTAL CENTRO DE DISTRIBUICAO INTEGRADA LTDA - 12.460.301/0001-87</t>
        </is>
      </c>
      <c r="C147" s="33" t="inlineStr">
        <is>
          <t>FRUGIS REPRESENTACOES LTDA - 11.989.186/0001-70</t>
        </is>
      </c>
      <c r="D147" s="34">
        <f>G147</f>
        <v/>
      </c>
      <c r="E147" s="33" t="inlineStr">
        <is>
          <t>02/2013</t>
        </is>
      </c>
      <c r="F147" s="35" t="n"/>
      <c r="G147" s="35" t="n">
        <v>4659.18</v>
      </c>
      <c r="H147" s="34" t="n"/>
      <c r="I147" s="33" t="inlineStr">
        <is>
          <t>Complementado (não existia na base) - ESTIMADO</t>
        </is>
      </c>
      <c r="J147" s="33" t="inlineStr">
        <is>
          <t>ESTIMADO (média c/ variação)</t>
        </is>
      </c>
      <c r="K147" s="33">
        <f>VALUE(RIGHT(A147,4))</f>
        <v/>
      </c>
      <c r="L147" s="16">
        <f>DATE(VALUE(RIGHT(A147,4)),VALUE(MID(A147,4,2)),1)</f>
        <v/>
      </c>
      <c r="M147" s="17">
        <f>INDEX(IPCA!$D$5:$D$313,MATCH(Distrato!$B$3,IPCA!$A$5:$A$313,0))/INDEX(IPCA!$D$5:$D$313,MATCH(DATE(YEAR(L147),MONTH(L147)-1,1),IPCA!$A$5:$A$313,0))</f>
        <v/>
      </c>
      <c r="N147" s="15">
        <f>IF(L147&gt;Distrato!$B$3,D147,D147*M147)</f>
        <v/>
      </c>
    </row>
    <row r="148">
      <c r="A148" s="33" t="inlineStr">
        <is>
          <t>15/04/2013</t>
        </is>
      </c>
      <c r="B148" s="33" t="inlineStr">
        <is>
          <t>TOTAL CENTRO DE DISTRIBUICAO INTEGRADA LTDA - 12.460.301/0001-87</t>
        </is>
      </c>
      <c r="C148" s="33" t="inlineStr">
        <is>
          <t>FRUGIS REPRESENTACOES LTDA - 11.989.186/0001-70</t>
        </is>
      </c>
      <c r="D148" s="34">
        <f>G148</f>
        <v/>
      </c>
      <c r="E148" s="33" t="inlineStr">
        <is>
          <t>03/2013</t>
        </is>
      </c>
      <c r="F148" s="35" t="n"/>
      <c r="G148" s="35" t="n">
        <v>4140.32</v>
      </c>
      <c r="H148" s="34" t="n"/>
      <c r="I148" s="33" t="inlineStr">
        <is>
          <t>Complementado (não existia na base) - ESTIMADO</t>
        </is>
      </c>
      <c r="J148" s="33" t="inlineStr">
        <is>
          <t>ESTIMADO (média c/ variação)</t>
        </is>
      </c>
      <c r="K148" s="33">
        <f>VALUE(RIGHT(A148,4))</f>
        <v/>
      </c>
      <c r="L148" s="16">
        <f>DATE(VALUE(RIGHT(A148,4)),VALUE(MID(A148,4,2)),1)</f>
        <v/>
      </c>
      <c r="M148" s="17">
        <f>INDEX(IPCA!$D$5:$D$313,MATCH(Distrato!$B$3,IPCA!$A$5:$A$313,0))/INDEX(IPCA!$D$5:$D$313,MATCH(DATE(YEAR(L148),MONTH(L148)-1,1),IPCA!$A$5:$A$313,0))</f>
        <v/>
      </c>
      <c r="N148" s="15">
        <f>IF(L148&gt;Distrato!$B$3,D148,D148*M148)</f>
        <v/>
      </c>
    </row>
    <row r="149">
      <c r="A149" s="33" t="inlineStr">
        <is>
          <t>15/05/2013</t>
        </is>
      </c>
      <c r="B149" s="33" t="inlineStr">
        <is>
          <t>TOTAL CENTRO DE DISTRIBUICAO INTEGRADA LTDA - 12.460.301/0001-87</t>
        </is>
      </c>
      <c r="C149" s="33" t="inlineStr">
        <is>
          <t>FRUGIS REPRESENTACOES LTDA - 11.989.186/0001-70</t>
        </is>
      </c>
      <c r="D149" s="34">
        <f>G149</f>
        <v/>
      </c>
      <c r="E149" s="33" t="inlineStr">
        <is>
          <t>04/2013</t>
        </is>
      </c>
      <c r="F149" s="35" t="n"/>
      <c r="G149" s="35" t="n">
        <v>5333.82</v>
      </c>
      <c r="H149" s="34" t="n"/>
      <c r="I149" s="33" t="inlineStr">
        <is>
          <t>Complementado (não existia na base) - ESTIMADO</t>
        </is>
      </c>
      <c r="J149" s="33" t="inlineStr">
        <is>
          <t>ESTIMADO (média c/ variação)</t>
        </is>
      </c>
      <c r="K149" s="33">
        <f>VALUE(RIGHT(A149,4))</f>
        <v/>
      </c>
      <c r="L149" s="16">
        <f>DATE(VALUE(RIGHT(A149,4)),VALUE(MID(A149,4,2)),1)</f>
        <v/>
      </c>
      <c r="M149" s="17">
        <f>INDEX(IPCA!$D$5:$D$313,MATCH(Distrato!$B$3,IPCA!$A$5:$A$313,0))/INDEX(IPCA!$D$5:$D$313,MATCH(DATE(YEAR(L149),MONTH(L149)-1,1),IPCA!$A$5:$A$313,0))</f>
        <v/>
      </c>
      <c r="N149" s="15">
        <f>IF(L149&gt;Distrato!$B$3,D149,D149*M149)</f>
        <v/>
      </c>
    </row>
    <row r="150">
      <c r="A150" s="33" t="inlineStr">
        <is>
          <t>15/06/2013</t>
        </is>
      </c>
      <c r="B150" s="33" t="inlineStr">
        <is>
          <t>TOTAL CENTRO DE DISTRIBUICAO INTEGRADA LTDA - 12.460.301/0001-87</t>
        </is>
      </c>
      <c r="C150" s="33" t="inlineStr">
        <is>
          <t>FRUGIS REPRESENTACOES LTDA - 11.989.186/0001-70</t>
        </is>
      </c>
      <c r="D150" s="34">
        <f>G150</f>
        <v/>
      </c>
      <c r="E150" s="33" t="inlineStr">
        <is>
          <t>05/2013</t>
        </is>
      </c>
      <c r="F150" s="35" t="n"/>
      <c r="G150" s="35" t="n">
        <v>4977.94</v>
      </c>
      <c r="H150" s="34" t="n"/>
      <c r="I150" s="33" t="inlineStr">
        <is>
          <t>Complementado (não existia na base) - ESTIMADO</t>
        </is>
      </c>
      <c r="J150" s="33" t="inlineStr">
        <is>
          <t>ESTIMADO (média c/ variação)</t>
        </is>
      </c>
      <c r="K150" s="33">
        <f>VALUE(RIGHT(A150,4))</f>
        <v/>
      </c>
      <c r="L150" s="16">
        <f>DATE(VALUE(RIGHT(A150,4)),VALUE(MID(A150,4,2)),1)</f>
        <v/>
      </c>
      <c r="M150" s="17">
        <f>INDEX(IPCA!$D$5:$D$313,MATCH(Distrato!$B$3,IPCA!$A$5:$A$313,0))/INDEX(IPCA!$D$5:$D$313,MATCH(DATE(YEAR(L150),MONTH(L150)-1,1),IPCA!$A$5:$A$313,0))</f>
        <v/>
      </c>
      <c r="N150" s="15">
        <f>IF(L150&gt;Distrato!$B$3,D150,D150*M150)</f>
        <v/>
      </c>
    </row>
    <row r="151">
      <c r="A151" s="33" t="inlineStr">
        <is>
          <t>15/07/2013</t>
        </is>
      </c>
      <c r="B151" s="33" t="inlineStr">
        <is>
          <t>TOTAL CENTRO DE DISTRIBUICAO INTEGRADA LTDA - 12.460.301/0001-87</t>
        </is>
      </c>
      <c r="C151" s="33" t="inlineStr">
        <is>
          <t>FRUGIS REPRESENTACOES LTDA - 11.989.186/0001-70</t>
        </is>
      </c>
      <c r="D151" s="34">
        <f>G151</f>
        <v/>
      </c>
      <c r="E151" s="33" t="inlineStr">
        <is>
          <t>06/2013</t>
        </is>
      </c>
      <c r="F151" s="35" t="n"/>
      <c r="G151" s="35" t="n">
        <v>5731.88</v>
      </c>
      <c r="H151" s="34" t="n"/>
      <c r="I151" s="33" t="inlineStr">
        <is>
          <t>Complementado (não existia na base) - ESTIMADO</t>
        </is>
      </c>
      <c r="J151" s="33" t="inlineStr">
        <is>
          <t>ESTIMADO (média c/ variação)</t>
        </is>
      </c>
      <c r="K151" s="33">
        <f>VALUE(RIGHT(A151,4))</f>
        <v/>
      </c>
      <c r="L151" s="16">
        <f>DATE(VALUE(RIGHT(A151,4)),VALUE(MID(A151,4,2)),1)</f>
        <v/>
      </c>
      <c r="M151" s="17">
        <f>INDEX(IPCA!$D$5:$D$313,MATCH(Distrato!$B$3,IPCA!$A$5:$A$313,0))/INDEX(IPCA!$D$5:$D$313,MATCH(DATE(YEAR(L151),MONTH(L151)-1,1),IPCA!$A$5:$A$313,0))</f>
        <v/>
      </c>
      <c r="N151" s="15">
        <f>IF(L151&gt;Distrato!$B$3,D151,D151*M151)</f>
        <v/>
      </c>
    </row>
    <row r="152">
      <c r="A152" s="33" t="inlineStr">
        <is>
          <t>15/08/2013</t>
        </is>
      </c>
      <c r="B152" s="33" t="inlineStr">
        <is>
          <t>TOTAL CENTRO DE DISTRIBUICAO INTEGRADA LTDA - 12.460.301/0001-87</t>
        </is>
      </c>
      <c r="C152" s="33" t="inlineStr">
        <is>
          <t>FRUGIS REPRESENTACOES LTDA - 11.989.186/0001-70</t>
        </is>
      </c>
      <c r="D152" s="34">
        <f>G152</f>
        <v/>
      </c>
      <c r="E152" s="33" t="inlineStr">
        <is>
          <t>07/2013</t>
        </is>
      </c>
      <c r="F152" s="35" t="n"/>
      <c r="G152" s="35" t="n">
        <v>5722.05</v>
      </c>
      <c r="H152" s="34" t="n"/>
      <c r="I152" s="33" t="inlineStr">
        <is>
          <t>Complementado (não existia na base) - ESTIMADO</t>
        </is>
      </c>
      <c r="J152" s="33" t="inlineStr">
        <is>
          <t>ESTIMADO (média c/ variação)</t>
        </is>
      </c>
      <c r="K152" s="33">
        <f>VALUE(RIGHT(A152,4))</f>
        <v/>
      </c>
      <c r="L152" s="16">
        <f>DATE(VALUE(RIGHT(A152,4)),VALUE(MID(A152,4,2)),1)</f>
        <v/>
      </c>
      <c r="M152" s="17">
        <f>INDEX(IPCA!$D$5:$D$313,MATCH(Distrato!$B$3,IPCA!$A$5:$A$313,0))/INDEX(IPCA!$D$5:$D$313,MATCH(DATE(YEAR(L152),MONTH(L152)-1,1),IPCA!$A$5:$A$313,0))</f>
        <v/>
      </c>
      <c r="N152" s="15">
        <f>IF(L152&gt;Distrato!$B$3,D152,D152*M152)</f>
        <v/>
      </c>
    </row>
    <row r="153">
      <c r="A153" s="33" t="inlineStr">
        <is>
          <t>15/09/2013</t>
        </is>
      </c>
      <c r="B153" s="33" t="inlineStr">
        <is>
          <t>TOTAL CENTRO DE DISTRIBUICAO INTEGRADA LTDA - 12.460.301/0001-87</t>
        </is>
      </c>
      <c r="C153" s="33" t="inlineStr">
        <is>
          <t>FRUGIS REPRESENTACOES LTDA - 11.989.186/0001-70</t>
        </is>
      </c>
      <c r="D153" s="34">
        <f>G153</f>
        <v/>
      </c>
      <c r="E153" s="33" t="inlineStr">
        <is>
          <t>08/2013</t>
        </is>
      </c>
      <c r="F153" s="35" t="n"/>
      <c r="G153" s="35" t="n">
        <v>5905.34</v>
      </c>
      <c r="H153" s="34" t="n"/>
      <c r="I153" s="33" t="inlineStr">
        <is>
          <t>Complementado (não existia na base) - ESTIMADO</t>
        </is>
      </c>
      <c r="J153" s="33" t="inlineStr">
        <is>
          <t>ESTIMADO (média c/ variação)</t>
        </is>
      </c>
      <c r="K153" s="33">
        <f>VALUE(RIGHT(A153,4))</f>
        <v/>
      </c>
      <c r="L153" s="16">
        <f>DATE(VALUE(RIGHT(A153,4)),VALUE(MID(A153,4,2)),1)</f>
        <v/>
      </c>
      <c r="M153" s="17">
        <f>INDEX(IPCA!$D$5:$D$313,MATCH(Distrato!$B$3,IPCA!$A$5:$A$313,0))/INDEX(IPCA!$D$5:$D$313,MATCH(DATE(YEAR(L153),MONTH(L153)-1,1),IPCA!$A$5:$A$313,0))</f>
        <v/>
      </c>
      <c r="N153" s="15">
        <f>IF(L153&gt;Distrato!$B$3,D153,D153*M153)</f>
        <v/>
      </c>
    </row>
    <row r="154">
      <c r="A154" s="33" t="inlineStr">
        <is>
          <t>15/10/2013</t>
        </is>
      </c>
      <c r="B154" s="33" t="inlineStr">
        <is>
          <t>TOTAL CENTRO DE DISTRIBUICAO INTEGRADA LTDA - 12.460.301/0001-87</t>
        </is>
      </c>
      <c r="C154" s="33" t="inlineStr">
        <is>
          <t>FRUGIS REPRESENTACOES LTDA - 11.989.186/0001-70</t>
        </is>
      </c>
      <c r="D154" s="34">
        <f>G154</f>
        <v/>
      </c>
      <c r="E154" s="33" t="inlineStr">
        <is>
          <t>09/2013</t>
        </is>
      </c>
      <c r="F154" s="35" t="n"/>
      <c r="G154" s="35" t="n">
        <v>5284.16</v>
      </c>
      <c r="H154" s="34" t="n"/>
      <c r="I154" s="33" t="inlineStr">
        <is>
          <t>Complementado (não existia na base) - ESTIMADO</t>
        </is>
      </c>
      <c r="J154" s="33" t="inlineStr">
        <is>
          <t>ESTIMADO (média c/ variação)</t>
        </is>
      </c>
      <c r="K154" s="33">
        <f>VALUE(RIGHT(A154,4))</f>
        <v/>
      </c>
      <c r="L154" s="16">
        <f>DATE(VALUE(RIGHT(A154,4)),VALUE(MID(A154,4,2)),1)</f>
        <v/>
      </c>
      <c r="M154" s="17">
        <f>INDEX(IPCA!$D$5:$D$313,MATCH(Distrato!$B$3,IPCA!$A$5:$A$313,0))/INDEX(IPCA!$D$5:$D$313,MATCH(DATE(YEAR(L154),MONTH(L154)-1,1),IPCA!$A$5:$A$313,0))</f>
        <v/>
      </c>
      <c r="N154" s="15">
        <f>IF(L154&gt;Distrato!$B$3,D154,D154*M154)</f>
        <v/>
      </c>
    </row>
    <row r="155">
      <c r="A155" s="33" t="inlineStr">
        <is>
          <t>15/11/2013</t>
        </is>
      </c>
      <c r="B155" s="33" t="inlineStr">
        <is>
          <t>TOTAL CENTRO DE DISTRIBUICAO INTEGRADA LTDA - 12.460.301/0001-87</t>
        </is>
      </c>
      <c r="C155" s="33" t="inlineStr">
        <is>
          <t>FRUGIS REPRESENTACOES LTDA - 11.989.186/0001-70</t>
        </is>
      </c>
      <c r="D155" s="34">
        <f>G155</f>
        <v/>
      </c>
      <c r="E155" s="33" t="inlineStr">
        <is>
          <t>10/2013</t>
        </is>
      </c>
      <c r="F155" s="35" t="n"/>
      <c r="G155" s="35" t="n">
        <v>5525.47</v>
      </c>
      <c r="H155" s="34" t="n"/>
      <c r="I155" s="33" t="inlineStr">
        <is>
          <t>Complementado (não existia na base) - ESTIMADO</t>
        </is>
      </c>
      <c r="J155" s="33" t="inlineStr">
        <is>
          <t>ESTIMADO (média c/ variação)</t>
        </is>
      </c>
      <c r="K155" s="33">
        <f>VALUE(RIGHT(A155,4))</f>
        <v/>
      </c>
      <c r="L155" s="16">
        <f>DATE(VALUE(RIGHT(A155,4)),VALUE(MID(A155,4,2)),1)</f>
        <v/>
      </c>
      <c r="M155" s="17">
        <f>INDEX(IPCA!$D$5:$D$313,MATCH(Distrato!$B$3,IPCA!$A$5:$A$313,0))/INDEX(IPCA!$D$5:$D$313,MATCH(DATE(YEAR(L155),MONTH(L155)-1,1),IPCA!$A$5:$A$313,0))</f>
        <v/>
      </c>
      <c r="N155" s="15">
        <f>IF(L155&gt;Distrato!$B$3,D155,D155*M155)</f>
        <v/>
      </c>
    </row>
    <row r="156">
      <c r="A156" s="33" t="inlineStr">
        <is>
          <t>15/12/2013</t>
        </is>
      </c>
      <c r="B156" s="33" t="inlineStr">
        <is>
          <t>TOTAL CENTRO DE DISTRIBUICAO INTEGRADA LTDA - 12.460.301/0001-87</t>
        </is>
      </c>
      <c r="C156" s="33" t="inlineStr">
        <is>
          <t>FRUGIS REPRESENTACOES LTDA - 11.989.186/0001-70</t>
        </is>
      </c>
      <c r="D156" s="34">
        <f>G156</f>
        <v/>
      </c>
      <c r="E156" s="33" t="inlineStr">
        <is>
          <t>11/2013</t>
        </is>
      </c>
      <c r="F156" s="35" t="n"/>
      <c r="G156" s="35" t="n">
        <v>7039.55</v>
      </c>
      <c r="H156" s="34" t="n"/>
      <c r="I156" s="33" t="inlineStr">
        <is>
          <t>Complementado (não existia na base) - ESTIMADO</t>
        </is>
      </c>
      <c r="J156" s="33" t="inlineStr">
        <is>
          <t>ESTIMADO (média c/ variação)</t>
        </is>
      </c>
      <c r="K156" s="33">
        <f>VALUE(RIGHT(A156,4))</f>
        <v/>
      </c>
      <c r="L156" s="16">
        <f>DATE(VALUE(RIGHT(A156,4)),VALUE(MID(A156,4,2)),1)</f>
        <v/>
      </c>
      <c r="M156" s="17">
        <f>INDEX(IPCA!$D$5:$D$313,MATCH(Distrato!$B$3,IPCA!$A$5:$A$313,0))/INDEX(IPCA!$D$5:$D$313,MATCH(DATE(YEAR(L156),MONTH(L156)-1,1),IPCA!$A$5:$A$313,0))</f>
        <v/>
      </c>
      <c r="N156" s="15">
        <f>IF(L156&gt;Distrato!$B$3,D156,D156*M156)</f>
        <v/>
      </c>
    </row>
    <row r="157">
      <c r="A157" s="33" t="inlineStr">
        <is>
          <t>15/01/2014</t>
        </is>
      </c>
      <c r="B157" s="33" t="inlineStr">
        <is>
          <t>TOTAL CENTRO DE DISTRIBUICAO INTEGRADA LTDA - 12.460.301/0001-87</t>
        </is>
      </c>
      <c r="C157" s="33" t="inlineStr">
        <is>
          <t>FRUGIS REPRESENTACOES LTDA - 11.989.186/0001-70</t>
        </is>
      </c>
      <c r="D157" s="34">
        <f>G157</f>
        <v/>
      </c>
      <c r="E157" s="33" t="inlineStr">
        <is>
          <t>12/2013</t>
        </is>
      </c>
      <c r="F157" s="35" t="n"/>
      <c r="G157" s="35" t="n">
        <v>7152.81</v>
      </c>
      <c r="H157" s="34" t="n"/>
      <c r="I157" s="33" t="inlineStr">
        <is>
          <t>Complementado (não existia na base) - ESTIMADO</t>
        </is>
      </c>
      <c r="J157" s="33" t="inlineStr">
        <is>
          <t>ESTIMADO (média c/ variação)</t>
        </is>
      </c>
      <c r="K157" s="33">
        <f>VALUE(RIGHT(A157,4))</f>
        <v/>
      </c>
      <c r="L157" s="16">
        <f>DATE(VALUE(RIGHT(A157,4)),VALUE(MID(A157,4,2)),1)</f>
        <v/>
      </c>
      <c r="M157" s="17">
        <f>INDEX(IPCA!$D$5:$D$313,MATCH(Distrato!$B$3,IPCA!$A$5:$A$313,0))/INDEX(IPCA!$D$5:$D$313,MATCH(DATE(YEAR(L157),MONTH(L157)-1,1),IPCA!$A$5:$A$313,0))</f>
        <v/>
      </c>
      <c r="N157" s="15">
        <f>IF(L157&gt;Distrato!$B$3,D157,D157*M157)</f>
        <v/>
      </c>
    </row>
    <row r="158">
      <c r="A158" s="33" t="inlineStr">
        <is>
          <t>15/02/2014</t>
        </is>
      </c>
      <c r="B158" s="33" t="inlineStr">
        <is>
          <t>TOTAL CENTRO DE DISTRIBUICAO INTEGRADA LTDA - 12.460.301/0001-87</t>
        </is>
      </c>
      <c r="C158" s="33" t="inlineStr">
        <is>
          <t>FRUGIS REPRESENTACOES LTDA - 11.989.186/0001-70</t>
        </is>
      </c>
      <c r="D158" s="34">
        <f>G158</f>
        <v/>
      </c>
      <c r="E158" s="33" t="inlineStr">
        <is>
          <t>01/2014</t>
        </is>
      </c>
      <c r="F158" s="35" t="n"/>
      <c r="G158" s="35" t="n">
        <v>7116.41</v>
      </c>
      <c r="H158" s="34" t="n"/>
      <c r="I158" s="33" t="inlineStr">
        <is>
          <t>Complementado (não existia na base) - ESTIMADO</t>
        </is>
      </c>
      <c r="J158" s="33" t="inlineStr">
        <is>
          <t>ESTIMADO (média c/ variação)</t>
        </is>
      </c>
      <c r="K158" s="33">
        <f>VALUE(RIGHT(A158,4))</f>
        <v/>
      </c>
      <c r="L158" s="16">
        <f>DATE(VALUE(RIGHT(A158,4)),VALUE(MID(A158,4,2)),1)</f>
        <v/>
      </c>
      <c r="M158" s="17">
        <f>INDEX(IPCA!$D$5:$D$313,MATCH(Distrato!$B$3,IPCA!$A$5:$A$313,0))/INDEX(IPCA!$D$5:$D$313,MATCH(DATE(YEAR(L158),MONTH(L158)-1,1),IPCA!$A$5:$A$313,0))</f>
        <v/>
      </c>
      <c r="N158" s="15">
        <f>IF(L158&gt;Distrato!$B$3,D158,D158*M158)</f>
        <v/>
      </c>
    </row>
    <row r="159">
      <c r="A159" s="33" t="inlineStr">
        <is>
          <t>15/03/2014</t>
        </is>
      </c>
      <c r="B159" s="33" t="inlineStr">
        <is>
          <t>TOTAL CENTRO DE DISTRIBUICAO INTEGRADA LTDA - 12.460.301/0001-87</t>
        </is>
      </c>
      <c r="C159" s="33" t="inlineStr">
        <is>
          <t>FRUGIS REPRESENTACOES LTDA - 11.989.186/0001-70</t>
        </is>
      </c>
      <c r="D159" s="34">
        <f>G159</f>
        <v/>
      </c>
      <c r="E159" s="33" t="inlineStr">
        <is>
          <t>02/2014</t>
        </is>
      </c>
      <c r="F159" s="35" t="n"/>
      <c r="G159" s="35" t="n">
        <v>7707.83</v>
      </c>
      <c r="H159" s="34" t="n"/>
      <c r="I159" s="33" t="inlineStr">
        <is>
          <t>Complementado (não existia na base) - ESTIMADO</t>
        </is>
      </c>
      <c r="J159" s="33" t="inlineStr">
        <is>
          <t>ESTIMADO (média c/ variação)</t>
        </is>
      </c>
      <c r="K159" s="33">
        <f>VALUE(RIGHT(A159,4))</f>
        <v/>
      </c>
      <c r="L159" s="16">
        <f>DATE(VALUE(RIGHT(A159,4)),VALUE(MID(A159,4,2)),1)</f>
        <v/>
      </c>
      <c r="M159" s="17">
        <f>INDEX(IPCA!$D$5:$D$313,MATCH(Distrato!$B$3,IPCA!$A$5:$A$313,0))/INDEX(IPCA!$D$5:$D$313,MATCH(DATE(YEAR(L159),MONTH(L159)-1,1),IPCA!$A$5:$A$313,0))</f>
        <v/>
      </c>
      <c r="N159" s="15">
        <f>IF(L159&gt;Distrato!$B$3,D159,D159*M159)</f>
        <v/>
      </c>
    </row>
    <row r="160">
      <c r="A160" s="33" t="inlineStr">
        <is>
          <t>15/04/2014</t>
        </is>
      </c>
      <c r="B160" s="33" t="inlineStr">
        <is>
          <t>TOTAL CENTRO DE DISTRIBUICAO INTEGRADA LTDA - 12.460.301/0001-87</t>
        </is>
      </c>
      <c r="C160" s="33" t="inlineStr">
        <is>
          <t>FRUGIS REPRESENTACOES LTDA - 11.989.186/0001-70</t>
        </is>
      </c>
      <c r="D160" s="34">
        <f>G160</f>
        <v/>
      </c>
      <c r="E160" s="33" t="inlineStr">
        <is>
          <t>03/2014</t>
        </is>
      </c>
      <c r="F160" s="35" t="n"/>
      <c r="G160" s="35" t="n">
        <v>6914.48</v>
      </c>
      <c r="H160" s="34" t="n"/>
      <c r="I160" s="33" t="inlineStr">
        <is>
          <t>Complementado (não existia na base) - ESTIMADO</t>
        </is>
      </c>
      <c r="J160" s="33" t="inlineStr">
        <is>
          <t>ESTIMADO (média c/ variação)</t>
        </is>
      </c>
      <c r="K160" s="33">
        <f>VALUE(RIGHT(A160,4))</f>
        <v/>
      </c>
      <c r="L160" s="16">
        <f>DATE(VALUE(RIGHT(A160,4)),VALUE(MID(A160,4,2)),1)</f>
        <v/>
      </c>
      <c r="M160" s="17">
        <f>INDEX(IPCA!$D$5:$D$313,MATCH(Distrato!$B$3,IPCA!$A$5:$A$313,0))/INDEX(IPCA!$D$5:$D$313,MATCH(DATE(YEAR(L160),MONTH(L160)-1,1),IPCA!$A$5:$A$313,0))</f>
        <v/>
      </c>
      <c r="N160" s="15">
        <f>IF(L160&gt;Distrato!$B$3,D160,D160*M160)</f>
        <v/>
      </c>
    </row>
    <row r="161">
      <c r="A161" s="33" t="inlineStr">
        <is>
          <t>15/05/2014</t>
        </is>
      </c>
      <c r="B161" s="33" t="inlineStr">
        <is>
          <t>TOTAL CENTRO DE DISTRIBUICAO INTEGRADA LTDA - 12.460.301/0001-87</t>
        </is>
      </c>
      <c r="C161" s="33" t="inlineStr">
        <is>
          <t>FRUGIS REPRESENTACOES LTDA - 11.989.186/0001-70</t>
        </is>
      </c>
      <c r="D161" s="34">
        <f>G161</f>
        <v/>
      </c>
      <c r="E161" s="33" t="inlineStr">
        <is>
          <t>04/2014</t>
        </is>
      </c>
      <c r="F161" s="35" t="n"/>
      <c r="G161" s="35" t="n">
        <v>6170.91</v>
      </c>
      <c r="H161" s="34" t="n"/>
      <c r="I161" s="33" t="inlineStr">
        <is>
          <t>Complementado (não existia na base) - ESTIMADO</t>
        </is>
      </c>
      <c r="J161" s="33" t="inlineStr">
        <is>
          <t>ESTIMADO (média c/ variação)</t>
        </is>
      </c>
      <c r="K161" s="33">
        <f>VALUE(RIGHT(A161,4))</f>
        <v/>
      </c>
      <c r="L161" s="16">
        <f>DATE(VALUE(RIGHT(A161,4)),VALUE(MID(A161,4,2)),1)</f>
        <v/>
      </c>
      <c r="M161" s="17">
        <f>INDEX(IPCA!$D$5:$D$313,MATCH(Distrato!$B$3,IPCA!$A$5:$A$313,0))/INDEX(IPCA!$D$5:$D$313,MATCH(DATE(YEAR(L161),MONTH(L161)-1,1),IPCA!$A$5:$A$313,0))</f>
        <v/>
      </c>
      <c r="N161" s="15">
        <f>IF(L161&gt;Distrato!$B$3,D161,D161*M161)</f>
        <v/>
      </c>
    </row>
    <row r="162">
      <c r="A162" s="33" t="inlineStr">
        <is>
          <t>15/06/2014</t>
        </is>
      </c>
      <c r="B162" s="33" t="inlineStr">
        <is>
          <t>TOTAL CENTRO DE DISTRIBUICAO INTEGRADA LTDA - 12.460.301/0001-87</t>
        </is>
      </c>
      <c r="C162" s="33" t="inlineStr">
        <is>
          <t>FRUGIS REPRESENTACOES LTDA - 11.989.186/0001-70</t>
        </is>
      </c>
      <c r="D162" s="34">
        <f>G162</f>
        <v/>
      </c>
      <c r="E162" s="33" t="inlineStr">
        <is>
          <t>05/2014</t>
        </is>
      </c>
      <c r="F162" s="35" t="n"/>
      <c r="G162" s="35" t="n">
        <v>6905.24</v>
      </c>
      <c r="H162" s="34" t="n"/>
      <c r="I162" s="33" t="inlineStr">
        <is>
          <t>Complementado (não existia na base) - ESTIMADO</t>
        </is>
      </c>
      <c r="J162" s="33" t="inlineStr">
        <is>
          <t>ESTIMADO (média c/ variação)</t>
        </is>
      </c>
      <c r="K162" s="33">
        <f>VALUE(RIGHT(A162,4))</f>
        <v/>
      </c>
      <c r="L162" s="16">
        <f>DATE(VALUE(RIGHT(A162,4)),VALUE(MID(A162,4,2)),1)</f>
        <v/>
      </c>
      <c r="M162" s="17">
        <f>INDEX(IPCA!$D$5:$D$313,MATCH(Distrato!$B$3,IPCA!$A$5:$A$313,0))/INDEX(IPCA!$D$5:$D$313,MATCH(DATE(YEAR(L162),MONTH(L162)-1,1),IPCA!$A$5:$A$313,0))</f>
        <v/>
      </c>
      <c r="N162" s="15">
        <f>IF(L162&gt;Distrato!$B$3,D162,D162*M162)</f>
        <v/>
      </c>
    </row>
    <row r="163">
      <c r="A163" s="33" t="inlineStr">
        <is>
          <t>15/07/2014</t>
        </is>
      </c>
      <c r="B163" s="33" t="inlineStr">
        <is>
          <t>TOTAL CENTRO DE DISTRIBUICAO INTEGRADA LTDA - 12.460.301/0001-87</t>
        </is>
      </c>
      <c r="C163" s="33" t="inlineStr">
        <is>
          <t>FRUGIS REPRESENTACOES LTDA - 11.989.186/0001-70</t>
        </is>
      </c>
      <c r="D163" s="34">
        <f>G163</f>
        <v/>
      </c>
      <c r="E163" s="33" t="inlineStr">
        <is>
          <t>06/2014</t>
        </is>
      </c>
      <c r="F163" s="35" t="n"/>
      <c r="G163" s="35" t="n">
        <v>7563.73</v>
      </c>
      <c r="H163" s="34" t="n"/>
      <c r="I163" s="33" t="inlineStr">
        <is>
          <t>Complementado (não existia na base) - ESTIMADO</t>
        </is>
      </c>
      <c r="J163" s="33" t="inlineStr">
        <is>
          <t>ESTIMADO (média c/ variação)</t>
        </is>
      </c>
      <c r="K163" s="33">
        <f>VALUE(RIGHT(A163,4))</f>
        <v/>
      </c>
      <c r="L163" s="16">
        <f>DATE(VALUE(RIGHT(A163,4)),VALUE(MID(A163,4,2)),1)</f>
        <v/>
      </c>
      <c r="M163" s="17">
        <f>INDEX(IPCA!$D$5:$D$313,MATCH(Distrato!$B$3,IPCA!$A$5:$A$313,0))/INDEX(IPCA!$D$5:$D$313,MATCH(DATE(YEAR(L163),MONTH(L163)-1,1),IPCA!$A$5:$A$313,0))</f>
        <v/>
      </c>
      <c r="N163" s="15">
        <f>IF(L163&gt;Distrato!$B$3,D163,D163*M163)</f>
        <v/>
      </c>
    </row>
    <row r="164">
      <c r="A164" s="33" t="inlineStr">
        <is>
          <t>15/08/2014</t>
        </is>
      </c>
      <c r="B164" s="33" t="inlineStr">
        <is>
          <t>TOTAL CENTRO DE DISTRIBUICAO INTEGRADA LTDA - 12.460.301/0001-87</t>
        </is>
      </c>
      <c r="C164" s="33" t="inlineStr">
        <is>
          <t>FRUGIS REPRESENTACOES LTDA - 11.989.186/0001-70</t>
        </is>
      </c>
      <c r="D164" s="34">
        <f>G164</f>
        <v/>
      </c>
      <c r="E164" s="33" t="inlineStr">
        <is>
          <t>07/2014</t>
        </is>
      </c>
      <c r="F164" s="35" t="n"/>
      <c r="G164" s="35" t="n">
        <v>7143.61</v>
      </c>
      <c r="H164" s="34" t="n"/>
      <c r="I164" s="33" t="inlineStr">
        <is>
          <t>Complementado (não existia na base) - ESTIMADO</t>
        </is>
      </c>
      <c r="J164" s="33" t="inlineStr">
        <is>
          <t>ESTIMADO (média c/ variação)</t>
        </is>
      </c>
      <c r="K164" s="33">
        <f>VALUE(RIGHT(A164,4))</f>
        <v/>
      </c>
      <c r="L164" s="16">
        <f>DATE(VALUE(RIGHT(A164,4)),VALUE(MID(A164,4,2)),1)</f>
        <v/>
      </c>
      <c r="M164" s="17">
        <f>INDEX(IPCA!$D$5:$D$313,MATCH(Distrato!$B$3,IPCA!$A$5:$A$313,0))/INDEX(IPCA!$D$5:$D$313,MATCH(DATE(YEAR(L164),MONTH(L164)-1,1),IPCA!$A$5:$A$313,0))</f>
        <v/>
      </c>
      <c r="N164" s="15">
        <f>IF(L164&gt;Distrato!$B$3,D164,D164*M164)</f>
        <v/>
      </c>
    </row>
    <row r="165">
      <c r="A165" s="33" t="inlineStr">
        <is>
          <t>15/09/2014</t>
        </is>
      </c>
      <c r="B165" s="33" t="inlineStr">
        <is>
          <t>TOTAL CENTRO DE DISTRIBUICAO INTEGRADA LTDA - 12.460.301/0001-87</t>
        </is>
      </c>
      <c r="C165" s="33" t="inlineStr">
        <is>
          <t>FRUGIS REPRESENTACOES LTDA - 11.989.186/0001-70</t>
        </is>
      </c>
      <c r="D165" s="34">
        <f>G165</f>
        <v/>
      </c>
      <c r="E165" s="33" t="inlineStr">
        <is>
          <t>08/2014</t>
        </is>
      </c>
      <c r="F165" s="35" t="n"/>
      <c r="G165" s="35" t="n">
        <v>7702.36</v>
      </c>
      <c r="H165" s="34" t="n"/>
      <c r="I165" s="33" t="inlineStr">
        <is>
          <t>Complementado (não existia na base) - ESTIMADO</t>
        </is>
      </c>
      <c r="J165" s="33" t="inlineStr">
        <is>
          <t>ESTIMADO (média c/ variação)</t>
        </is>
      </c>
      <c r="K165" s="33">
        <f>VALUE(RIGHT(A165,4))</f>
        <v/>
      </c>
      <c r="L165" s="16">
        <f>DATE(VALUE(RIGHT(A165,4)),VALUE(MID(A165,4,2)),1)</f>
        <v/>
      </c>
      <c r="M165" s="17">
        <f>INDEX(IPCA!$D$5:$D$313,MATCH(Distrato!$B$3,IPCA!$A$5:$A$313,0))/INDEX(IPCA!$D$5:$D$313,MATCH(DATE(YEAR(L165),MONTH(L165)-1,1),IPCA!$A$5:$A$313,0))</f>
        <v/>
      </c>
      <c r="N165" s="15">
        <f>IF(L165&gt;Distrato!$B$3,D165,D165*M165)</f>
        <v/>
      </c>
    </row>
    <row r="166">
      <c r="A166" s="33" t="inlineStr">
        <is>
          <t>15/10/2014</t>
        </is>
      </c>
      <c r="B166" s="33" t="inlineStr">
        <is>
          <t>TOTAL CENTRO DE DISTRIBUICAO INTEGRADA LTDA - 12.460.301/0001-87</t>
        </is>
      </c>
      <c r="C166" s="33" t="inlineStr">
        <is>
          <t>FRUGIS REPRESENTACOES LTDA - 11.989.186/0001-70</t>
        </is>
      </c>
      <c r="D166" s="34">
        <f>G166</f>
        <v/>
      </c>
      <c r="E166" s="33" t="inlineStr">
        <is>
          <t>09/2014</t>
        </is>
      </c>
      <c r="F166" s="35" t="n"/>
      <c r="G166" s="35" t="n">
        <v>8886.98</v>
      </c>
      <c r="H166" s="34" t="n"/>
      <c r="I166" s="33" t="inlineStr">
        <is>
          <t>Complementado (não existia na base) - ESTIMADO</t>
        </is>
      </c>
      <c r="J166" s="33" t="inlineStr">
        <is>
          <t>ESTIMADO (média c/ variação)</t>
        </is>
      </c>
      <c r="K166" s="33">
        <f>VALUE(RIGHT(A166,4))</f>
        <v/>
      </c>
      <c r="L166" s="16">
        <f>DATE(VALUE(RIGHT(A166,4)),VALUE(MID(A166,4,2)),1)</f>
        <v/>
      </c>
      <c r="M166" s="17">
        <f>INDEX(IPCA!$D$5:$D$313,MATCH(Distrato!$B$3,IPCA!$A$5:$A$313,0))/INDEX(IPCA!$D$5:$D$313,MATCH(DATE(YEAR(L166),MONTH(L166)-1,1),IPCA!$A$5:$A$313,0))</f>
        <v/>
      </c>
      <c r="N166" s="15">
        <f>IF(L166&gt;Distrato!$B$3,D166,D166*M166)</f>
        <v/>
      </c>
    </row>
    <row r="167">
      <c r="A167" s="33" t="inlineStr">
        <is>
          <t>15/11/2014</t>
        </is>
      </c>
      <c r="B167" s="33" t="inlineStr">
        <is>
          <t>TOTAL CENTRO DE DISTRIBUICAO INTEGRADA LTDA - 12.460.301/0001-87</t>
        </is>
      </c>
      <c r="C167" s="33" t="inlineStr">
        <is>
          <t>FRUGIS REPRESENTACOES LTDA - 11.989.186/0001-70</t>
        </is>
      </c>
      <c r="D167" s="34">
        <f>G167</f>
        <v/>
      </c>
      <c r="E167" s="33" t="inlineStr">
        <is>
          <t>10/2014</t>
        </is>
      </c>
      <c r="F167" s="35" t="n"/>
      <c r="G167" s="35" t="n">
        <v>8668.549999999999</v>
      </c>
      <c r="H167" s="34" t="n"/>
      <c r="I167" s="33" t="inlineStr">
        <is>
          <t>Complementado (não existia na base) - ESTIMADO</t>
        </is>
      </c>
      <c r="J167" s="33" t="inlineStr">
        <is>
          <t>ESTIMADO (média c/ variação)</t>
        </is>
      </c>
      <c r="K167" s="33">
        <f>VALUE(RIGHT(A167,4))</f>
        <v/>
      </c>
      <c r="L167" s="16">
        <f>DATE(VALUE(RIGHT(A167,4)),VALUE(MID(A167,4,2)),1)</f>
        <v/>
      </c>
      <c r="M167" s="17">
        <f>INDEX(IPCA!$D$5:$D$313,MATCH(Distrato!$B$3,IPCA!$A$5:$A$313,0))/INDEX(IPCA!$D$5:$D$313,MATCH(DATE(YEAR(L167),MONTH(L167)-1,1),IPCA!$A$5:$A$313,0))</f>
        <v/>
      </c>
      <c r="N167" s="15">
        <f>IF(L167&gt;Distrato!$B$3,D167,D167*M167)</f>
        <v/>
      </c>
    </row>
    <row r="168">
      <c r="A168" s="33" t="inlineStr">
        <is>
          <t>15/12/2014</t>
        </is>
      </c>
      <c r="B168" s="33" t="inlineStr">
        <is>
          <t>TOTAL CENTRO DE DISTRIBUICAO INTEGRADA LTDA - 12.460.301/0001-87</t>
        </is>
      </c>
      <c r="C168" s="33" t="inlineStr">
        <is>
          <t>FRUGIS REPRESENTACOES LTDA - 11.989.186/0001-70</t>
        </is>
      </c>
      <c r="D168" s="34">
        <f>G168</f>
        <v/>
      </c>
      <c r="E168" s="33" t="inlineStr">
        <is>
          <t>11/2014</t>
        </is>
      </c>
      <c r="F168" s="35" t="n"/>
      <c r="G168" s="35" t="n">
        <v>8545.59</v>
      </c>
      <c r="H168" s="34" t="n"/>
      <c r="I168" s="33" t="inlineStr">
        <is>
          <t>Complementado (não existia na base) - ESTIMADO</t>
        </is>
      </c>
      <c r="J168" s="33" t="inlineStr">
        <is>
          <t>ESTIMADO (média c/ variação)</t>
        </is>
      </c>
      <c r="K168" s="33">
        <f>VALUE(RIGHT(A168,4))</f>
        <v/>
      </c>
      <c r="L168" s="16">
        <f>DATE(VALUE(RIGHT(A168,4)),VALUE(MID(A168,4,2)),1)</f>
        <v/>
      </c>
      <c r="M168" s="17">
        <f>INDEX(IPCA!$D$5:$D$313,MATCH(Distrato!$B$3,IPCA!$A$5:$A$313,0))/INDEX(IPCA!$D$5:$D$313,MATCH(DATE(YEAR(L168),MONTH(L168)-1,1),IPCA!$A$5:$A$313,0))</f>
        <v/>
      </c>
      <c r="N168" s="15">
        <f>IF(L168&gt;Distrato!$B$3,D168,D168*M168)</f>
        <v/>
      </c>
    </row>
    <row r="169">
      <c r="A169" s="33" t="inlineStr">
        <is>
          <t>15/01/2015</t>
        </is>
      </c>
      <c r="B169" s="33" t="inlineStr">
        <is>
          <t>TOTAL CENTRO DE DISTRIBUICAO INTEGRADA LTDA - 12.460.301/0001-87</t>
        </is>
      </c>
      <c r="C169" s="33" t="inlineStr">
        <is>
          <t>FRUGIS REPRESENTACOES LTDA - 11.989.186/0001-70</t>
        </is>
      </c>
      <c r="D169" s="34">
        <f>G169</f>
        <v/>
      </c>
      <c r="E169" s="33" t="inlineStr">
        <is>
          <t>12/2014</t>
        </is>
      </c>
      <c r="F169" s="35" t="n"/>
      <c r="G169" s="35" t="n">
        <v>7317.93</v>
      </c>
      <c r="H169" s="34" t="n"/>
      <c r="I169" s="33" t="inlineStr">
        <is>
          <t>Complementado (não existia na base) - ESTIMADO</t>
        </is>
      </c>
      <c r="J169" s="33" t="inlineStr">
        <is>
          <t>ESTIMADO (média c/ variação)</t>
        </is>
      </c>
      <c r="K169" s="33">
        <f>VALUE(RIGHT(A169,4))</f>
        <v/>
      </c>
      <c r="L169" s="16">
        <f>DATE(VALUE(RIGHT(A169,4)),VALUE(MID(A169,4,2)),1)</f>
        <v/>
      </c>
      <c r="M169" s="17">
        <f>INDEX(IPCA!$D$5:$D$313,MATCH(Distrato!$B$3,IPCA!$A$5:$A$313,0))/INDEX(IPCA!$D$5:$D$313,MATCH(DATE(YEAR(L169),MONTH(L169)-1,1),IPCA!$A$5:$A$313,0))</f>
        <v/>
      </c>
      <c r="N169" s="15">
        <f>IF(L169&gt;Distrato!$B$3,D169,D169*M169)</f>
        <v/>
      </c>
    </row>
    <row r="170">
      <c r="A170" s="33" t="inlineStr">
        <is>
          <t>15/02/2015</t>
        </is>
      </c>
      <c r="B170" s="33" t="inlineStr">
        <is>
          <t>TOTAL CENTRO DE DISTRIBUICAO INTEGRADA LTDA - 12.460.301/0001-87</t>
        </is>
      </c>
      <c r="C170" s="33" t="inlineStr">
        <is>
          <t>FRUGIS REPRESENTACOES LTDA - 11.989.186/0001-70</t>
        </is>
      </c>
      <c r="D170" s="34">
        <f>G170</f>
        <v/>
      </c>
      <c r="E170" s="33" t="inlineStr">
        <is>
          <t>01/2015</t>
        </is>
      </c>
      <c r="F170" s="35" t="n"/>
      <c r="G170" s="35" t="n">
        <v>9270.08</v>
      </c>
      <c r="H170" s="34" t="n"/>
      <c r="I170" s="33" t="inlineStr">
        <is>
          <t>Complementado (não existia na base) - ESTIMADO</t>
        </is>
      </c>
      <c r="J170" s="33" t="inlineStr">
        <is>
          <t>ESTIMADO (média c/ variação)</t>
        </is>
      </c>
      <c r="K170" s="33">
        <f>VALUE(RIGHT(A170,4))</f>
        <v/>
      </c>
      <c r="L170" s="16">
        <f>DATE(VALUE(RIGHT(A170,4)),VALUE(MID(A170,4,2)),1)</f>
        <v/>
      </c>
      <c r="M170" s="17">
        <f>INDEX(IPCA!$D$5:$D$313,MATCH(Distrato!$B$3,IPCA!$A$5:$A$313,0))/INDEX(IPCA!$D$5:$D$313,MATCH(DATE(YEAR(L170),MONTH(L170)-1,1),IPCA!$A$5:$A$313,0))</f>
        <v/>
      </c>
      <c r="N170" s="15">
        <f>IF(L170&gt;Distrato!$B$3,D170,D170*M170)</f>
        <v/>
      </c>
    </row>
    <row r="171">
      <c r="A171" s="33" t="inlineStr">
        <is>
          <t>15/03/2015</t>
        </is>
      </c>
      <c r="B171" s="33" t="inlineStr">
        <is>
          <t>TOTAL CENTRO DE DISTRIBUICAO INTEGRADA LTDA - 12.460.301/0001-87</t>
        </is>
      </c>
      <c r="C171" s="33" t="inlineStr">
        <is>
          <t>FRUGIS REPRESENTACOES LTDA - 11.989.186/0001-70</t>
        </is>
      </c>
      <c r="D171" s="34">
        <f>G171</f>
        <v/>
      </c>
      <c r="E171" s="33" t="inlineStr">
        <is>
          <t>02/2015</t>
        </is>
      </c>
      <c r="F171" s="35" t="n"/>
      <c r="G171" s="35" t="n">
        <v>8537.35</v>
      </c>
      <c r="H171" s="34" t="n"/>
      <c r="I171" s="33" t="inlineStr">
        <is>
          <t>Complementado (não existia na base) - ESTIMADO</t>
        </is>
      </c>
      <c r="J171" s="33" t="inlineStr">
        <is>
          <t>ESTIMADO (média c/ variação)</t>
        </is>
      </c>
      <c r="K171" s="33">
        <f>VALUE(RIGHT(A171,4))</f>
        <v/>
      </c>
      <c r="L171" s="16">
        <f>DATE(VALUE(RIGHT(A171,4)),VALUE(MID(A171,4,2)),1)</f>
        <v/>
      </c>
      <c r="M171" s="17">
        <f>INDEX(IPCA!$D$5:$D$313,MATCH(Distrato!$B$3,IPCA!$A$5:$A$313,0))/INDEX(IPCA!$D$5:$D$313,MATCH(DATE(YEAR(L171),MONTH(L171)-1,1),IPCA!$A$5:$A$313,0))</f>
        <v/>
      </c>
      <c r="N171" s="15">
        <f>IF(L171&gt;Distrato!$B$3,D171,D171*M171)</f>
        <v/>
      </c>
    </row>
    <row r="172">
      <c r="A172" s="33" t="inlineStr">
        <is>
          <t>15/04/2015</t>
        </is>
      </c>
      <c r="B172" s="33" t="inlineStr">
        <is>
          <t>TOTAL CENTRO DE DISTRIBUICAO INTEGRADA LTDA - 12.460.301/0001-87</t>
        </is>
      </c>
      <c r="C172" s="33" t="inlineStr">
        <is>
          <t>FRUGIS REPRESENTACOES LTDA - 11.989.186/0001-70</t>
        </is>
      </c>
      <c r="D172" s="34">
        <f>G172</f>
        <v/>
      </c>
      <c r="E172" s="33" t="inlineStr">
        <is>
          <t>03/2015</t>
        </is>
      </c>
      <c r="F172" s="35" t="n"/>
      <c r="G172" s="35" t="n">
        <v>8872.950000000001</v>
      </c>
      <c r="H172" s="34" t="n"/>
      <c r="I172" s="33" t="inlineStr">
        <is>
          <t>Complementado (não existia na base) - ESTIMADO</t>
        </is>
      </c>
      <c r="J172" s="33" t="inlineStr">
        <is>
          <t>ESTIMADO (média c/ variação)</t>
        </is>
      </c>
      <c r="K172" s="33">
        <f>VALUE(RIGHT(A172,4))</f>
        <v/>
      </c>
      <c r="L172" s="16">
        <f>DATE(VALUE(RIGHT(A172,4)),VALUE(MID(A172,4,2)),1)</f>
        <v/>
      </c>
      <c r="M172" s="17">
        <f>INDEX(IPCA!$D$5:$D$313,MATCH(Distrato!$B$3,IPCA!$A$5:$A$313,0))/INDEX(IPCA!$D$5:$D$313,MATCH(DATE(YEAR(L172),MONTH(L172)-1,1),IPCA!$A$5:$A$313,0))</f>
        <v/>
      </c>
      <c r="N172" s="15">
        <f>IF(L172&gt;Distrato!$B$3,D172,D172*M172)</f>
        <v/>
      </c>
    </row>
    <row r="173">
      <c r="A173" s="33" t="inlineStr">
        <is>
          <t>15/05/2015</t>
        </is>
      </c>
      <c r="B173" s="33" t="inlineStr">
        <is>
          <t>TOTAL CENTRO DE DISTRIBUICAO INTEGRADA LTDA - 12.460.301/0001-87</t>
        </is>
      </c>
      <c r="C173" s="33" t="inlineStr">
        <is>
          <t>FRUGIS REPRESENTACOES LTDA - 11.989.186/0001-70</t>
        </is>
      </c>
      <c r="D173" s="34">
        <f>G173</f>
        <v/>
      </c>
      <c r="E173" s="33" t="inlineStr">
        <is>
          <t>04/2015</t>
        </is>
      </c>
      <c r="F173" s="35" t="n"/>
      <c r="G173" s="35" t="n">
        <v>8986.07</v>
      </c>
      <c r="H173" s="34" t="n"/>
      <c r="I173" s="33" t="inlineStr">
        <is>
          <t>Complementado (não existia na base) - ESTIMADO</t>
        </is>
      </c>
      <c r="J173" s="33" t="inlineStr">
        <is>
          <t>ESTIMADO (média c/ variação)</t>
        </is>
      </c>
      <c r="K173" s="33">
        <f>VALUE(RIGHT(A173,4))</f>
        <v/>
      </c>
      <c r="L173" s="16">
        <f>DATE(VALUE(RIGHT(A173,4)),VALUE(MID(A173,4,2)),1)</f>
        <v/>
      </c>
      <c r="M173" s="17">
        <f>INDEX(IPCA!$D$5:$D$313,MATCH(Distrato!$B$3,IPCA!$A$5:$A$313,0))/INDEX(IPCA!$D$5:$D$313,MATCH(DATE(YEAR(L173),MONTH(L173)-1,1),IPCA!$A$5:$A$313,0))</f>
        <v/>
      </c>
      <c r="N173" s="15">
        <f>IF(L173&gt;Distrato!$B$3,D173,D173*M173)</f>
        <v/>
      </c>
    </row>
    <row r="174">
      <c r="A174" s="33" t="inlineStr">
        <is>
          <t>15/06/2015</t>
        </is>
      </c>
      <c r="B174" s="33" t="inlineStr">
        <is>
          <t>TOTAL CENTRO DE DISTRIBUICAO INTEGRADA LTDA - 12.460.301/0001-87</t>
        </is>
      </c>
      <c r="C174" s="33" t="inlineStr">
        <is>
          <t>FRUGIS REPRESENTACOES LTDA - 11.989.186/0001-70</t>
        </is>
      </c>
      <c r="D174" s="34">
        <f>G174</f>
        <v/>
      </c>
      <c r="E174" s="33" t="inlineStr">
        <is>
          <t>05/2015</t>
        </is>
      </c>
      <c r="F174" s="35" t="n"/>
      <c r="G174" s="35" t="n">
        <v>9693.9</v>
      </c>
      <c r="H174" s="34" t="n"/>
      <c r="I174" s="33" t="inlineStr">
        <is>
          <t>Complementado (não existia na base) - ESTIMADO</t>
        </is>
      </c>
      <c r="J174" s="33" t="inlineStr">
        <is>
          <t>ESTIMADO (média c/ variação)</t>
        </is>
      </c>
      <c r="K174" s="33">
        <f>VALUE(RIGHT(A174,4))</f>
        <v/>
      </c>
      <c r="L174" s="16">
        <f>DATE(VALUE(RIGHT(A174,4)),VALUE(MID(A174,4,2)),1)</f>
        <v/>
      </c>
      <c r="M174" s="17">
        <f>INDEX(IPCA!$D$5:$D$313,MATCH(Distrato!$B$3,IPCA!$A$5:$A$313,0))/INDEX(IPCA!$D$5:$D$313,MATCH(DATE(YEAR(L174),MONTH(L174)-1,1),IPCA!$A$5:$A$313,0))</f>
        <v/>
      </c>
      <c r="N174" s="15">
        <f>IF(L174&gt;Distrato!$B$3,D174,D174*M174)</f>
        <v/>
      </c>
    </row>
    <row r="175">
      <c r="A175" s="33" t="inlineStr">
        <is>
          <t>15/07/2015</t>
        </is>
      </c>
      <c r="B175" s="33" t="inlineStr">
        <is>
          <t>TOTAL CENTRO DE DISTRIBUICAO INTEGRADA LTDA - 12.460.301/0001-87</t>
        </is>
      </c>
      <c r="C175" s="33" t="inlineStr">
        <is>
          <t>FRUGIS REPRESENTACOES LTDA - 11.989.186/0001-70</t>
        </is>
      </c>
      <c r="D175" s="34">
        <f>G175</f>
        <v/>
      </c>
      <c r="E175" s="33" t="inlineStr">
        <is>
          <t>06/2015</t>
        </is>
      </c>
      <c r="F175" s="35" t="n"/>
      <c r="G175" s="35" t="n">
        <v>9629.389999999999</v>
      </c>
      <c r="H175" s="34" t="n"/>
      <c r="I175" s="33" t="inlineStr">
        <is>
          <t>Complementado (não existia na base) - ESTIMADO</t>
        </is>
      </c>
      <c r="J175" s="33" t="inlineStr">
        <is>
          <t>ESTIMADO (média c/ variação)</t>
        </is>
      </c>
      <c r="K175" s="33">
        <f>VALUE(RIGHT(A175,4))</f>
        <v/>
      </c>
      <c r="L175" s="16">
        <f>DATE(VALUE(RIGHT(A175,4)),VALUE(MID(A175,4,2)),1)</f>
        <v/>
      </c>
      <c r="M175" s="17">
        <f>INDEX(IPCA!$D$5:$D$313,MATCH(Distrato!$B$3,IPCA!$A$5:$A$313,0))/INDEX(IPCA!$D$5:$D$313,MATCH(DATE(YEAR(L175),MONTH(L175)-1,1),IPCA!$A$5:$A$313,0))</f>
        <v/>
      </c>
      <c r="N175" s="15">
        <f>IF(L175&gt;Distrato!$B$3,D175,D175*M175)</f>
        <v/>
      </c>
    </row>
    <row r="176">
      <c r="A176" s="33" t="inlineStr">
        <is>
          <t>15/08/2015</t>
        </is>
      </c>
      <c r="B176" s="33" t="inlineStr">
        <is>
          <t>TOTAL CENTRO DE DISTRIBUICAO INTEGRADA LTDA - 12.460.301/0001-87</t>
        </is>
      </c>
      <c r="C176" s="33" t="inlineStr">
        <is>
          <t>FRUGIS REPRESENTACOES LTDA - 11.989.186/0001-70</t>
        </is>
      </c>
      <c r="D176" s="34">
        <f>G176</f>
        <v/>
      </c>
      <c r="E176" s="33" t="inlineStr">
        <is>
          <t>07/2015</t>
        </is>
      </c>
      <c r="F176" s="35" t="n"/>
      <c r="G176" s="35" t="n">
        <v>8687.43</v>
      </c>
      <c r="H176" s="34" t="n"/>
      <c r="I176" s="33" t="inlineStr">
        <is>
          <t>Complementado (não existia na base) - ESTIMADO</t>
        </is>
      </c>
      <c r="J176" s="33" t="inlineStr">
        <is>
          <t>ESTIMADO (média c/ variação)</t>
        </is>
      </c>
      <c r="K176" s="33">
        <f>VALUE(RIGHT(A176,4))</f>
        <v/>
      </c>
      <c r="L176" s="16">
        <f>DATE(VALUE(RIGHT(A176,4)),VALUE(MID(A176,4,2)),1)</f>
        <v/>
      </c>
      <c r="M176" s="17">
        <f>INDEX(IPCA!$D$5:$D$313,MATCH(Distrato!$B$3,IPCA!$A$5:$A$313,0))/INDEX(IPCA!$D$5:$D$313,MATCH(DATE(YEAR(L176),MONTH(L176)-1,1),IPCA!$A$5:$A$313,0))</f>
        <v/>
      </c>
      <c r="N176" s="15">
        <f>IF(L176&gt;Distrato!$B$3,D176,D176*M176)</f>
        <v/>
      </c>
    </row>
    <row r="177">
      <c r="A177" s="33" t="inlineStr">
        <is>
          <t>15/09/2015</t>
        </is>
      </c>
      <c r="B177" s="33" t="inlineStr">
        <is>
          <t>TOTAL CENTRO DE DISTRIBUICAO INTEGRADA LTDA - 12.460.301/0001-87</t>
        </is>
      </c>
      <c r="C177" s="33" t="inlineStr">
        <is>
          <t>FRUGIS REPRESENTACOES LTDA - 11.989.186/0001-70</t>
        </is>
      </c>
      <c r="D177" s="34">
        <f>G177</f>
        <v/>
      </c>
      <c r="E177" s="33" t="inlineStr">
        <is>
          <t>08/2015</t>
        </is>
      </c>
      <c r="F177" s="35" t="n"/>
      <c r="G177" s="35" t="n">
        <v>10019.61</v>
      </c>
      <c r="H177" s="34" t="n"/>
      <c r="I177" s="33" t="inlineStr">
        <is>
          <t>Complementado (não existia na base) - ESTIMADO</t>
        </is>
      </c>
      <c r="J177" s="33" t="inlineStr">
        <is>
          <t>ESTIMADO (média c/ variação)</t>
        </is>
      </c>
      <c r="K177" s="33">
        <f>VALUE(RIGHT(A177,4))</f>
        <v/>
      </c>
      <c r="L177" s="16">
        <f>DATE(VALUE(RIGHT(A177,4)),VALUE(MID(A177,4,2)),1)</f>
        <v/>
      </c>
      <c r="M177" s="17">
        <f>INDEX(IPCA!$D$5:$D$313,MATCH(Distrato!$B$3,IPCA!$A$5:$A$313,0))/INDEX(IPCA!$D$5:$D$313,MATCH(DATE(YEAR(L177),MONTH(L177)-1,1),IPCA!$A$5:$A$313,0))</f>
        <v/>
      </c>
      <c r="N177" s="15">
        <f>IF(L177&gt;Distrato!$B$3,D177,D177*M177)</f>
        <v/>
      </c>
    </row>
    <row r="178">
      <c r="A178" s="33" t="inlineStr">
        <is>
          <t>15/10/2015</t>
        </is>
      </c>
      <c r="B178" s="33" t="inlineStr">
        <is>
          <t>TOTAL CENTRO DE DISTRIBUICAO INTEGRADA LTDA - 12.460.301/0001-87</t>
        </is>
      </c>
      <c r="C178" s="33" t="inlineStr">
        <is>
          <t>FRUGIS REPRESENTACOES LTDA - 11.989.186/0001-70</t>
        </is>
      </c>
      <c r="D178" s="34">
        <f>G178</f>
        <v/>
      </c>
      <c r="E178" s="33" t="inlineStr">
        <is>
          <t>09/2015</t>
        </is>
      </c>
      <c r="F178" s="35" t="n"/>
      <c r="G178" s="35" t="n">
        <v>10947.59</v>
      </c>
      <c r="H178" s="34" t="n"/>
      <c r="I178" s="33" t="inlineStr">
        <is>
          <t>Complementado (não existia na base) - ESTIMADO</t>
        </is>
      </c>
      <c r="J178" s="33" t="inlineStr">
        <is>
          <t>ESTIMADO (média c/ variação)</t>
        </is>
      </c>
      <c r="K178" s="33">
        <f>VALUE(RIGHT(A178,4))</f>
        <v/>
      </c>
      <c r="L178" s="16">
        <f>DATE(VALUE(RIGHT(A178,4)),VALUE(MID(A178,4,2)),1)</f>
        <v/>
      </c>
      <c r="M178" s="17">
        <f>INDEX(IPCA!$D$5:$D$313,MATCH(Distrato!$B$3,IPCA!$A$5:$A$313,0))/INDEX(IPCA!$D$5:$D$313,MATCH(DATE(YEAR(L178),MONTH(L178)-1,1),IPCA!$A$5:$A$313,0))</f>
        <v/>
      </c>
      <c r="N178" s="15">
        <f>IF(L178&gt;Distrato!$B$3,D178,D178*M178)</f>
        <v/>
      </c>
    </row>
    <row r="179">
      <c r="A179" s="33" t="inlineStr">
        <is>
          <t>15/11/2015</t>
        </is>
      </c>
      <c r="B179" s="33" t="inlineStr">
        <is>
          <t>TOTAL CENTRO DE DISTRIBUICAO INTEGRADA LTDA - 12.460.301/0001-87</t>
        </is>
      </c>
      <c r="C179" s="33" t="inlineStr">
        <is>
          <t>FRUGIS REPRESENTACOES LTDA - 11.989.186/0001-70</t>
        </is>
      </c>
      <c r="D179" s="34">
        <f>G179</f>
        <v/>
      </c>
      <c r="E179" s="33" t="inlineStr">
        <is>
          <t>10/2015</t>
        </is>
      </c>
      <c r="F179" s="35" t="n"/>
      <c r="G179" s="35" t="n">
        <v>10678.01</v>
      </c>
      <c r="H179" s="34" t="n"/>
      <c r="I179" s="33" t="inlineStr">
        <is>
          <t>Complementado (não existia na base) - ESTIMADO</t>
        </is>
      </c>
      <c r="J179" s="33" t="inlineStr">
        <is>
          <t>ESTIMADO (média c/ variação)</t>
        </is>
      </c>
      <c r="K179" s="33">
        <f>VALUE(RIGHT(A179,4))</f>
        <v/>
      </c>
      <c r="L179" s="16">
        <f>DATE(VALUE(RIGHT(A179,4)),VALUE(MID(A179,4,2)),1)</f>
        <v/>
      </c>
      <c r="M179" s="17">
        <f>INDEX(IPCA!$D$5:$D$313,MATCH(Distrato!$B$3,IPCA!$A$5:$A$313,0))/INDEX(IPCA!$D$5:$D$313,MATCH(DATE(YEAR(L179),MONTH(L179)-1,1),IPCA!$A$5:$A$313,0))</f>
        <v/>
      </c>
      <c r="N179" s="15">
        <f>IF(L179&gt;Distrato!$B$3,D179,D179*M179)</f>
        <v/>
      </c>
    </row>
    <row r="180">
      <c r="A180" s="33" t="inlineStr">
        <is>
          <t>15/12/2015</t>
        </is>
      </c>
      <c r="B180" s="33" t="inlineStr">
        <is>
          <t>TOTAL CENTRO DE DISTRIBUICAO INTEGRADA LTDA - 12.460.301/0001-87</t>
        </is>
      </c>
      <c r="C180" s="33" t="inlineStr">
        <is>
          <t>FRUGIS REPRESENTACOES LTDA - 11.989.186/0001-70</t>
        </is>
      </c>
      <c r="D180" s="34">
        <f>G180</f>
        <v/>
      </c>
      <c r="E180" s="33" t="inlineStr">
        <is>
          <t>11/2015</t>
        </is>
      </c>
      <c r="F180" s="35" t="n"/>
      <c r="G180" s="35" t="n">
        <v>10521.72</v>
      </c>
      <c r="H180" s="34" t="n"/>
      <c r="I180" s="33" t="inlineStr">
        <is>
          <t>Complementado (não existia na base) - ESTIMADO</t>
        </is>
      </c>
      <c r="J180" s="33" t="inlineStr">
        <is>
          <t>ESTIMADO (média c/ variação)</t>
        </is>
      </c>
      <c r="K180" s="33">
        <f>VALUE(RIGHT(A180,4))</f>
        <v/>
      </c>
      <c r="L180" s="16">
        <f>DATE(VALUE(RIGHT(A180,4)),VALUE(MID(A180,4,2)),1)</f>
        <v/>
      </c>
      <c r="M180" s="17">
        <f>INDEX(IPCA!$D$5:$D$313,MATCH(Distrato!$B$3,IPCA!$A$5:$A$313,0))/INDEX(IPCA!$D$5:$D$313,MATCH(DATE(YEAR(L180),MONTH(L180)-1,1),IPCA!$A$5:$A$313,0))</f>
        <v/>
      </c>
      <c r="N180" s="15">
        <f>IF(L180&gt;Distrato!$B$3,D180,D180*M180)</f>
        <v/>
      </c>
    </row>
    <row r="181">
      <c r="A181" s="33" t="inlineStr">
        <is>
          <t>15/01/2016</t>
        </is>
      </c>
      <c r="B181" s="33" t="inlineStr">
        <is>
          <t>TOTAL CENTRO DE DISTRIBUICAO INTEGRADA LTDA - 12.460.301/0001-87</t>
        </is>
      </c>
      <c r="C181" s="33" t="inlineStr">
        <is>
          <t>FRUGIS REPRESENTACOES LTDA - 11.989.186/0001-70</t>
        </is>
      </c>
      <c r="D181" s="34">
        <f>G181</f>
        <v/>
      </c>
      <c r="E181" s="33" t="inlineStr">
        <is>
          <t>12/2015</t>
        </is>
      </c>
      <c r="F181" s="35" t="n"/>
      <c r="G181" s="35" t="n">
        <v>12075.07</v>
      </c>
      <c r="H181" s="34" t="n"/>
      <c r="I181" s="33" t="inlineStr">
        <is>
          <t>Complementado (não existia na base) - ESTIMADO</t>
        </is>
      </c>
      <c r="J181" s="33" t="inlineStr">
        <is>
          <t>ESTIMADO (média c/ variação)</t>
        </is>
      </c>
      <c r="K181" s="33">
        <f>VALUE(RIGHT(A181,4))</f>
        <v/>
      </c>
      <c r="L181" s="16">
        <f>DATE(VALUE(RIGHT(A181,4)),VALUE(MID(A181,4,2)),1)</f>
        <v/>
      </c>
      <c r="M181" s="17">
        <f>INDEX(IPCA!$D$5:$D$313,MATCH(Distrato!$B$3,IPCA!$A$5:$A$313,0))/INDEX(IPCA!$D$5:$D$313,MATCH(DATE(YEAR(L181),MONTH(L181)-1,1),IPCA!$A$5:$A$313,0))</f>
        <v/>
      </c>
      <c r="N181" s="15">
        <f>IF(L181&gt;Distrato!$B$3,D181,D181*M181)</f>
        <v/>
      </c>
    </row>
    <row r="182">
      <c r="A182" s="33" t="inlineStr">
        <is>
          <t>15/02/2016</t>
        </is>
      </c>
      <c r="B182" s="33" t="inlineStr">
        <is>
          <t>TOTAL CENTRO DE DISTRIBUICAO INTEGRADA LTDA - 12.460.301/0001-87</t>
        </is>
      </c>
      <c r="C182" s="33" t="inlineStr">
        <is>
          <t>FRUGIS REPRESENTACOES LTDA - 11.989.186/0001-70</t>
        </is>
      </c>
      <c r="D182" s="34">
        <f>G182</f>
        <v/>
      </c>
      <c r="E182" s="33" t="inlineStr">
        <is>
          <t>01/2016</t>
        </is>
      </c>
      <c r="F182" s="35" t="n"/>
      <c r="G182" s="35" t="n">
        <v>10126.24</v>
      </c>
      <c r="H182" s="34" t="n"/>
      <c r="I182" s="33" t="inlineStr">
        <is>
          <t>Complementado (não existia na base) - ESTIMADO</t>
        </is>
      </c>
      <c r="J182" s="33" t="inlineStr">
        <is>
          <t>ESTIMADO (média c/ variação)</t>
        </is>
      </c>
      <c r="K182" s="33">
        <f>VALUE(RIGHT(A182,4))</f>
        <v/>
      </c>
      <c r="L182" s="16">
        <f>DATE(VALUE(RIGHT(A182,4)),VALUE(MID(A182,4,2)),1)</f>
        <v/>
      </c>
      <c r="M182" s="17">
        <f>INDEX(IPCA!$D$5:$D$313,MATCH(Distrato!$B$3,IPCA!$A$5:$A$313,0))/INDEX(IPCA!$D$5:$D$313,MATCH(DATE(YEAR(L182),MONTH(L182)-1,1),IPCA!$A$5:$A$313,0))</f>
        <v/>
      </c>
      <c r="N182" s="15">
        <f>IF(L182&gt;Distrato!$B$3,D182,D182*M182)</f>
        <v/>
      </c>
    </row>
    <row r="183">
      <c r="A183" s="33" t="inlineStr">
        <is>
          <t>15/03/2016</t>
        </is>
      </c>
      <c r="B183" s="33" t="inlineStr">
        <is>
          <t>TOTAL CENTRO DE DISTRIBUICAO INTEGRADA LTDA - 12.460.301/0001-87</t>
        </is>
      </c>
      <c r="C183" s="33" t="inlineStr">
        <is>
          <t>FRUGIS REPRESENTACOES LTDA - 11.989.186/0001-70</t>
        </is>
      </c>
      <c r="D183" s="34">
        <f>G183</f>
        <v/>
      </c>
      <c r="E183" s="33" t="inlineStr">
        <is>
          <t>02/2016</t>
        </is>
      </c>
      <c r="F183" s="35" t="n"/>
      <c r="G183" s="35" t="n">
        <v>10833.4</v>
      </c>
      <c r="H183" s="34" t="n"/>
      <c r="I183" s="33" t="inlineStr">
        <is>
          <t>Complementado (não existia na base) - ESTIMADO</t>
        </is>
      </c>
      <c r="J183" s="33" t="inlineStr">
        <is>
          <t>ESTIMADO (média c/ variação)</t>
        </is>
      </c>
      <c r="K183" s="33">
        <f>VALUE(RIGHT(A183,4))</f>
        <v/>
      </c>
      <c r="L183" s="16">
        <f>DATE(VALUE(RIGHT(A183,4)),VALUE(MID(A183,4,2)),1)</f>
        <v/>
      </c>
      <c r="M183" s="17">
        <f>INDEX(IPCA!$D$5:$D$313,MATCH(Distrato!$B$3,IPCA!$A$5:$A$313,0))/INDEX(IPCA!$D$5:$D$313,MATCH(DATE(YEAR(L183),MONTH(L183)-1,1),IPCA!$A$5:$A$313,0))</f>
        <v/>
      </c>
      <c r="N183" s="15">
        <f>IF(L183&gt;Distrato!$B$3,D183,D183*M183)</f>
        <v/>
      </c>
    </row>
    <row r="184">
      <c r="A184" s="33" t="inlineStr">
        <is>
          <t>15/04/2016</t>
        </is>
      </c>
      <c r="B184" s="33" t="inlineStr">
        <is>
          <t>TOTAL CENTRO DE DISTRIBUICAO INTEGRADA LTDA - 12.460.301/0001-87</t>
        </is>
      </c>
      <c r="C184" s="33" t="inlineStr">
        <is>
          <t>FRUGIS REPRESENTACOES LTDA - 11.989.186/0001-70</t>
        </is>
      </c>
      <c r="D184" s="34">
        <f>G184</f>
        <v/>
      </c>
      <c r="E184" s="33" t="inlineStr">
        <is>
          <t>03/2016</t>
        </is>
      </c>
      <c r="F184" s="35" t="n"/>
      <c r="G184" s="35" t="n">
        <v>12726.09</v>
      </c>
      <c r="H184" s="34" t="n"/>
      <c r="I184" s="33" t="inlineStr">
        <is>
          <t>Complementado (não existia na base) - ESTIMADO</t>
        </is>
      </c>
      <c r="J184" s="33" t="inlineStr">
        <is>
          <t>ESTIMADO (média c/ variação)</t>
        </is>
      </c>
      <c r="K184" s="33">
        <f>VALUE(RIGHT(A184,4))</f>
        <v/>
      </c>
      <c r="L184" s="16">
        <f>DATE(VALUE(RIGHT(A184,4)),VALUE(MID(A184,4,2)),1)</f>
        <v/>
      </c>
      <c r="M184" s="17">
        <f>INDEX(IPCA!$D$5:$D$313,MATCH(Distrato!$B$3,IPCA!$A$5:$A$313,0))/INDEX(IPCA!$D$5:$D$313,MATCH(DATE(YEAR(L184),MONTH(L184)-1,1),IPCA!$A$5:$A$313,0))</f>
        <v/>
      </c>
      <c r="N184" s="15">
        <f>IF(L184&gt;Distrato!$B$3,D184,D184*M184)</f>
        <v/>
      </c>
    </row>
    <row r="185">
      <c r="A185" s="33" t="inlineStr">
        <is>
          <t>15/05/2016</t>
        </is>
      </c>
      <c r="B185" s="33" t="inlineStr">
        <is>
          <t>TOTAL CENTRO DE DISTRIBUICAO INTEGRADA LTDA - 12.460.301/0001-87</t>
        </is>
      </c>
      <c r="C185" s="33" t="inlineStr">
        <is>
          <t>FRUGIS REPRESENTACOES LTDA - 11.989.186/0001-70</t>
        </is>
      </c>
      <c r="D185" s="34">
        <f>G185</f>
        <v/>
      </c>
      <c r="E185" s="33" t="inlineStr">
        <is>
          <t>04/2016</t>
        </is>
      </c>
      <c r="F185" s="35" t="n"/>
      <c r="G185" s="35" t="n">
        <v>11395.1</v>
      </c>
      <c r="H185" s="34" t="n"/>
      <c r="I185" s="33" t="inlineStr">
        <is>
          <t>Complementado (não existia na base) - ESTIMADO</t>
        </is>
      </c>
      <c r="J185" s="33" t="inlineStr">
        <is>
          <t>ESTIMADO (média c/ variação)</t>
        </is>
      </c>
      <c r="K185" s="33">
        <f>VALUE(RIGHT(A185,4))</f>
        <v/>
      </c>
      <c r="L185" s="16">
        <f>DATE(VALUE(RIGHT(A185,4)),VALUE(MID(A185,4,2)),1)</f>
        <v/>
      </c>
      <c r="M185" s="17">
        <f>INDEX(IPCA!$D$5:$D$313,MATCH(Distrato!$B$3,IPCA!$A$5:$A$313,0))/INDEX(IPCA!$D$5:$D$313,MATCH(DATE(YEAR(L185),MONTH(L185)-1,1),IPCA!$A$5:$A$313,0))</f>
        <v/>
      </c>
      <c r="N185" s="15">
        <f>IF(L185&gt;Distrato!$B$3,D185,D185*M185)</f>
        <v/>
      </c>
    </row>
    <row r="186">
      <c r="A186" s="33" t="inlineStr">
        <is>
          <t>15/06/2016</t>
        </is>
      </c>
      <c r="B186" s="33" t="inlineStr">
        <is>
          <t>TOTAL CENTRO DE DISTRIBUICAO INTEGRADA LTDA - 12.460.301/0001-87</t>
        </is>
      </c>
      <c r="C186" s="33" t="inlineStr">
        <is>
          <t>FRUGIS REPRESENTACOES LTDA - 11.989.186/0001-70</t>
        </is>
      </c>
      <c r="D186" s="34">
        <f>G186</f>
        <v/>
      </c>
      <c r="E186" s="33" t="inlineStr">
        <is>
          <t>05/2016</t>
        </is>
      </c>
      <c r="F186" s="35" t="n"/>
      <c r="G186" s="35" t="n">
        <v>11712.3</v>
      </c>
      <c r="H186" s="34" t="n"/>
      <c r="I186" s="33" t="inlineStr">
        <is>
          <t>Complementado (não existia na base) - ESTIMADO</t>
        </is>
      </c>
      <c r="J186" s="33" t="inlineStr">
        <is>
          <t>ESTIMADO (média c/ variação)</t>
        </is>
      </c>
      <c r="K186" s="33">
        <f>VALUE(RIGHT(A186,4))</f>
        <v/>
      </c>
      <c r="L186" s="16">
        <f>DATE(VALUE(RIGHT(A186,4)),VALUE(MID(A186,4,2)),1)</f>
        <v/>
      </c>
      <c r="M186" s="17">
        <f>INDEX(IPCA!$D$5:$D$313,MATCH(Distrato!$B$3,IPCA!$A$5:$A$313,0))/INDEX(IPCA!$D$5:$D$313,MATCH(DATE(YEAR(L186),MONTH(L186)-1,1),IPCA!$A$5:$A$313,0))</f>
        <v/>
      </c>
      <c r="N186" s="15">
        <f>IF(L186&gt;Distrato!$B$3,D186,D186*M186)</f>
        <v/>
      </c>
    </row>
    <row r="187">
      <c r="A187" s="33" t="inlineStr">
        <is>
          <t>15/07/2016</t>
        </is>
      </c>
      <c r="B187" s="33" t="inlineStr">
        <is>
          <t>TOTAL CENTRO DE DISTRIBUICAO INTEGRADA LTDA - 12.460.301/0001-87</t>
        </is>
      </c>
      <c r="C187" s="33" t="inlineStr">
        <is>
          <t>FRUGIS REPRESENTACOES LTDA - 11.989.186/0001-70</t>
        </is>
      </c>
      <c r="D187" s="34">
        <f>G187</f>
        <v/>
      </c>
      <c r="E187" s="33" t="inlineStr">
        <is>
          <t>06/2016</t>
        </is>
      </c>
      <c r="F187" s="35" t="n"/>
      <c r="G187" s="35" t="n">
        <v>10147.63</v>
      </c>
      <c r="H187" s="34" t="n"/>
      <c r="I187" s="33" t="inlineStr">
        <is>
          <t>Complementado (não existia na base) - ESTIMADO</t>
        </is>
      </c>
      <c r="J187" s="33" t="inlineStr">
        <is>
          <t>ESTIMADO (média c/ variação)</t>
        </is>
      </c>
      <c r="K187" s="33">
        <f>VALUE(RIGHT(A187,4))</f>
        <v/>
      </c>
      <c r="L187" s="16">
        <f>DATE(VALUE(RIGHT(A187,4)),VALUE(MID(A187,4,2)),1)</f>
        <v/>
      </c>
      <c r="M187" s="17">
        <f>INDEX(IPCA!$D$5:$D$313,MATCH(Distrato!$B$3,IPCA!$A$5:$A$313,0))/INDEX(IPCA!$D$5:$D$313,MATCH(DATE(YEAR(L187),MONTH(L187)-1,1),IPCA!$A$5:$A$313,0))</f>
        <v/>
      </c>
      <c r="N187" s="15">
        <f>IF(L187&gt;Distrato!$B$3,D187,D187*M187)</f>
        <v/>
      </c>
    </row>
    <row r="188">
      <c r="A188" s="33" t="inlineStr">
        <is>
          <t>15/08/2016</t>
        </is>
      </c>
      <c r="B188" s="33" t="inlineStr">
        <is>
          <t>TOTAL CENTRO DE DISTRIBUICAO INTEGRADA LTDA - 12.460.301/0001-87</t>
        </is>
      </c>
      <c r="C188" s="33" t="inlineStr">
        <is>
          <t>FRUGIS REPRESENTACOES LTDA - 11.989.186/0001-70</t>
        </is>
      </c>
      <c r="D188" s="34">
        <f>G188</f>
        <v/>
      </c>
      <c r="E188" s="33" t="inlineStr">
        <is>
          <t>07/2016</t>
        </is>
      </c>
      <c r="F188" s="35" t="n"/>
      <c r="G188" s="35" t="n">
        <v>11023.28</v>
      </c>
      <c r="H188" s="34" t="n"/>
      <c r="I188" s="33" t="inlineStr">
        <is>
          <t>Complementado (não existia na base) - ESTIMADO</t>
        </is>
      </c>
      <c r="J188" s="33" t="inlineStr">
        <is>
          <t>ESTIMADO (média c/ variação)</t>
        </is>
      </c>
      <c r="K188" s="33">
        <f>VALUE(RIGHT(A188,4))</f>
        <v/>
      </c>
      <c r="L188" s="16">
        <f>DATE(VALUE(RIGHT(A188,4)),VALUE(MID(A188,4,2)),1)</f>
        <v/>
      </c>
      <c r="M188" s="17">
        <f>INDEX(IPCA!$D$5:$D$313,MATCH(Distrato!$B$3,IPCA!$A$5:$A$313,0))/INDEX(IPCA!$D$5:$D$313,MATCH(DATE(YEAR(L188),MONTH(L188)-1,1),IPCA!$A$5:$A$313,0))</f>
        <v/>
      </c>
      <c r="N188" s="15">
        <f>IF(L188&gt;Distrato!$B$3,D188,D188*M188)</f>
        <v/>
      </c>
    </row>
    <row r="189">
      <c r="A189" s="33" t="inlineStr">
        <is>
          <t>15/09/2016</t>
        </is>
      </c>
      <c r="B189" s="33" t="inlineStr">
        <is>
          <t>TOTAL CENTRO DE DISTRIBUICAO INTEGRADA LTDA - 12.460.301/0001-87</t>
        </is>
      </c>
      <c r="C189" s="33" t="inlineStr">
        <is>
          <t>FRUGIS REPRESENTACOES LTDA - 11.989.186/0001-70</t>
        </is>
      </c>
      <c r="D189" s="34">
        <f>G189</f>
        <v/>
      </c>
      <c r="E189" s="33" t="inlineStr">
        <is>
          <t>08/2016</t>
        </is>
      </c>
      <c r="F189" s="35" t="n"/>
      <c r="G189" s="35" t="n">
        <v>10841.24</v>
      </c>
      <c r="H189" s="34" t="n"/>
      <c r="I189" s="33" t="inlineStr">
        <is>
          <t>Complementado (não existia na base) - ESTIMADO</t>
        </is>
      </c>
      <c r="J189" s="33" t="inlineStr">
        <is>
          <t>ESTIMADO (média c/ variação)</t>
        </is>
      </c>
      <c r="K189" s="33">
        <f>VALUE(RIGHT(A189,4))</f>
        <v/>
      </c>
      <c r="L189" s="16">
        <f>DATE(VALUE(RIGHT(A189,4)),VALUE(MID(A189,4,2)),1)</f>
        <v/>
      </c>
      <c r="M189" s="17">
        <f>INDEX(IPCA!$D$5:$D$313,MATCH(Distrato!$B$3,IPCA!$A$5:$A$313,0))/INDEX(IPCA!$D$5:$D$313,MATCH(DATE(YEAR(L189),MONTH(L189)-1,1),IPCA!$A$5:$A$313,0))</f>
        <v/>
      </c>
      <c r="N189" s="15">
        <f>IF(L189&gt;Distrato!$B$3,D189,D189*M189)</f>
        <v/>
      </c>
    </row>
    <row r="190">
      <c r="A190" s="33" t="inlineStr">
        <is>
          <t>15/10/2016</t>
        </is>
      </c>
      <c r="B190" s="33" t="inlineStr">
        <is>
          <t>TOTAL CENTRO DE DISTRIBUICAO INTEGRADA LTDA - 12.460.301/0001-87</t>
        </is>
      </c>
      <c r="C190" s="33" t="inlineStr">
        <is>
          <t>FRUGIS REPRESENTACOES LTDA - 11.989.186/0001-70</t>
        </is>
      </c>
      <c r="D190" s="34">
        <f>G190</f>
        <v/>
      </c>
      <c r="E190" s="33" t="inlineStr">
        <is>
          <t>09/2016</t>
        </is>
      </c>
      <c r="F190" s="35" t="n"/>
      <c r="G190" s="35" t="n">
        <v>10706.87</v>
      </c>
      <c r="H190" s="34" t="n"/>
      <c r="I190" s="33" t="inlineStr">
        <is>
          <t>Complementado (não existia na base) - ESTIMADO</t>
        </is>
      </c>
      <c r="J190" s="33" t="inlineStr">
        <is>
          <t>ESTIMADO (média c/ variação)</t>
        </is>
      </c>
      <c r="K190" s="33">
        <f>VALUE(RIGHT(A190,4))</f>
        <v/>
      </c>
      <c r="L190" s="16">
        <f>DATE(VALUE(RIGHT(A190,4)),VALUE(MID(A190,4,2)),1)</f>
        <v/>
      </c>
      <c r="M190" s="17">
        <f>INDEX(IPCA!$D$5:$D$313,MATCH(Distrato!$B$3,IPCA!$A$5:$A$313,0))/INDEX(IPCA!$D$5:$D$313,MATCH(DATE(YEAR(L190),MONTH(L190)-1,1),IPCA!$A$5:$A$313,0))</f>
        <v/>
      </c>
      <c r="N190" s="15">
        <f>IF(L190&gt;Distrato!$B$3,D190,D190*M190)</f>
        <v/>
      </c>
    </row>
    <row r="191">
      <c r="A191" s="33" t="inlineStr">
        <is>
          <t>15/11/2016</t>
        </is>
      </c>
      <c r="B191" s="33" t="inlineStr">
        <is>
          <t>TOTAL CENTRO DE DISTRIBUICAO INTEGRADA LTDA - 12.460.301/0001-87</t>
        </is>
      </c>
      <c r="C191" s="33" t="inlineStr">
        <is>
          <t>FRUGIS REPRESENTACOES LTDA - 11.989.186/0001-70</t>
        </is>
      </c>
      <c r="D191" s="34">
        <f>G191</f>
        <v/>
      </c>
      <c r="E191" s="33" t="inlineStr">
        <is>
          <t>10/2016</t>
        </is>
      </c>
      <c r="F191" s="35" t="n"/>
      <c r="G191" s="35" t="n">
        <v>13336.89</v>
      </c>
      <c r="H191" s="34" t="n"/>
      <c r="I191" s="33" t="inlineStr">
        <is>
          <t>Complementado (não existia na base) - ESTIMADO</t>
        </is>
      </c>
      <c r="J191" s="33" t="inlineStr">
        <is>
          <t>ESTIMADO (média c/ variação)</t>
        </is>
      </c>
      <c r="K191" s="33">
        <f>VALUE(RIGHT(A191,4))</f>
        <v/>
      </c>
      <c r="L191" s="16">
        <f>DATE(VALUE(RIGHT(A191,4)),VALUE(MID(A191,4,2)),1)</f>
        <v/>
      </c>
      <c r="M191" s="17">
        <f>INDEX(IPCA!$D$5:$D$313,MATCH(Distrato!$B$3,IPCA!$A$5:$A$313,0))/INDEX(IPCA!$D$5:$D$313,MATCH(DATE(YEAR(L191),MONTH(L191)-1,1),IPCA!$A$5:$A$313,0))</f>
        <v/>
      </c>
      <c r="N191" s="15">
        <f>IF(L191&gt;Distrato!$B$3,D191,D191*M191)</f>
        <v/>
      </c>
    </row>
    <row r="192">
      <c r="A192" s="33" t="inlineStr">
        <is>
          <t>15/12/2016</t>
        </is>
      </c>
      <c r="B192" s="33" t="inlineStr">
        <is>
          <t>TOTAL CENTRO DE DISTRIBUICAO INTEGRADA LTDA - 12.460.301/0001-87</t>
        </is>
      </c>
      <c r="C192" s="33" t="inlineStr">
        <is>
          <t>FRUGIS REPRESENTACOES LTDA - 11.989.186/0001-70</t>
        </is>
      </c>
      <c r="D192" s="34">
        <f>G192</f>
        <v/>
      </c>
      <c r="E192" s="33" t="inlineStr">
        <is>
          <t>11/2016</t>
        </is>
      </c>
      <c r="F192" s="35" t="n"/>
      <c r="G192" s="35" t="n">
        <v>14227.41</v>
      </c>
      <c r="H192" s="34" t="n"/>
      <c r="I192" s="33" t="inlineStr">
        <is>
          <t>Complementado (não existia na base) - ESTIMADO</t>
        </is>
      </c>
      <c r="J192" s="33" t="inlineStr">
        <is>
          <t>ESTIMADO (média c/ variação)</t>
        </is>
      </c>
      <c r="K192" s="33">
        <f>VALUE(RIGHT(A192,4))</f>
        <v/>
      </c>
      <c r="L192" s="16">
        <f>DATE(VALUE(RIGHT(A192,4)),VALUE(MID(A192,4,2)),1)</f>
        <v/>
      </c>
      <c r="M192" s="17">
        <f>INDEX(IPCA!$D$5:$D$313,MATCH(Distrato!$B$3,IPCA!$A$5:$A$313,0))/INDEX(IPCA!$D$5:$D$313,MATCH(DATE(YEAR(L192),MONTH(L192)-1,1),IPCA!$A$5:$A$313,0))</f>
        <v/>
      </c>
      <c r="N192" s="15">
        <f>IF(L192&gt;Distrato!$B$3,D192,D192*M192)</f>
        <v/>
      </c>
    </row>
    <row r="193">
      <c r="A193" s="33" t="inlineStr">
        <is>
          <t>15/01/2017</t>
        </is>
      </c>
      <c r="B193" s="33" t="inlineStr">
        <is>
          <t>TOTAL CENTRO DE DISTRIBUICAO INTEGRADA LTDA - 12.460.301/0001-87</t>
        </is>
      </c>
      <c r="C193" s="33" t="inlineStr">
        <is>
          <t>FRUGIS REPRESENTACOES LTDA - 11.989.186/0001-70</t>
        </is>
      </c>
      <c r="D193" s="34">
        <f>G193</f>
        <v/>
      </c>
      <c r="E193" s="33" t="inlineStr">
        <is>
          <t>12/2016</t>
        </is>
      </c>
      <c r="F193" s="35" t="n"/>
      <c r="G193" s="35" t="n">
        <v>11390.31</v>
      </c>
      <c r="H193" s="34" t="n"/>
      <c r="I193" s="33" t="inlineStr">
        <is>
          <t>Complementado (não existia na base) - ESTIMADO</t>
        </is>
      </c>
      <c r="J193" s="33" t="inlineStr">
        <is>
          <t>ESTIMADO (média c/ variação)</t>
        </is>
      </c>
      <c r="K193" s="33">
        <f>VALUE(RIGHT(A193,4))</f>
        <v/>
      </c>
      <c r="L193" s="16">
        <f>DATE(VALUE(RIGHT(A193,4)),VALUE(MID(A193,4,2)),1)</f>
        <v/>
      </c>
      <c r="M193" s="17">
        <f>INDEX(IPCA!$D$5:$D$313,MATCH(Distrato!$B$3,IPCA!$A$5:$A$313,0))/INDEX(IPCA!$D$5:$D$313,MATCH(DATE(YEAR(L193),MONTH(L193)-1,1),IPCA!$A$5:$A$313,0))</f>
        <v/>
      </c>
      <c r="N193" s="15">
        <f>IF(L193&gt;Distrato!$B$3,D193,D193*M193)</f>
        <v/>
      </c>
    </row>
    <row r="194">
      <c r="A194" s="33" t="inlineStr">
        <is>
          <t>15/02/2017</t>
        </is>
      </c>
      <c r="B194" s="33" t="inlineStr">
        <is>
          <t>TOTAL CENTRO DE DISTRIBUICAO INTEGRADA LTDA - 12.460.301/0001-87</t>
        </is>
      </c>
      <c r="C194" s="33" t="inlineStr">
        <is>
          <t>FRUGIS REPRESENTACOES LTDA - 11.989.186/0001-70</t>
        </is>
      </c>
      <c r="D194" s="34">
        <f>G194</f>
        <v/>
      </c>
      <c r="E194" s="33" t="inlineStr">
        <is>
          <t>01/2017</t>
        </is>
      </c>
      <c r="F194" s="35" t="n"/>
      <c r="G194" s="35" t="n">
        <v>13596.29</v>
      </c>
      <c r="H194" s="34" t="n"/>
      <c r="I194" s="33" t="inlineStr">
        <is>
          <t>Complementado (não existia na base) - ESTIMADO</t>
        </is>
      </c>
      <c r="J194" s="33" t="inlineStr">
        <is>
          <t>ESTIMADO (média c/ variação)</t>
        </is>
      </c>
      <c r="K194" s="33">
        <f>VALUE(RIGHT(A194,4))</f>
        <v/>
      </c>
      <c r="L194" s="16">
        <f>DATE(VALUE(RIGHT(A194,4)),VALUE(MID(A194,4,2)),1)</f>
        <v/>
      </c>
      <c r="M194" s="17">
        <f>INDEX(IPCA!$D$5:$D$313,MATCH(Distrato!$B$3,IPCA!$A$5:$A$313,0))/INDEX(IPCA!$D$5:$D$313,MATCH(DATE(YEAR(L194),MONTH(L194)-1,1),IPCA!$A$5:$A$313,0))</f>
        <v/>
      </c>
      <c r="N194" s="15">
        <f>IF(L194&gt;Distrato!$B$3,D194,D194*M194)</f>
        <v/>
      </c>
    </row>
    <row r="195">
      <c r="A195" s="33" t="inlineStr">
        <is>
          <t>15/03/2017</t>
        </is>
      </c>
      <c r="B195" s="33" t="inlineStr">
        <is>
          <t>TOTAL CENTRO DE DISTRIBUICAO INTEGRADA LTDA - 12.460.301/0001-87</t>
        </is>
      </c>
      <c r="C195" s="33" t="inlineStr">
        <is>
          <t>FRUGIS REPRESENTACOES LTDA - 11.989.186/0001-70</t>
        </is>
      </c>
      <c r="D195" s="34">
        <f>G195</f>
        <v/>
      </c>
      <c r="E195" s="33" t="inlineStr">
        <is>
          <t>02/2017</t>
        </is>
      </c>
      <c r="F195" s="35" t="n"/>
      <c r="G195" s="35" t="n">
        <v>13178.49</v>
      </c>
      <c r="H195" s="34" t="n"/>
      <c r="I195" s="33" t="inlineStr">
        <is>
          <t>Complementado (não existia na base) - ESTIMADO</t>
        </is>
      </c>
      <c r="J195" s="33" t="inlineStr">
        <is>
          <t>ESTIMADO (média c/ variação)</t>
        </is>
      </c>
      <c r="K195" s="33">
        <f>VALUE(RIGHT(A195,4))</f>
        <v/>
      </c>
      <c r="L195" s="16">
        <f>DATE(VALUE(RIGHT(A195,4)),VALUE(MID(A195,4,2)),1)</f>
        <v/>
      </c>
      <c r="M195" s="17">
        <f>INDEX(IPCA!$D$5:$D$313,MATCH(Distrato!$B$3,IPCA!$A$5:$A$313,0))/INDEX(IPCA!$D$5:$D$313,MATCH(DATE(YEAR(L195),MONTH(L195)-1,1),IPCA!$A$5:$A$313,0))</f>
        <v/>
      </c>
      <c r="N195" s="15">
        <f>IF(L195&gt;Distrato!$B$3,D195,D195*M195)</f>
        <v/>
      </c>
    </row>
    <row r="196">
      <c r="A196" s="33" t="inlineStr">
        <is>
          <t>15/04/2017</t>
        </is>
      </c>
      <c r="B196" s="33" t="inlineStr">
        <is>
          <t>TOTAL CENTRO DE DISTRIBUICAO INTEGRADA LTDA - 12.460.301/0001-87</t>
        </is>
      </c>
      <c r="C196" s="33" t="inlineStr">
        <is>
          <t>FRUGIS REPRESENTACOES LTDA - 11.989.186/0001-70</t>
        </is>
      </c>
      <c r="D196" s="34">
        <f>G196</f>
        <v/>
      </c>
      <c r="E196" s="33" t="inlineStr">
        <is>
          <t>03/2017</t>
        </is>
      </c>
      <c r="F196" s="35" t="n"/>
      <c r="G196" s="35" t="n">
        <v>13408.57</v>
      </c>
      <c r="H196" s="34" t="n"/>
      <c r="I196" s="33" t="inlineStr">
        <is>
          <t>Complementado (não existia na base) - ESTIMADO</t>
        </is>
      </c>
      <c r="J196" s="33" t="inlineStr">
        <is>
          <t>ESTIMADO (média c/ variação)</t>
        </is>
      </c>
      <c r="K196" s="33">
        <f>VALUE(RIGHT(A196,4))</f>
        <v/>
      </c>
      <c r="L196" s="16">
        <f>DATE(VALUE(RIGHT(A196,4)),VALUE(MID(A196,4,2)),1)</f>
        <v/>
      </c>
      <c r="M196" s="17">
        <f>INDEX(IPCA!$D$5:$D$313,MATCH(Distrato!$B$3,IPCA!$A$5:$A$313,0))/INDEX(IPCA!$D$5:$D$313,MATCH(DATE(YEAR(L196),MONTH(L196)-1,1),IPCA!$A$5:$A$313,0))</f>
        <v/>
      </c>
      <c r="N196" s="15">
        <f>IF(L196&gt;Distrato!$B$3,D196,D196*M196)</f>
        <v/>
      </c>
    </row>
    <row r="197">
      <c r="A197" s="33" t="inlineStr">
        <is>
          <t>15/05/2017</t>
        </is>
      </c>
      <c r="B197" s="33" t="inlineStr">
        <is>
          <t>TOTAL CENTRO DE DISTRIBUICAO INTEGRADA LTDA - 12.460.301/0001-87</t>
        </is>
      </c>
      <c r="C197" s="33" t="inlineStr">
        <is>
          <t>FRUGIS REPRESENTACOES LTDA - 11.989.186/0001-70</t>
        </is>
      </c>
      <c r="D197" s="34">
        <f>G197</f>
        <v/>
      </c>
      <c r="E197" s="33" t="inlineStr">
        <is>
          <t>04/2017</t>
        </is>
      </c>
      <c r="F197" s="35" t="n"/>
      <c r="G197" s="35" t="n">
        <v>12553.64</v>
      </c>
      <c r="H197" s="34" t="n"/>
      <c r="I197" s="33" t="inlineStr">
        <is>
          <t>Complementado (não existia na base) - ESTIMADO</t>
        </is>
      </c>
      <c r="J197" s="33" t="inlineStr">
        <is>
          <t>ESTIMADO (média c/ variação)</t>
        </is>
      </c>
      <c r="K197" s="33">
        <f>VALUE(RIGHT(A197,4))</f>
        <v/>
      </c>
      <c r="L197" s="16">
        <f>DATE(VALUE(RIGHT(A197,4)),VALUE(MID(A197,4,2)),1)</f>
        <v/>
      </c>
      <c r="M197" s="17">
        <f>INDEX(IPCA!$D$5:$D$313,MATCH(Distrato!$B$3,IPCA!$A$5:$A$313,0))/INDEX(IPCA!$D$5:$D$313,MATCH(DATE(YEAR(L197),MONTH(L197)-1,1),IPCA!$A$5:$A$313,0))</f>
        <v/>
      </c>
      <c r="N197" s="15">
        <f>IF(L197&gt;Distrato!$B$3,D197,D197*M197)</f>
        <v/>
      </c>
    </row>
    <row r="198">
      <c r="A198" s="33" t="inlineStr">
        <is>
          <t>15/06/2017</t>
        </is>
      </c>
      <c r="B198" s="33" t="inlineStr">
        <is>
          <t>TOTAL CENTRO DE DISTRIBUICAO INTEGRADA LTDA - 12.460.301/0001-87</t>
        </is>
      </c>
      <c r="C198" s="33" t="inlineStr">
        <is>
          <t>FRUGIS REPRESENTACOES LTDA - 11.989.186/0001-70</t>
        </is>
      </c>
      <c r="D198" s="34">
        <f>G198</f>
        <v/>
      </c>
      <c r="E198" s="33" t="inlineStr">
        <is>
          <t>05/2017</t>
        </is>
      </c>
      <c r="F198" s="35" t="n"/>
      <c r="G198" s="35" t="n">
        <v>15451.33</v>
      </c>
      <c r="H198" s="34" t="n"/>
      <c r="I198" s="33" t="inlineStr">
        <is>
          <t>Complementado (não existia na base) - ESTIMADO</t>
        </is>
      </c>
      <c r="J198" s="33" t="inlineStr">
        <is>
          <t>ESTIMADO (média c/ variação)</t>
        </is>
      </c>
      <c r="K198" s="33">
        <f>VALUE(RIGHT(A198,4))</f>
        <v/>
      </c>
      <c r="L198" s="16">
        <f>DATE(VALUE(RIGHT(A198,4)),VALUE(MID(A198,4,2)),1)</f>
        <v/>
      </c>
      <c r="M198" s="17">
        <f>INDEX(IPCA!$D$5:$D$313,MATCH(Distrato!$B$3,IPCA!$A$5:$A$313,0))/INDEX(IPCA!$D$5:$D$313,MATCH(DATE(YEAR(L198),MONTH(L198)-1,1),IPCA!$A$5:$A$313,0))</f>
        <v/>
      </c>
      <c r="N198" s="15">
        <f>IF(L198&gt;Distrato!$B$3,D198,D198*M198)</f>
        <v/>
      </c>
    </row>
    <row r="199">
      <c r="A199" s="33" t="inlineStr">
        <is>
          <t>15/07/2017</t>
        </is>
      </c>
      <c r="B199" s="33" t="inlineStr">
        <is>
          <t>TOTAL CENTRO DE DISTRIBUICAO INTEGRADA LTDA - 12.460.301/0001-87</t>
        </is>
      </c>
      <c r="C199" s="33" t="inlineStr">
        <is>
          <t>FRUGIS REPRESENTACOES LTDA - 11.989.186/0001-70</t>
        </is>
      </c>
      <c r="D199" s="34">
        <f>G199</f>
        <v/>
      </c>
      <c r="E199" s="33" t="inlineStr">
        <is>
          <t>06/2017</t>
        </is>
      </c>
      <c r="F199" s="35" t="n"/>
      <c r="G199" s="35" t="n">
        <v>16505.24</v>
      </c>
      <c r="H199" s="34" t="n"/>
      <c r="I199" s="33" t="inlineStr">
        <is>
          <t>Complementado (não existia na base)</t>
        </is>
      </c>
      <c r="J199" s="33" t="inlineStr">
        <is>
          <t>Extrato conta corrente - Tenda</t>
        </is>
      </c>
      <c r="K199" s="33">
        <f>VALUE(RIGHT(A199,4))</f>
        <v/>
      </c>
      <c r="L199" s="16">
        <f>DATE(VALUE(RIGHT(A199,4)),VALUE(MID(A199,4,2)),1)</f>
        <v/>
      </c>
      <c r="M199" s="17">
        <f>INDEX(IPCA!$D$5:$D$313,MATCH(Distrato!$B$3,IPCA!$A$5:$A$313,0))/INDEX(IPCA!$D$5:$D$313,MATCH(DATE(YEAR(L199),MONTH(L199)-1,1),IPCA!$A$5:$A$313,0))</f>
        <v/>
      </c>
      <c r="N199" s="15">
        <f>IF(L199&gt;Distrato!$B$3,D199,D199*M199)</f>
        <v/>
      </c>
    </row>
    <row r="200">
      <c r="A200" s="33" t="inlineStr">
        <is>
          <t>15/08/2017</t>
        </is>
      </c>
      <c r="B200" s="33" t="inlineStr">
        <is>
          <t>TOTAL CENTRO DE DISTRIBUICAO INTEGRADA LTDA - 12.460.301/0001-87</t>
        </is>
      </c>
      <c r="C200" s="33" t="inlineStr">
        <is>
          <t>FRUGIS REPRESENTACOES LTDA - 11.989.186/0001-70</t>
        </is>
      </c>
      <c r="D200" s="34">
        <f>G200</f>
        <v/>
      </c>
      <c r="E200" s="33" t="inlineStr">
        <is>
          <t>07/2017</t>
        </is>
      </c>
      <c r="F200" s="35" t="n"/>
      <c r="G200" s="35" t="n">
        <v>10006.34</v>
      </c>
      <c r="H200" s="34" t="n"/>
      <c r="I200" s="33" t="inlineStr">
        <is>
          <t>Complementado (não existia na base)</t>
        </is>
      </c>
      <c r="J200" s="33" t="inlineStr">
        <is>
          <t>Extrato conta corrente - Tenda</t>
        </is>
      </c>
      <c r="K200" s="33">
        <f>VALUE(RIGHT(A200,4))</f>
        <v/>
      </c>
      <c r="L200" s="16">
        <f>DATE(VALUE(RIGHT(A200,4)),VALUE(MID(A200,4,2)),1)</f>
        <v/>
      </c>
      <c r="M200" s="17">
        <f>INDEX(IPCA!$D$5:$D$313,MATCH(Distrato!$B$3,IPCA!$A$5:$A$313,0))/INDEX(IPCA!$D$5:$D$313,MATCH(DATE(YEAR(L200),MONTH(L200)-1,1),IPCA!$A$5:$A$313,0))</f>
        <v/>
      </c>
      <c r="N200" s="15">
        <f>IF(L200&gt;Distrato!$B$3,D200,D200*M200)</f>
        <v/>
      </c>
    </row>
    <row r="201">
      <c r="A201" s="33" t="inlineStr">
        <is>
          <t>15/09/2017</t>
        </is>
      </c>
      <c r="B201" s="33" t="inlineStr">
        <is>
          <t>TOTAL CENTRO DE DISTRIBUICAO INTEGRADA LTDA - 12.460.301/0001-87</t>
        </is>
      </c>
      <c r="C201" s="33" t="inlineStr">
        <is>
          <t>FRUGIS REPRESENTACOES LTDA - 11.989.186/0001-70</t>
        </is>
      </c>
      <c r="D201" s="34">
        <f>G201</f>
        <v/>
      </c>
      <c r="E201" s="33" t="inlineStr">
        <is>
          <t>08/2017</t>
        </is>
      </c>
      <c r="F201" s="35" t="n"/>
      <c r="G201" s="35" t="n">
        <v>13326.76</v>
      </c>
      <c r="H201" s="34" t="n"/>
      <c r="I201" s="33" t="inlineStr">
        <is>
          <t>Complementado (não existia na base)</t>
        </is>
      </c>
      <c r="J201" s="33" t="inlineStr">
        <is>
          <t>Extrato conta corrente - Tenda</t>
        </is>
      </c>
      <c r="K201" s="33">
        <f>VALUE(RIGHT(A201,4))</f>
        <v/>
      </c>
      <c r="L201" s="16">
        <f>DATE(VALUE(RIGHT(A201,4)),VALUE(MID(A201,4,2)),1)</f>
        <v/>
      </c>
      <c r="M201" s="17">
        <f>INDEX(IPCA!$D$5:$D$313,MATCH(Distrato!$B$3,IPCA!$A$5:$A$313,0))/INDEX(IPCA!$D$5:$D$313,MATCH(DATE(YEAR(L201),MONTH(L201)-1,1),IPCA!$A$5:$A$313,0))</f>
        <v/>
      </c>
      <c r="N201" s="15">
        <f>IF(L201&gt;Distrato!$B$3,D201,D201*M201)</f>
        <v/>
      </c>
    </row>
    <row r="202">
      <c r="A202" s="33" t="inlineStr">
        <is>
          <t>15/10/2017</t>
        </is>
      </c>
      <c r="B202" s="33" t="inlineStr">
        <is>
          <t>TOTAL CENTRO DE DISTRIBUICAO INTEGRADA LTDA - 12.460.301/0001-87</t>
        </is>
      </c>
      <c r="C202" s="33" t="inlineStr">
        <is>
          <t>FRUGIS REPRESENTACOES LTDA - 11.989.186/0001-70</t>
        </is>
      </c>
      <c r="D202" s="34">
        <f>G202</f>
        <v/>
      </c>
      <c r="E202" s="33" t="inlineStr">
        <is>
          <t>09/2017</t>
        </is>
      </c>
      <c r="F202" s="35" t="n"/>
      <c r="G202" s="35" t="n">
        <v>6016.75</v>
      </c>
      <c r="H202" s="34" t="n"/>
      <c r="I202" s="33" t="inlineStr">
        <is>
          <t>Complementado (não existia na base)</t>
        </is>
      </c>
      <c r="J202" s="33" t="inlineStr">
        <is>
          <t>Extrato conta corrente - Tenda</t>
        </is>
      </c>
      <c r="K202" s="33">
        <f>VALUE(RIGHT(A202,4))</f>
        <v/>
      </c>
      <c r="L202" s="16">
        <f>DATE(VALUE(RIGHT(A202,4)),VALUE(MID(A202,4,2)),1)</f>
        <v/>
      </c>
      <c r="M202" s="17">
        <f>INDEX(IPCA!$D$5:$D$313,MATCH(Distrato!$B$3,IPCA!$A$5:$A$313,0))/INDEX(IPCA!$D$5:$D$313,MATCH(DATE(YEAR(L202),MONTH(L202)-1,1),IPCA!$A$5:$A$313,0))</f>
        <v/>
      </c>
      <c r="N202" s="15">
        <f>IF(L202&gt;Distrato!$B$3,D202,D202*M202)</f>
        <v/>
      </c>
    </row>
    <row r="203">
      <c r="A203" s="33" t="inlineStr">
        <is>
          <t>15/11/2017</t>
        </is>
      </c>
      <c r="B203" s="33" t="inlineStr">
        <is>
          <t>TOTAL CENTRO DE DISTRIBUICAO INTEGRADA LTDA - 12.460.301/0001-87</t>
        </is>
      </c>
      <c r="C203" s="33" t="inlineStr">
        <is>
          <t>FRUGIS REPRESENTACOES LTDA - 11.989.186/0001-70</t>
        </is>
      </c>
      <c r="D203" s="34">
        <f>G203</f>
        <v/>
      </c>
      <c r="E203" s="33" t="inlineStr">
        <is>
          <t>10/2017</t>
        </is>
      </c>
      <c r="F203" s="35" t="n"/>
      <c r="G203" s="35" t="n">
        <v>17373.63</v>
      </c>
      <c r="H203" s="34" t="n"/>
      <c r="I203" s="33" t="inlineStr">
        <is>
          <t>Complementado (não existia na base)</t>
        </is>
      </c>
      <c r="J203" s="33" t="inlineStr">
        <is>
          <t>Extrato conta corrente - Tenda</t>
        </is>
      </c>
      <c r="K203" s="33">
        <f>VALUE(RIGHT(A203,4))</f>
        <v/>
      </c>
      <c r="L203" s="16">
        <f>DATE(VALUE(RIGHT(A203,4)),VALUE(MID(A203,4,2)),1)</f>
        <v/>
      </c>
      <c r="M203" s="17">
        <f>INDEX(IPCA!$D$5:$D$313,MATCH(Distrato!$B$3,IPCA!$A$5:$A$313,0))/INDEX(IPCA!$D$5:$D$313,MATCH(DATE(YEAR(L203),MONTH(L203)-1,1),IPCA!$A$5:$A$313,0))</f>
        <v/>
      </c>
      <c r="N203" s="15">
        <f>IF(L203&gt;Distrato!$B$3,D203,D203*M203)</f>
        <v/>
      </c>
    </row>
    <row r="204">
      <c r="A204" s="33" t="inlineStr">
        <is>
          <t>15/12/2017</t>
        </is>
      </c>
      <c r="B204" s="33" t="inlineStr">
        <is>
          <t>TOTAL CENTRO DE DISTRIBUICAO INTEGRADA LTDA - 12.460.301/0001-87</t>
        </is>
      </c>
      <c r="C204" s="33" t="inlineStr">
        <is>
          <t>FRUGIS REPRESENTACOES LTDA - 11.989.186/0001-70</t>
        </is>
      </c>
      <c r="D204" s="34">
        <f>G204</f>
        <v/>
      </c>
      <c r="E204" s="33" t="inlineStr">
        <is>
          <t>11/2017</t>
        </is>
      </c>
      <c r="F204" s="35" t="n"/>
      <c r="G204" s="35" t="n">
        <v>27593.78</v>
      </c>
      <c r="H204" s="34" t="n"/>
      <c r="I204" s="33" t="inlineStr">
        <is>
          <t>Complementado (não existia na base)</t>
        </is>
      </c>
      <c r="J204" s="33" t="inlineStr">
        <is>
          <t>Extrato conta corrente - Tenda</t>
        </is>
      </c>
      <c r="K204" s="33">
        <f>VALUE(RIGHT(A204,4))</f>
        <v/>
      </c>
      <c r="L204" s="16">
        <f>DATE(VALUE(RIGHT(A204,4)),VALUE(MID(A204,4,2)),1)</f>
        <v/>
      </c>
      <c r="M204" s="17">
        <f>INDEX(IPCA!$D$5:$D$313,MATCH(Distrato!$B$3,IPCA!$A$5:$A$313,0))/INDEX(IPCA!$D$5:$D$313,MATCH(DATE(YEAR(L204),MONTH(L204)-1,1),IPCA!$A$5:$A$313,0))</f>
        <v/>
      </c>
      <c r="N204" s="15">
        <f>IF(L204&gt;Distrato!$B$3,D204,D204*M204)</f>
        <v/>
      </c>
    </row>
    <row r="205">
      <c r="A205" s="33" t="inlineStr">
        <is>
          <t>15/01/2018</t>
        </is>
      </c>
      <c r="B205" s="33" t="inlineStr">
        <is>
          <t>TOTAL CENTRO DE DISTRIBUICAO INTEGRADA LTDA - 12.460.301/0001-87</t>
        </is>
      </c>
      <c r="C205" s="33" t="inlineStr">
        <is>
          <t>FRUGIS REPRESENTACOES LTDA - 11.989.186/0001-70</t>
        </is>
      </c>
      <c r="D205" s="34">
        <f>G205</f>
        <v/>
      </c>
      <c r="E205" s="33" t="inlineStr">
        <is>
          <t>12/2017</t>
        </is>
      </c>
      <c r="F205" s="35" t="n"/>
      <c r="G205" s="35" t="n">
        <v>12809.08</v>
      </c>
      <c r="H205" s="34" t="n"/>
      <c r="I205" s="33" t="inlineStr">
        <is>
          <t>Complementado (não existia na base)</t>
        </is>
      </c>
      <c r="J205" s="33" t="inlineStr">
        <is>
          <t>Extrato conta corrente - Tenda</t>
        </is>
      </c>
      <c r="K205" s="33">
        <f>VALUE(RIGHT(A205,4))</f>
        <v/>
      </c>
      <c r="L205" s="16">
        <f>DATE(VALUE(RIGHT(A205,4)),VALUE(MID(A205,4,2)),1)</f>
        <v/>
      </c>
      <c r="M205" s="17">
        <f>INDEX(IPCA!$D$5:$D$313,MATCH(Distrato!$B$3,IPCA!$A$5:$A$313,0))/INDEX(IPCA!$D$5:$D$313,MATCH(DATE(YEAR(L205),MONTH(L205)-1,1),IPCA!$A$5:$A$313,0))</f>
        <v/>
      </c>
      <c r="N205" s="15">
        <f>IF(L205&gt;Distrato!$B$3,D205,D205*M205)</f>
        <v/>
      </c>
    </row>
    <row r="206">
      <c r="A206" s="33" t="inlineStr">
        <is>
          <t>15/02/2018</t>
        </is>
      </c>
      <c r="B206" s="33" t="inlineStr">
        <is>
          <t>TOTAL CENTRO DE DISTRIBUICAO INTEGRADA LTDA - 12.460.301/0001-87</t>
        </is>
      </c>
      <c r="C206" s="33" t="inlineStr">
        <is>
          <t>FRUGIS REPRESENTACOES LTDA - 11.989.186/0001-70</t>
        </is>
      </c>
      <c r="D206" s="34">
        <f>G206</f>
        <v/>
      </c>
      <c r="E206" s="33" t="inlineStr">
        <is>
          <t>01/2018</t>
        </is>
      </c>
      <c r="F206" s="35" t="n"/>
      <c r="G206" s="35" t="n">
        <v>15281.8</v>
      </c>
      <c r="H206" s="34" t="n"/>
      <c r="I206" s="33" t="inlineStr">
        <is>
          <t>Complementado (não existia na base)</t>
        </is>
      </c>
      <c r="J206" s="33" t="inlineStr">
        <is>
          <t>Extrato conta corrente - Tenda</t>
        </is>
      </c>
      <c r="K206" s="33">
        <f>VALUE(RIGHT(A206,4))</f>
        <v/>
      </c>
      <c r="L206" s="16">
        <f>DATE(VALUE(RIGHT(A206,4)),VALUE(MID(A206,4,2)),1)</f>
        <v/>
      </c>
      <c r="M206" s="17">
        <f>INDEX(IPCA!$D$5:$D$313,MATCH(Distrato!$B$3,IPCA!$A$5:$A$313,0))/INDEX(IPCA!$D$5:$D$313,MATCH(DATE(YEAR(L206),MONTH(L206)-1,1),IPCA!$A$5:$A$313,0))</f>
        <v/>
      </c>
      <c r="N206" s="15">
        <f>IF(L206&gt;Distrato!$B$3,D206,D206*M206)</f>
        <v/>
      </c>
    </row>
    <row r="207">
      <c r="A207" s="33" t="inlineStr">
        <is>
          <t>15/03/2018</t>
        </is>
      </c>
      <c r="B207" s="33" t="inlineStr">
        <is>
          <t>TOTAL CENTRO DE DISTRIBUICAO INTEGRADA LTDA - 12.460.301/0001-87</t>
        </is>
      </c>
      <c r="C207" s="33" t="inlineStr">
        <is>
          <t>FRUGIS REPRESENTACOES LTDA - 11.989.186/0001-70</t>
        </is>
      </c>
      <c r="D207" s="34">
        <f>G207</f>
        <v/>
      </c>
      <c r="E207" s="33" t="inlineStr">
        <is>
          <t>02/2018</t>
        </is>
      </c>
      <c r="F207" s="35" t="n"/>
      <c r="G207" s="35" t="n">
        <v>13060.72</v>
      </c>
      <c r="H207" s="34" t="n"/>
      <c r="I207" s="33" t="inlineStr">
        <is>
          <t>Complementado (não existia na base)</t>
        </is>
      </c>
      <c r="J207" s="33" t="inlineStr">
        <is>
          <t>Extrato conta corrente - Tenda</t>
        </is>
      </c>
      <c r="K207" s="33">
        <f>VALUE(RIGHT(A207,4))</f>
        <v/>
      </c>
      <c r="L207" s="16">
        <f>DATE(VALUE(RIGHT(A207,4)),VALUE(MID(A207,4,2)),1)</f>
        <v/>
      </c>
      <c r="M207" s="17">
        <f>INDEX(IPCA!$D$5:$D$313,MATCH(Distrato!$B$3,IPCA!$A$5:$A$313,0))/INDEX(IPCA!$D$5:$D$313,MATCH(DATE(YEAR(L207),MONTH(L207)-1,1),IPCA!$A$5:$A$313,0))</f>
        <v/>
      </c>
      <c r="N207" s="15">
        <f>IF(L207&gt;Distrato!$B$3,D207,D207*M207)</f>
        <v/>
      </c>
    </row>
    <row r="208">
      <c r="A208" s="33" t="inlineStr">
        <is>
          <t>15/04/2018</t>
        </is>
      </c>
      <c r="B208" s="33" t="inlineStr">
        <is>
          <t>TOTAL CENTRO DE DISTRIBUICAO INTEGRADA LTDA - 12.460.301/0001-87</t>
        </is>
      </c>
      <c r="C208" s="33" t="inlineStr">
        <is>
          <t>FRUGIS REPRESENTACOES LTDA - 11.989.186/0001-70</t>
        </is>
      </c>
      <c r="D208" s="34">
        <f>G208</f>
        <v/>
      </c>
      <c r="E208" s="33" t="inlineStr">
        <is>
          <t>03/2018</t>
        </is>
      </c>
      <c r="F208" s="35" t="n"/>
      <c r="G208" s="35" t="n">
        <v>14737.8</v>
      </c>
      <c r="H208" s="34" t="n"/>
      <c r="I208" s="33" t="inlineStr">
        <is>
          <t>Complementado (não existia na base)</t>
        </is>
      </c>
      <c r="J208" s="33" t="inlineStr">
        <is>
          <t>Extrato conta corrente - Tenda</t>
        </is>
      </c>
      <c r="K208" s="33">
        <f>VALUE(RIGHT(A208,4))</f>
        <v/>
      </c>
      <c r="L208" s="16">
        <f>DATE(VALUE(RIGHT(A208,4)),VALUE(MID(A208,4,2)),1)</f>
        <v/>
      </c>
      <c r="M208" s="17">
        <f>INDEX(IPCA!$D$5:$D$313,MATCH(Distrato!$B$3,IPCA!$A$5:$A$313,0))/INDEX(IPCA!$D$5:$D$313,MATCH(DATE(YEAR(L208),MONTH(L208)-1,1),IPCA!$A$5:$A$313,0))</f>
        <v/>
      </c>
      <c r="N208" s="15">
        <f>IF(L208&gt;Distrato!$B$3,D208,D208*M208)</f>
        <v/>
      </c>
    </row>
    <row r="209">
      <c r="A209" s="33" t="inlineStr">
        <is>
          <t>15/05/2018</t>
        </is>
      </c>
      <c r="B209" s="33" t="inlineStr">
        <is>
          <t>TOTAL CENTRO DE DISTRIBUICAO INTEGRADA LTDA - 12.460.301/0001-87</t>
        </is>
      </c>
      <c r="C209" s="33" t="inlineStr">
        <is>
          <t>FRUGIS REPRESENTACOES LTDA - 11.989.186/0001-70</t>
        </is>
      </c>
      <c r="D209" s="34">
        <f>G209</f>
        <v/>
      </c>
      <c r="E209" s="33" t="inlineStr">
        <is>
          <t>04/2018</t>
        </is>
      </c>
      <c r="F209" s="35" t="n"/>
      <c r="G209" s="35" t="n">
        <v>11470.52</v>
      </c>
      <c r="H209" s="34" t="n"/>
      <c r="I209" s="33" t="inlineStr">
        <is>
          <t>Complementado (não existia na base)</t>
        </is>
      </c>
      <c r="J209" s="33" t="inlineStr">
        <is>
          <t>Extrato conta corrente - Tenda</t>
        </is>
      </c>
      <c r="K209" s="33">
        <f>VALUE(RIGHT(A209,4))</f>
        <v/>
      </c>
      <c r="L209" s="16">
        <f>DATE(VALUE(RIGHT(A209,4)),VALUE(MID(A209,4,2)),1)</f>
        <v/>
      </c>
      <c r="M209" s="17">
        <f>INDEX(IPCA!$D$5:$D$313,MATCH(Distrato!$B$3,IPCA!$A$5:$A$313,0))/INDEX(IPCA!$D$5:$D$313,MATCH(DATE(YEAR(L209),MONTH(L209)-1,1),IPCA!$A$5:$A$313,0))</f>
        <v/>
      </c>
      <c r="N209" s="15">
        <f>IF(L209&gt;Distrato!$B$3,D209,D209*M209)</f>
        <v/>
      </c>
    </row>
    <row r="210">
      <c r="A210" s="33" t="inlineStr">
        <is>
          <t>15/06/2018</t>
        </is>
      </c>
      <c r="B210" s="33" t="inlineStr">
        <is>
          <t>TOTAL CENTRO DE DISTRIBUICAO INTEGRADA LTDA - 12.460.301/0001-87</t>
        </is>
      </c>
      <c r="C210" s="33" t="inlineStr">
        <is>
          <t>FRUGIS REPRESENTACOES LTDA - 11.989.186/0001-70</t>
        </is>
      </c>
      <c r="D210" s="34">
        <f>G210</f>
        <v/>
      </c>
      <c r="E210" s="33" t="inlineStr">
        <is>
          <t>05/2018</t>
        </is>
      </c>
      <c r="F210" s="35" t="n"/>
      <c r="G210" s="35" t="n">
        <v>10022.26</v>
      </c>
      <c r="H210" s="34" t="n"/>
      <c r="I210" s="33" t="inlineStr">
        <is>
          <t>Complementado (não existia na base)</t>
        </is>
      </c>
      <c r="J210" s="33" t="inlineStr">
        <is>
          <t>Extrato conta corrente - Tenda</t>
        </is>
      </c>
      <c r="K210" s="33">
        <f>VALUE(RIGHT(A210,4))</f>
        <v/>
      </c>
      <c r="L210" s="16">
        <f>DATE(VALUE(RIGHT(A210,4)),VALUE(MID(A210,4,2)),1)</f>
        <v/>
      </c>
      <c r="M210" s="17">
        <f>INDEX(IPCA!$D$5:$D$313,MATCH(Distrato!$B$3,IPCA!$A$5:$A$313,0))/INDEX(IPCA!$D$5:$D$313,MATCH(DATE(YEAR(L210),MONTH(L210)-1,1),IPCA!$A$5:$A$313,0))</f>
        <v/>
      </c>
      <c r="N210" s="15">
        <f>IF(L210&gt;Distrato!$B$3,D210,D210*M210)</f>
        <v/>
      </c>
    </row>
    <row r="211">
      <c r="A211" s="33" t="inlineStr">
        <is>
          <t>15/07/2018</t>
        </is>
      </c>
      <c r="B211" s="33" t="inlineStr">
        <is>
          <t>TOTAL CENTRO DE DISTRIBUICAO INTEGRADA LTDA - 12.460.301/0001-87</t>
        </is>
      </c>
      <c r="C211" s="33" t="inlineStr">
        <is>
          <t>FRUGIS REPRESENTACOES LTDA - 11.989.186/0001-70</t>
        </is>
      </c>
      <c r="D211" s="34">
        <f>G211</f>
        <v/>
      </c>
      <c r="E211" s="33" t="inlineStr">
        <is>
          <t>06/2018</t>
        </is>
      </c>
      <c r="F211" s="35" t="n"/>
      <c r="G211" s="35" t="n">
        <v>24849.62</v>
      </c>
      <c r="H211" s="34" t="n"/>
      <c r="I211" s="33" t="inlineStr">
        <is>
          <t>Complementado (não existia na base)</t>
        </is>
      </c>
      <c r="J211" s="33" t="inlineStr">
        <is>
          <t>Extrato conta corrente - Tenda</t>
        </is>
      </c>
      <c r="K211" s="33">
        <f>VALUE(RIGHT(A211,4))</f>
        <v/>
      </c>
      <c r="L211" s="16">
        <f>DATE(VALUE(RIGHT(A211,4)),VALUE(MID(A211,4,2)),1)</f>
        <v/>
      </c>
      <c r="M211" s="17">
        <f>INDEX(IPCA!$D$5:$D$313,MATCH(Distrato!$B$3,IPCA!$A$5:$A$313,0))/INDEX(IPCA!$D$5:$D$313,MATCH(DATE(YEAR(L211),MONTH(L211)-1,1),IPCA!$A$5:$A$313,0))</f>
        <v/>
      </c>
      <c r="N211" s="15">
        <f>IF(L211&gt;Distrato!$B$3,D211,D211*M211)</f>
        <v/>
      </c>
    </row>
    <row r="212">
      <c r="A212" s="33" t="inlineStr">
        <is>
          <t>15/08/2018</t>
        </is>
      </c>
      <c r="B212" s="33" t="inlineStr">
        <is>
          <t>TOTAL CENTRO DE DISTRIBUICAO INTEGRADA LTDA - 12.460.301/0001-87</t>
        </is>
      </c>
      <c r="C212" s="33" t="inlineStr">
        <is>
          <t>FRUGIS REPRESENTACOES LTDA - 11.989.186/0001-70</t>
        </is>
      </c>
      <c r="D212" s="34">
        <f>G212</f>
        <v/>
      </c>
      <c r="E212" s="33" t="inlineStr">
        <is>
          <t>07/2018</t>
        </is>
      </c>
      <c r="F212" s="35" t="n"/>
      <c r="G212" s="35" t="n">
        <v>28765.55</v>
      </c>
      <c r="H212" s="34" t="n"/>
      <c r="I212" s="33" t="inlineStr">
        <is>
          <t>Complementado (não existia na base)</t>
        </is>
      </c>
      <c r="J212" s="33" t="inlineStr">
        <is>
          <t>Extrato conta corrente - Tenda</t>
        </is>
      </c>
      <c r="K212" s="33">
        <f>VALUE(RIGHT(A212,4))</f>
        <v/>
      </c>
      <c r="L212" s="16">
        <f>DATE(VALUE(RIGHT(A212,4)),VALUE(MID(A212,4,2)),1)</f>
        <v/>
      </c>
      <c r="M212" s="17">
        <f>INDEX(IPCA!$D$5:$D$313,MATCH(Distrato!$B$3,IPCA!$A$5:$A$313,0))/INDEX(IPCA!$D$5:$D$313,MATCH(DATE(YEAR(L212),MONTH(L212)-1,1),IPCA!$A$5:$A$313,0))</f>
        <v/>
      </c>
      <c r="N212" s="15">
        <f>IF(L212&gt;Distrato!$B$3,D212,D212*M212)</f>
        <v/>
      </c>
    </row>
    <row r="213">
      <c r="A213" s="33" t="inlineStr">
        <is>
          <t>15/09/2018</t>
        </is>
      </c>
      <c r="B213" s="33" t="inlineStr">
        <is>
          <t>TOTAL CENTRO DE DISTRIBUICAO INTEGRADA LTDA - 12.460.301/0001-87</t>
        </is>
      </c>
      <c r="C213" s="33" t="inlineStr">
        <is>
          <t>FRUGIS REPRESENTACOES LTDA - 11.989.186/0001-70</t>
        </is>
      </c>
      <c r="D213" s="34">
        <f>G213</f>
        <v/>
      </c>
      <c r="E213" s="33" t="inlineStr">
        <is>
          <t>08/2018</t>
        </is>
      </c>
      <c r="F213" s="35" t="n"/>
      <c r="G213" s="35" t="n">
        <v>10458.31</v>
      </c>
      <c r="H213" s="34" t="n"/>
      <c r="I213" s="33" t="inlineStr">
        <is>
          <t>Complementado (não existia na base)</t>
        </is>
      </c>
      <c r="J213" s="33" t="inlineStr">
        <is>
          <t>Extrato conta corrente - Tenda</t>
        </is>
      </c>
      <c r="K213" s="33">
        <f>VALUE(RIGHT(A213,4))</f>
        <v/>
      </c>
      <c r="L213" s="16">
        <f>DATE(VALUE(RIGHT(A213,4)),VALUE(MID(A213,4,2)),1)</f>
        <v/>
      </c>
      <c r="M213" s="17">
        <f>INDEX(IPCA!$D$5:$D$313,MATCH(Distrato!$B$3,IPCA!$A$5:$A$313,0))/INDEX(IPCA!$D$5:$D$313,MATCH(DATE(YEAR(L213),MONTH(L213)-1,1),IPCA!$A$5:$A$313,0))</f>
        <v/>
      </c>
      <c r="N213" s="15">
        <f>IF(L213&gt;Distrato!$B$3,D213,D213*M213)</f>
        <v/>
      </c>
    </row>
    <row r="214">
      <c r="A214" s="33" t="inlineStr">
        <is>
          <t>15/10/2018</t>
        </is>
      </c>
      <c r="B214" s="33" t="inlineStr">
        <is>
          <t>TOTAL CENTRO DE DISTRIBUICAO INTEGRADA LTDA - 12.460.301/0001-87</t>
        </is>
      </c>
      <c r="C214" s="33" t="inlineStr">
        <is>
          <t>FRUGIS REPRESENTACOES LTDA - 11.989.186/0001-70</t>
        </is>
      </c>
      <c r="D214" s="34">
        <f>G214</f>
        <v/>
      </c>
      <c r="E214" s="33" t="inlineStr">
        <is>
          <t>09/2018</t>
        </is>
      </c>
      <c r="F214" s="35" t="n"/>
      <c r="G214" s="35" t="n">
        <v>28371.96</v>
      </c>
      <c r="H214" s="34" t="n"/>
      <c r="I214" s="33" t="inlineStr">
        <is>
          <t>Complementado (não existia na base)</t>
        </is>
      </c>
      <c r="J214" s="33" t="inlineStr">
        <is>
          <t>Extrato conta corrente - Tenda</t>
        </is>
      </c>
      <c r="K214" s="33">
        <f>VALUE(RIGHT(A214,4))</f>
        <v/>
      </c>
      <c r="L214" s="16">
        <f>DATE(VALUE(RIGHT(A214,4)),VALUE(MID(A214,4,2)),1)</f>
        <v/>
      </c>
      <c r="M214" s="17">
        <f>INDEX(IPCA!$D$5:$D$313,MATCH(Distrato!$B$3,IPCA!$A$5:$A$313,0))/INDEX(IPCA!$D$5:$D$313,MATCH(DATE(YEAR(L214),MONTH(L214)-1,1),IPCA!$A$5:$A$313,0))</f>
        <v/>
      </c>
      <c r="N214" s="15">
        <f>IF(L214&gt;Distrato!$B$3,D214,D214*M214)</f>
        <v/>
      </c>
    </row>
    <row r="215">
      <c r="A215" s="33" t="inlineStr">
        <is>
          <t>15/11/2018</t>
        </is>
      </c>
      <c r="B215" s="33" t="inlineStr">
        <is>
          <t>TOTAL CENTRO DE DISTRIBUICAO INTEGRADA LTDA - 12.460.301/0001-87</t>
        </is>
      </c>
      <c r="C215" s="33" t="inlineStr">
        <is>
          <t>FRUGIS REPRESENTACOES LTDA - 11.989.186/0001-70</t>
        </is>
      </c>
      <c r="D215" s="34">
        <f>G215</f>
        <v/>
      </c>
      <c r="E215" s="33" t="inlineStr">
        <is>
          <t>10/2018</t>
        </is>
      </c>
      <c r="F215" s="35" t="n"/>
      <c r="G215" s="35" t="n">
        <v>13833.33</v>
      </c>
      <c r="H215" s="34" t="n"/>
      <c r="I215" s="33" t="inlineStr">
        <is>
          <t>Complementado (não existia na base)</t>
        </is>
      </c>
      <c r="J215" s="33" t="inlineStr">
        <is>
          <t>Extrato conta corrente - Tenda</t>
        </is>
      </c>
      <c r="K215" s="33">
        <f>VALUE(RIGHT(A215,4))</f>
        <v/>
      </c>
      <c r="L215" s="16">
        <f>DATE(VALUE(RIGHT(A215,4)),VALUE(MID(A215,4,2)),1)</f>
        <v/>
      </c>
      <c r="M215" s="17">
        <f>INDEX(IPCA!$D$5:$D$313,MATCH(Distrato!$B$3,IPCA!$A$5:$A$313,0))/INDEX(IPCA!$D$5:$D$313,MATCH(DATE(YEAR(L215),MONTH(L215)-1,1),IPCA!$A$5:$A$313,0))</f>
        <v/>
      </c>
      <c r="N215" s="15">
        <f>IF(L215&gt;Distrato!$B$3,D215,D215*M215)</f>
        <v/>
      </c>
    </row>
    <row r="216">
      <c r="A216" s="33" t="inlineStr">
        <is>
          <t>15/12/2018</t>
        </is>
      </c>
      <c r="B216" s="33" t="inlineStr">
        <is>
          <t>TOTAL CENTRO DE DISTRIBUICAO INTEGRADA LTDA - 12.460.301/0001-87</t>
        </is>
      </c>
      <c r="C216" s="33" t="inlineStr">
        <is>
          <t>FRUGIS REPRESENTACOES LTDA - 11.989.186/0001-70</t>
        </is>
      </c>
      <c r="D216" s="34">
        <f>G216</f>
        <v/>
      </c>
      <c r="E216" s="33" t="inlineStr">
        <is>
          <t>11/2018</t>
        </is>
      </c>
      <c r="F216" s="35" t="n"/>
      <c r="G216" s="35" t="n">
        <v>12272.46</v>
      </c>
      <c r="H216" s="34" t="n"/>
      <c r="I216" s="33" t="inlineStr">
        <is>
          <t>Complementado (não existia na base)</t>
        </is>
      </c>
      <c r="J216" s="33" t="inlineStr">
        <is>
          <t>Extrato conta corrente - Tenda</t>
        </is>
      </c>
      <c r="K216" s="33">
        <f>VALUE(RIGHT(A216,4))</f>
        <v/>
      </c>
      <c r="L216" s="16">
        <f>DATE(VALUE(RIGHT(A216,4)),VALUE(MID(A216,4,2)),1)</f>
        <v/>
      </c>
      <c r="M216" s="17">
        <f>INDEX(IPCA!$D$5:$D$313,MATCH(Distrato!$B$3,IPCA!$A$5:$A$313,0))/INDEX(IPCA!$D$5:$D$313,MATCH(DATE(YEAR(L216),MONTH(L216)-1,1),IPCA!$A$5:$A$313,0))</f>
        <v/>
      </c>
      <c r="N216" s="15">
        <f>IF(L216&gt;Distrato!$B$3,D216,D216*M216)</f>
        <v/>
      </c>
    </row>
    <row r="217">
      <c r="A217" s="33" t="inlineStr">
        <is>
          <t>15/01/2019</t>
        </is>
      </c>
      <c r="B217" s="33" t="inlineStr">
        <is>
          <t>TOTAL CENTRO DE DISTRIBUICAO INTEGRADA LTDA - 12.460.301/0001-87</t>
        </is>
      </c>
      <c r="C217" s="33" t="inlineStr">
        <is>
          <t>FRUGIS REPRESENTACOES LTDA - 11.989.186/0001-70</t>
        </is>
      </c>
      <c r="D217" s="34">
        <f>G217</f>
        <v/>
      </c>
      <c r="E217" s="33" t="inlineStr">
        <is>
          <t>12/2018</t>
        </is>
      </c>
      <c r="F217" s="35" t="n"/>
      <c r="G217" s="35" t="n">
        <v>15459.74</v>
      </c>
      <c r="H217" s="34" t="n"/>
      <c r="I217" s="33" t="inlineStr">
        <is>
          <t>Complementado (não existia na base)</t>
        </is>
      </c>
      <c r="J217" s="33" t="inlineStr">
        <is>
          <t>Extrato conta corrente - Tenda</t>
        </is>
      </c>
      <c r="K217" s="33">
        <f>VALUE(RIGHT(A217,4))</f>
        <v/>
      </c>
      <c r="L217" s="16">
        <f>DATE(VALUE(RIGHT(A217,4)),VALUE(MID(A217,4,2)),1)</f>
        <v/>
      </c>
      <c r="M217" s="17">
        <f>INDEX(IPCA!$D$5:$D$313,MATCH(Distrato!$B$3,IPCA!$A$5:$A$313,0))/INDEX(IPCA!$D$5:$D$313,MATCH(DATE(YEAR(L217),MONTH(L217)-1,1),IPCA!$A$5:$A$313,0))</f>
        <v/>
      </c>
      <c r="N217" s="15">
        <f>IF(L217&gt;Distrato!$B$3,D217,D217*M217)</f>
        <v/>
      </c>
    </row>
    <row r="218">
      <c r="A218" s="33" t="inlineStr">
        <is>
          <t>15/02/2019</t>
        </is>
      </c>
      <c r="B218" s="33" t="inlineStr">
        <is>
          <t>TOTAL CENTRO DE DISTRIBUICAO INTEGRADA LTDA - 12.460.301/0001-87</t>
        </is>
      </c>
      <c r="C218" s="33" t="inlineStr">
        <is>
          <t>FRUGIS REPRESENTACOES LTDA - 11.989.186/0001-70</t>
        </is>
      </c>
      <c r="D218" s="34">
        <f>G218</f>
        <v/>
      </c>
      <c r="E218" s="33" t="inlineStr">
        <is>
          <t>01/2019</t>
        </is>
      </c>
      <c r="F218" s="35" t="n"/>
      <c r="G218" s="35" t="n">
        <v>27130.27</v>
      </c>
      <c r="H218" s="34" t="n"/>
      <c r="I218" s="33" t="inlineStr">
        <is>
          <t>Complementado (não existia na base)</t>
        </is>
      </c>
      <c r="J218" s="33" t="inlineStr">
        <is>
          <t>Extrato conta corrente - Tenda</t>
        </is>
      </c>
      <c r="K218" s="33">
        <f>VALUE(RIGHT(A218,4))</f>
        <v/>
      </c>
      <c r="L218" s="16">
        <f>DATE(VALUE(RIGHT(A218,4)),VALUE(MID(A218,4,2)),1)</f>
        <v/>
      </c>
      <c r="M218" s="17">
        <f>INDEX(IPCA!$D$5:$D$313,MATCH(Distrato!$B$3,IPCA!$A$5:$A$313,0))/INDEX(IPCA!$D$5:$D$313,MATCH(DATE(YEAR(L218),MONTH(L218)-1,1),IPCA!$A$5:$A$313,0))</f>
        <v/>
      </c>
      <c r="N218" s="15">
        <f>IF(L218&gt;Distrato!$B$3,D218,D218*M218)</f>
        <v/>
      </c>
    </row>
    <row r="219">
      <c r="A219" s="33" t="inlineStr">
        <is>
          <t>15/03/2019</t>
        </is>
      </c>
      <c r="B219" s="33" t="inlineStr">
        <is>
          <t>TOTAL CENTRO DE DISTRIBUICAO INTEGRADA LTDA - 12.460.301/0001-87</t>
        </is>
      </c>
      <c r="C219" s="33" t="inlineStr">
        <is>
          <t>FRUGIS REPRESENTACOES LTDA - 11.989.186/0001-70</t>
        </is>
      </c>
      <c r="D219" s="34">
        <f>G219</f>
        <v/>
      </c>
      <c r="E219" s="33" t="inlineStr">
        <is>
          <t>02/2019</t>
        </is>
      </c>
      <c r="F219" s="35" t="n"/>
      <c r="G219" s="35" t="n">
        <v>18462.31</v>
      </c>
      <c r="H219" s="34" t="n"/>
      <c r="I219" s="33" t="inlineStr">
        <is>
          <t>Complementado (não existia na base)</t>
        </is>
      </c>
      <c r="J219" s="33" t="inlineStr">
        <is>
          <t>Extrato conta corrente - Tenda</t>
        </is>
      </c>
      <c r="K219" s="33">
        <f>VALUE(RIGHT(A219,4))</f>
        <v/>
      </c>
      <c r="L219" s="16">
        <f>DATE(VALUE(RIGHT(A219,4)),VALUE(MID(A219,4,2)),1)</f>
        <v/>
      </c>
      <c r="M219" s="17">
        <f>INDEX(IPCA!$D$5:$D$313,MATCH(Distrato!$B$3,IPCA!$A$5:$A$313,0))/INDEX(IPCA!$D$5:$D$313,MATCH(DATE(YEAR(L219),MONTH(L219)-1,1),IPCA!$A$5:$A$313,0))</f>
        <v/>
      </c>
      <c r="N219" s="15">
        <f>IF(L219&gt;Distrato!$B$3,D219,D219*M219)</f>
        <v/>
      </c>
    </row>
    <row r="220">
      <c r="A220" s="33" t="inlineStr">
        <is>
          <t>15/04/2019</t>
        </is>
      </c>
      <c r="B220" s="33" t="inlineStr">
        <is>
          <t>TOTAL CENTRO DE DISTRIBUICAO INTEGRADA LTDA - 12.460.301/0001-87</t>
        </is>
      </c>
      <c r="C220" s="33" t="inlineStr">
        <is>
          <t>FRUGIS REPRESENTACOES LTDA - 11.989.186/0001-70</t>
        </is>
      </c>
      <c r="D220" s="34">
        <f>G220</f>
        <v/>
      </c>
      <c r="E220" s="33" t="inlineStr">
        <is>
          <t>03/2019</t>
        </is>
      </c>
      <c r="F220" s="35" t="n"/>
      <c r="G220" s="35" t="n">
        <v>14029.01</v>
      </c>
      <c r="H220" s="34" t="n"/>
      <c r="I220" s="33" t="inlineStr">
        <is>
          <t>Complementado (não existia na base)</t>
        </is>
      </c>
      <c r="J220" s="33" t="inlineStr">
        <is>
          <t>Extrato conta corrente - Tenda</t>
        </is>
      </c>
      <c r="K220" s="33">
        <f>VALUE(RIGHT(A220,4))</f>
        <v/>
      </c>
      <c r="L220" s="16">
        <f>DATE(VALUE(RIGHT(A220,4)),VALUE(MID(A220,4,2)),1)</f>
        <v/>
      </c>
      <c r="M220" s="17">
        <f>INDEX(IPCA!$D$5:$D$313,MATCH(Distrato!$B$3,IPCA!$A$5:$A$313,0))/INDEX(IPCA!$D$5:$D$313,MATCH(DATE(YEAR(L220),MONTH(L220)-1,1),IPCA!$A$5:$A$313,0))</f>
        <v/>
      </c>
      <c r="N220" s="15">
        <f>IF(L220&gt;Distrato!$B$3,D220,D220*M220)</f>
        <v/>
      </c>
    </row>
    <row r="221">
      <c r="A221" s="33" t="inlineStr">
        <is>
          <t>15/05/2019</t>
        </is>
      </c>
      <c r="B221" s="33" t="inlineStr">
        <is>
          <t>TOTAL CENTRO DE DISTRIBUICAO INTEGRADA LTDA - 12.460.301/0001-87</t>
        </is>
      </c>
      <c r="C221" s="33" t="inlineStr">
        <is>
          <t>FRUGIS REPRESENTACOES LTDA - 11.989.186/0001-70</t>
        </is>
      </c>
      <c r="D221" s="34">
        <f>G221</f>
        <v/>
      </c>
      <c r="E221" s="33" t="inlineStr">
        <is>
          <t>04/2019</t>
        </is>
      </c>
      <c r="F221" s="35" t="n"/>
      <c r="G221" s="35" t="n">
        <v>21233.78</v>
      </c>
      <c r="H221" s="34" t="n"/>
      <c r="I221" s="33" t="inlineStr">
        <is>
          <t>Complementado (não existia na base)</t>
        </is>
      </c>
      <c r="J221" s="33" t="inlineStr">
        <is>
          <t>Extrato conta corrente - Tenda</t>
        </is>
      </c>
      <c r="K221" s="33">
        <f>VALUE(RIGHT(A221,4))</f>
        <v/>
      </c>
      <c r="L221" s="16">
        <f>DATE(VALUE(RIGHT(A221,4)),VALUE(MID(A221,4,2)),1)</f>
        <v/>
      </c>
      <c r="M221" s="17">
        <f>INDEX(IPCA!$D$5:$D$313,MATCH(Distrato!$B$3,IPCA!$A$5:$A$313,0))/INDEX(IPCA!$D$5:$D$313,MATCH(DATE(YEAR(L221),MONTH(L221)-1,1),IPCA!$A$5:$A$313,0))</f>
        <v/>
      </c>
      <c r="N221" s="15">
        <f>IF(L221&gt;Distrato!$B$3,D221,D221*M221)</f>
        <v/>
      </c>
    </row>
    <row r="222">
      <c r="A222" s="33" t="inlineStr">
        <is>
          <t>15/06/2019</t>
        </is>
      </c>
      <c r="B222" s="33" t="inlineStr">
        <is>
          <t>TOTAL CENTRO DE DISTRIBUICAO INTEGRADA LTDA - 12.460.301/0001-87</t>
        </is>
      </c>
      <c r="C222" s="33" t="inlineStr">
        <is>
          <t>FRUGIS REPRESENTACOES LTDA - 11.989.186/0001-70</t>
        </is>
      </c>
      <c r="D222" s="34">
        <f>G222</f>
        <v/>
      </c>
      <c r="E222" s="33" t="inlineStr">
        <is>
          <t>05/2019</t>
        </is>
      </c>
      <c r="F222" s="35" t="n"/>
      <c r="G222" s="35" t="n">
        <v>17526.25</v>
      </c>
      <c r="H222" s="34" t="n"/>
      <c r="I222" s="33" t="inlineStr">
        <is>
          <t>Complementado (não existia na base)</t>
        </is>
      </c>
      <c r="J222" s="33" t="inlineStr">
        <is>
          <t>Extrato conta corrente - Tenda</t>
        </is>
      </c>
      <c r="K222" s="33">
        <f>VALUE(RIGHT(A222,4))</f>
        <v/>
      </c>
      <c r="L222" s="16">
        <f>DATE(VALUE(RIGHT(A222,4)),VALUE(MID(A222,4,2)),1)</f>
        <v/>
      </c>
      <c r="M222" s="17">
        <f>INDEX(IPCA!$D$5:$D$313,MATCH(Distrato!$B$3,IPCA!$A$5:$A$313,0))/INDEX(IPCA!$D$5:$D$313,MATCH(DATE(YEAR(L222),MONTH(L222)-1,1),IPCA!$A$5:$A$313,0))</f>
        <v/>
      </c>
      <c r="N222" s="15">
        <f>IF(L222&gt;Distrato!$B$3,D222,D222*M222)</f>
        <v/>
      </c>
    </row>
    <row r="223">
      <c r="A223" s="33" t="inlineStr">
        <is>
          <t>15/07/2019</t>
        </is>
      </c>
      <c r="B223" s="33" t="inlineStr">
        <is>
          <t>TOTAL CENTRO DE DISTRIBUICAO INTEGRADA LTDA - 12.460.301/0001-87</t>
        </is>
      </c>
      <c r="C223" s="33" t="inlineStr">
        <is>
          <t>FRUGIS REPRESENTACOES LTDA - 11.989.186/0001-70</t>
        </is>
      </c>
      <c r="D223" s="34">
        <f>G223</f>
        <v/>
      </c>
      <c r="E223" s="33" t="inlineStr">
        <is>
          <t>06/2019</t>
        </is>
      </c>
      <c r="F223" s="35" t="n"/>
      <c r="G223" s="35" t="n">
        <v>17259.12</v>
      </c>
      <c r="H223" s="34" t="n"/>
      <c r="I223" s="33" t="inlineStr">
        <is>
          <t>Complementado (não existia na base)</t>
        </is>
      </c>
      <c r="J223" s="33" t="inlineStr">
        <is>
          <t>Extrato conta corrente - Tenda</t>
        </is>
      </c>
      <c r="K223" s="33">
        <f>VALUE(RIGHT(A223,4))</f>
        <v/>
      </c>
      <c r="L223" s="16">
        <f>DATE(VALUE(RIGHT(A223,4)),VALUE(MID(A223,4,2)),1)</f>
        <v/>
      </c>
      <c r="M223" s="17">
        <f>INDEX(IPCA!$D$5:$D$313,MATCH(Distrato!$B$3,IPCA!$A$5:$A$313,0))/INDEX(IPCA!$D$5:$D$313,MATCH(DATE(YEAR(L223),MONTH(L223)-1,1),IPCA!$A$5:$A$313,0))</f>
        <v/>
      </c>
      <c r="N223" s="15">
        <f>IF(L223&gt;Distrato!$B$3,D223,D223*M223)</f>
        <v/>
      </c>
    </row>
    <row r="224">
      <c r="A224" s="33" t="inlineStr">
        <is>
          <t>15/08/2019</t>
        </is>
      </c>
      <c r="B224" s="33" t="inlineStr">
        <is>
          <t>TOTAL CENTRO DE DISTRIBUICAO INTEGRADA LTDA - 12.460.301/0001-87</t>
        </is>
      </c>
      <c r="C224" s="33" t="inlineStr">
        <is>
          <t>FRUGIS REPRESENTACOES LTDA - 11.989.186/0001-70</t>
        </is>
      </c>
      <c r="D224" s="34">
        <f>G224</f>
        <v/>
      </c>
      <c r="E224" s="33" t="inlineStr">
        <is>
          <t>07/2019</t>
        </is>
      </c>
      <c r="F224" s="35" t="n"/>
      <c r="G224" s="35" t="n">
        <v>15429.02</v>
      </c>
      <c r="H224" s="34" t="n"/>
      <c r="I224" s="33" t="inlineStr">
        <is>
          <t>Complementado (não existia na base)</t>
        </is>
      </c>
      <c r="J224" s="33" t="inlineStr">
        <is>
          <t>Extrato conta corrente - Tenda</t>
        </is>
      </c>
      <c r="K224" s="33">
        <f>VALUE(RIGHT(A224,4))</f>
        <v/>
      </c>
      <c r="L224" s="16">
        <f>DATE(VALUE(RIGHT(A224,4)),VALUE(MID(A224,4,2)),1)</f>
        <v/>
      </c>
      <c r="M224" s="17">
        <f>INDEX(IPCA!$D$5:$D$313,MATCH(Distrato!$B$3,IPCA!$A$5:$A$313,0))/INDEX(IPCA!$D$5:$D$313,MATCH(DATE(YEAR(L224),MONTH(L224)-1,1),IPCA!$A$5:$A$313,0))</f>
        <v/>
      </c>
      <c r="N224" s="15">
        <f>IF(L224&gt;Distrato!$B$3,D224,D224*M224)</f>
        <v/>
      </c>
    </row>
    <row r="225">
      <c r="A225" s="33" t="inlineStr">
        <is>
          <t>15/09/2019</t>
        </is>
      </c>
      <c r="B225" s="33" t="inlineStr">
        <is>
          <t>TOTAL CENTRO DE DISTRIBUICAO INTEGRADA LTDA - 12.460.301/0001-87</t>
        </is>
      </c>
      <c r="C225" s="33" t="inlineStr">
        <is>
          <t>FRUGIS REPRESENTACOES LTDA - 11.989.186/0001-70</t>
        </is>
      </c>
      <c r="D225" s="34">
        <f>G225</f>
        <v/>
      </c>
      <c r="E225" s="33" t="inlineStr">
        <is>
          <t>08/2019</t>
        </is>
      </c>
      <c r="F225" s="35" t="n"/>
      <c r="G225" s="35" t="n">
        <v>8014.05</v>
      </c>
      <c r="H225" s="34" t="n"/>
      <c r="I225" s="33" t="inlineStr">
        <is>
          <t>Complementado (não existia na base)</t>
        </is>
      </c>
      <c r="J225" s="33" t="inlineStr">
        <is>
          <t>Extrato conta corrente - Tenda</t>
        </is>
      </c>
      <c r="K225" s="33">
        <f>VALUE(RIGHT(A225,4))</f>
        <v/>
      </c>
      <c r="L225" s="16">
        <f>DATE(VALUE(RIGHT(A225,4)),VALUE(MID(A225,4,2)),1)</f>
        <v/>
      </c>
      <c r="M225" s="17">
        <f>INDEX(IPCA!$D$5:$D$313,MATCH(Distrato!$B$3,IPCA!$A$5:$A$313,0))/INDEX(IPCA!$D$5:$D$313,MATCH(DATE(YEAR(L225),MONTH(L225)-1,1),IPCA!$A$5:$A$313,0))</f>
        <v/>
      </c>
      <c r="N225" s="15">
        <f>IF(L225&gt;Distrato!$B$3,D225,D225*M225)</f>
        <v/>
      </c>
    </row>
    <row r="226">
      <c r="A226" s="33" t="inlineStr">
        <is>
          <t>15/10/2019</t>
        </is>
      </c>
      <c r="B226" s="33" t="inlineStr">
        <is>
          <t>TOTAL CENTRO DE DISTRIBUICAO INTEGRADA LTDA - 12.460.301/0001-87</t>
        </is>
      </c>
      <c r="C226" s="33" t="inlineStr">
        <is>
          <t>FRUGIS REPRESENTACOES LTDA - 11.989.186/0001-70</t>
        </is>
      </c>
      <c r="D226" s="34">
        <f>G226</f>
        <v/>
      </c>
      <c r="E226" s="33" t="inlineStr">
        <is>
          <t>09/2019</t>
        </is>
      </c>
      <c r="F226" s="35" t="n"/>
      <c r="G226" s="35" t="n">
        <v>31375.59</v>
      </c>
      <c r="H226" s="34" t="n"/>
      <c r="I226" s="33" t="inlineStr">
        <is>
          <t>Complementado (não existia na base)</t>
        </is>
      </c>
      <c r="J226" s="33" t="inlineStr">
        <is>
          <t>Extrato conta corrente - Tenda</t>
        </is>
      </c>
      <c r="K226" s="33">
        <f>VALUE(RIGHT(A226,4))</f>
        <v/>
      </c>
      <c r="L226" s="16">
        <f>DATE(VALUE(RIGHT(A226,4)),VALUE(MID(A226,4,2)),1)</f>
        <v/>
      </c>
      <c r="M226" s="17">
        <f>INDEX(IPCA!$D$5:$D$313,MATCH(Distrato!$B$3,IPCA!$A$5:$A$313,0))/INDEX(IPCA!$D$5:$D$313,MATCH(DATE(YEAR(L226),MONTH(L226)-1,1),IPCA!$A$5:$A$313,0))</f>
        <v/>
      </c>
      <c r="N226" s="15">
        <f>IF(L226&gt;Distrato!$B$3,D226,D226*M226)</f>
        <v/>
      </c>
    </row>
    <row r="227">
      <c r="A227" s="33" t="inlineStr">
        <is>
          <t>15/11/2019</t>
        </is>
      </c>
      <c r="B227" s="33" t="inlineStr">
        <is>
          <t>TOTAL CENTRO DE DISTRIBUICAO INTEGRADA LTDA - 12.460.301/0001-87</t>
        </is>
      </c>
      <c r="C227" s="33" t="inlineStr">
        <is>
          <t>FRUGIS REPRESENTACOES LTDA - 11.989.186/0001-70</t>
        </is>
      </c>
      <c r="D227" s="34">
        <f>G227</f>
        <v/>
      </c>
      <c r="E227" s="33" t="inlineStr">
        <is>
          <t>10/2019</t>
        </is>
      </c>
      <c r="F227" s="35" t="n"/>
      <c r="G227" s="35" t="n">
        <v>24170.86</v>
      </c>
      <c r="H227" s="34" t="n"/>
      <c r="I227" s="33" t="inlineStr">
        <is>
          <t>Complementado (não existia na base)</t>
        </is>
      </c>
      <c r="J227" s="33" t="inlineStr">
        <is>
          <t>Extrato conta corrente - Tenda</t>
        </is>
      </c>
      <c r="K227" s="33">
        <f>VALUE(RIGHT(A227,4))</f>
        <v/>
      </c>
      <c r="L227" s="16">
        <f>DATE(VALUE(RIGHT(A227,4)),VALUE(MID(A227,4,2)),1)</f>
        <v/>
      </c>
      <c r="M227" s="17">
        <f>INDEX(IPCA!$D$5:$D$313,MATCH(Distrato!$B$3,IPCA!$A$5:$A$313,0))/INDEX(IPCA!$D$5:$D$313,MATCH(DATE(YEAR(L227),MONTH(L227)-1,1),IPCA!$A$5:$A$313,0))</f>
        <v/>
      </c>
      <c r="N227" s="15">
        <f>IF(L227&gt;Distrato!$B$3,D227,D227*M227)</f>
        <v/>
      </c>
    </row>
    <row r="228">
      <c r="A228" s="33" t="inlineStr">
        <is>
          <t>15/12/2019</t>
        </is>
      </c>
      <c r="B228" s="33" t="inlineStr">
        <is>
          <t>TOTAL CENTRO DE DISTRIBUICAO INTEGRADA LTDA - 12.460.301/0001-87</t>
        </is>
      </c>
      <c r="C228" s="33" t="inlineStr">
        <is>
          <t>FRUGIS REPRESENTACOES LTDA - 11.989.186/0001-70</t>
        </is>
      </c>
      <c r="D228" s="34">
        <f>G228</f>
        <v/>
      </c>
      <c r="E228" s="33" t="inlineStr">
        <is>
          <t>11/2019</t>
        </is>
      </c>
      <c r="F228" s="35" t="n"/>
      <c r="G228" s="35" t="n">
        <v>37474.07</v>
      </c>
      <c r="H228" s="34" t="n"/>
      <c r="I228" s="33" t="inlineStr">
        <is>
          <t>Complementado (não existia na base)</t>
        </is>
      </c>
      <c r="J228" s="33" t="inlineStr">
        <is>
          <t>Extrato conta corrente - Tenda</t>
        </is>
      </c>
      <c r="K228" s="33">
        <f>VALUE(RIGHT(A228,4))</f>
        <v/>
      </c>
      <c r="L228" s="16">
        <f>DATE(VALUE(RIGHT(A228,4)),VALUE(MID(A228,4,2)),1)</f>
        <v/>
      </c>
      <c r="M228" s="17">
        <f>INDEX(IPCA!$D$5:$D$313,MATCH(Distrato!$B$3,IPCA!$A$5:$A$313,0))/INDEX(IPCA!$D$5:$D$313,MATCH(DATE(YEAR(L228),MONTH(L228)-1,1),IPCA!$A$5:$A$313,0))</f>
        <v/>
      </c>
      <c r="N228" s="15">
        <f>IF(L228&gt;Distrato!$B$3,D228,D228*M228)</f>
        <v/>
      </c>
    </row>
    <row r="229">
      <c r="A229" s="33" t="inlineStr">
        <is>
          <t>15/01/2020</t>
        </is>
      </c>
      <c r="B229" s="33" t="inlineStr">
        <is>
          <t>TOTAL CENTRO DE DISTRIBUICAO INTEGRADA LTDA - 12.460.301/0001-87</t>
        </is>
      </c>
      <c r="C229" s="33" t="inlineStr">
        <is>
          <t>FRUGIS REPRESENTACOES LTDA - 11.989.186/0001-70</t>
        </is>
      </c>
      <c r="D229" s="34">
        <f>G229</f>
        <v/>
      </c>
      <c r="E229" s="33" t="inlineStr">
        <is>
          <t>12/2019</t>
        </is>
      </c>
      <c r="F229" s="35" t="n"/>
      <c r="G229" s="35" t="n">
        <v>21231.7</v>
      </c>
      <c r="H229" s="34" t="n"/>
      <c r="I229" s="33" t="inlineStr">
        <is>
          <t>Complementado (não existia na base)</t>
        </is>
      </c>
      <c r="J229" s="33" t="inlineStr">
        <is>
          <t>Extrato conta corrente - Tenda</t>
        </is>
      </c>
      <c r="K229" s="33">
        <f>VALUE(RIGHT(A229,4))</f>
        <v/>
      </c>
      <c r="L229" s="16">
        <f>DATE(VALUE(RIGHT(A229,4)),VALUE(MID(A229,4,2)),1)</f>
        <v/>
      </c>
      <c r="M229" s="17">
        <f>INDEX(IPCA!$D$5:$D$313,MATCH(Distrato!$B$3,IPCA!$A$5:$A$313,0))/INDEX(IPCA!$D$5:$D$313,MATCH(DATE(YEAR(L229),MONTH(L229)-1,1),IPCA!$A$5:$A$313,0))</f>
        <v/>
      </c>
      <c r="N229" s="15">
        <f>IF(L229&gt;Distrato!$B$3,D229,D229*M229)</f>
        <v/>
      </c>
    </row>
    <row r="230">
      <c r="A230" s="33" t="inlineStr">
        <is>
          <t>15/02/2020</t>
        </is>
      </c>
      <c r="B230" s="33" t="inlineStr">
        <is>
          <t>TOTAL CENTRO DE DISTRIBUICAO INTEGRADA LTDA - 12.460.301/0001-87</t>
        </is>
      </c>
      <c r="C230" s="33" t="inlineStr">
        <is>
          <t>FRUGIS REPRESENTACOES LTDA - 11.989.186/0001-70</t>
        </is>
      </c>
      <c r="D230" s="34">
        <f>G230</f>
        <v/>
      </c>
      <c r="E230" s="33" t="inlineStr">
        <is>
          <t>01/2020</t>
        </is>
      </c>
      <c r="F230" s="35" t="n"/>
      <c r="G230" s="35" t="n">
        <v>20788.47</v>
      </c>
      <c r="H230" s="34" t="n"/>
      <c r="I230" s="33" t="inlineStr">
        <is>
          <t>Complementado (não existia na base)</t>
        </is>
      </c>
      <c r="J230" s="33" t="inlineStr">
        <is>
          <t>Extrato conta corrente - Tenda</t>
        </is>
      </c>
      <c r="K230" s="33">
        <f>VALUE(RIGHT(A230,4))</f>
        <v/>
      </c>
      <c r="L230" s="16">
        <f>DATE(VALUE(RIGHT(A230,4)),VALUE(MID(A230,4,2)),1)</f>
        <v/>
      </c>
      <c r="M230" s="17">
        <f>INDEX(IPCA!$D$5:$D$313,MATCH(Distrato!$B$3,IPCA!$A$5:$A$313,0))/INDEX(IPCA!$D$5:$D$313,MATCH(DATE(YEAR(L230),MONTH(L230)-1,1),IPCA!$A$5:$A$313,0))</f>
        <v/>
      </c>
      <c r="N230" s="15">
        <f>IF(L230&gt;Distrato!$B$3,D230,D230*M230)</f>
        <v/>
      </c>
    </row>
    <row r="231">
      <c r="A231" s="33" t="inlineStr">
        <is>
          <t>15/03/2020</t>
        </is>
      </c>
      <c r="B231" s="33" t="inlineStr">
        <is>
          <t>TOTAL CENTRO DE DISTRIBUICAO INTEGRADA LTDA - 12.460.301/0001-87</t>
        </is>
      </c>
      <c r="C231" s="33" t="inlineStr">
        <is>
          <t>FRUGIS REPRESENTACOES LTDA - 11.989.186/0001-70</t>
        </is>
      </c>
      <c r="D231" s="34">
        <f>G231</f>
        <v/>
      </c>
      <c r="E231" s="33" t="inlineStr">
        <is>
          <t>02/2020</t>
        </is>
      </c>
      <c r="F231" s="35" t="n"/>
      <c r="G231" s="35" t="n">
        <v>11132.21</v>
      </c>
      <c r="H231" s="34" t="n"/>
      <c r="I231" s="33" t="inlineStr">
        <is>
          <t>Complementado (não existia na base)</t>
        </is>
      </c>
      <c r="J231" s="33" t="inlineStr">
        <is>
          <t>Extrato conta corrente - Tenda</t>
        </is>
      </c>
      <c r="K231" s="33">
        <f>VALUE(RIGHT(A231,4))</f>
        <v/>
      </c>
      <c r="L231" s="16">
        <f>DATE(VALUE(RIGHT(A231,4)),VALUE(MID(A231,4,2)),1)</f>
        <v/>
      </c>
      <c r="M231" s="17">
        <f>INDEX(IPCA!$D$5:$D$313,MATCH(Distrato!$B$3,IPCA!$A$5:$A$313,0))/INDEX(IPCA!$D$5:$D$313,MATCH(DATE(YEAR(L231),MONTH(L231)-1,1),IPCA!$A$5:$A$313,0))</f>
        <v/>
      </c>
      <c r="N231" s="15">
        <f>IF(L231&gt;Distrato!$B$3,D231,D231*M231)</f>
        <v/>
      </c>
    </row>
    <row r="232">
      <c r="A232" s="33" t="inlineStr">
        <is>
          <t>15/04/2020</t>
        </is>
      </c>
      <c r="B232" s="33" t="inlineStr">
        <is>
          <t>TOTAL CENTRO DE DISTRIBUICAO INTEGRADA LTDA - 12.460.301/0001-87</t>
        </is>
      </c>
      <c r="C232" s="33" t="inlineStr">
        <is>
          <t>FRUGIS REPRESENTACOES LTDA - 11.989.186/0001-70</t>
        </is>
      </c>
      <c r="D232" s="34">
        <f>G232</f>
        <v/>
      </c>
      <c r="E232" s="33" t="inlineStr">
        <is>
          <t>03/2020</t>
        </is>
      </c>
      <c r="F232" s="35" t="n"/>
      <c r="G232" s="35" t="n">
        <v>17055.62</v>
      </c>
      <c r="H232" s="34" t="n"/>
      <c r="I232" s="33" t="inlineStr">
        <is>
          <t>Complementado (não existia na base)</t>
        </is>
      </c>
      <c r="J232" s="33" t="inlineStr">
        <is>
          <t>Extrato conta corrente - Tenda</t>
        </is>
      </c>
      <c r="K232" s="33">
        <f>VALUE(RIGHT(A232,4))</f>
        <v/>
      </c>
      <c r="L232" s="16">
        <f>DATE(VALUE(RIGHT(A232,4)),VALUE(MID(A232,4,2)),1)</f>
        <v/>
      </c>
      <c r="M232" s="17">
        <f>INDEX(IPCA!$D$5:$D$313,MATCH(Distrato!$B$3,IPCA!$A$5:$A$313,0))/INDEX(IPCA!$D$5:$D$313,MATCH(DATE(YEAR(L232),MONTH(L232)-1,1),IPCA!$A$5:$A$313,0))</f>
        <v/>
      </c>
      <c r="N232" s="15">
        <f>IF(L232&gt;Distrato!$B$3,D232,D232*M232)</f>
        <v/>
      </c>
    </row>
    <row r="233">
      <c r="A233" s="33" t="inlineStr">
        <is>
          <t>15/05/2020</t>
        </is>
      </c>
      <c r="B233" s="33" t="inlineStr">
        <is>
          <t>TOTAL CENTRO DE DISTRIBUICAO INTEGRADA LTDA - 12.460.301/0001-87</t>
        </is>
      </c>
      <c r="C233" s="33" t="inlineStr">
        <is>
          <t>FRUGIS REPRESENTACOES LTDA - 11.989.186/0001-70</t>
        </is>
      </c>
      <c r="D233" s="34">
        <f>G233</f>
        <v/>
      </c>
      <c r="E233" s="33" t="inlineStr">
        <is>
          <t>04/2020</t>
        </is>
      </c>
      <c r="F233" s="35" t="n"/>
      <c r="G233" s="35" t="n">
        <v>20717.44</v>
      </c>
      <c r="H233" s="34" t="n"/>
      <c r="I233" s="33" t="inlineStr">
        <is>
          <t>Complementado (não existia na base)</t>
        </is>
      </c>
      <c r="J233" s="33" t="inlineStr">
        <is>
          <t>Extrato conta corrente - Tenda</t>
        </is>
      </c>
      <c r="K233" s="33">
        <f>VALUE(RIGHT(A233,4))</f>
        <v/>
      </c>
      <c r="L233" s="16">
        <f>DATE(VALUE(RIGHT(A233,4)),VALUE(MID(A233,4,2)),1)</f>
        <v/>
      </c>
      <c r="M233" s="17">
        <f>INDEX(IPCA!$D$5:$D$313,MATCH(Distrato!$B$3,IPCA!$A$5:$A$313,0))/INDEX(IPCA!$D$5:$D$313,MATCH(DATE(YEAR(L233),MONTH(L233)-1,1),IPCA!$A$5:$A$313,0))</f>
        <v/>
      </c>
      <c r="N233" s="15">
        <f>IF(L233&gt;Distrato!$B$3,D233,D233*M233)</f>
        <v/>
      </c>
    </row>
    <row r="234">
      <c r="A234" s="33" t="inlineStr">
        <is>
          <t>15/06/2020</t>
        </is>
      </c>
      <c r="B234" s="33" t="inlineStr">
        <is>
          <t>TOTAL CENTRO DE DISTRIBUICAO INTEGRADA LTDA - 12.460.301/0001-87</t>
        </is>
      </c>
      <c r="C234" s="33" t="inlineStr">
        <is>
          <t>FRUGIS REPRESENTACOES LTDA - 11.989.186/0001-70</t>
        </is>
      </c>
      <c r="D234" s="34">
        <f>G234</f>
        <v/>
      </c>
      <c r="E234" s="33" t="inlineStr">
        <is>
          <t>05/2020</t>
        </is>
      </c>
      <c r="F234" s="35" t="n"/>
      <c r="G234" s="35" t="n">
        <v>55534.04</v>
      </c>
      <c r="H234" s="34" t="n"/>
      <c r="I234" s="33" t="inlineStr">
        <is>
          <t>Complementado (não existia na base)</t>
        </is>
      </c>
      <c r="J234" s="33" t="inlineStr">
        <is>
          <t>Extrato conta corrente - Tenda</t>
        </is>
      </c>
      <c r="K234" s="33">
        <f>VALUE(RIGHT(A234,4))</f>
        <v/>
      </c>
      <c r="L234" s="16">
        <f>DATE(VALUE(RIGHT(A234,4)),VALUE(MID(A234,4,2)),1)</f>
        <v/>
      </c>
      <c r="M234" s="17">
        <f>INDEX(IPCA!$D$5:$D$313,MATCH(Distrato!$B$3,IPCA!$A$5:$A$313,0))/INDEX(IPCA!$D$5:$D$313,MATCH(DATE(YEAR(L234),MONTH(L234)-1,1),IPCA!$A$5:$A$313,0))</f>
        <v/>
      </c>
      <c r="N234" s="15">
        <f>IF(L234&gt;Distrato!$B$3,D234,D234*M234)</f>
        <v/>
      </c>
    </row>
    <row r="235">
      <c r="A235" s="33" t="inlineStr">
        <is>
          <t>15/07/2020</t>
        </is>
      </c>
      <c r="B235" s="33" t="inlineStr">
        <is>
          <t>TOTAL CENTRO DE DISTRIBUICAO INTEGRADA LTDA - 12.460.301/0001-87</t>
        </is>
      </c>
      <c r="C235" s="33" t="inlineStr">
        <is>
          <t>FRUGIS REPRESENTACOES LTDA - 11.989.186/0001-70</t>
        </is>
      </c>
      <c r="D235" s="34">
        <f>G235</f>
        <v/>
      </c>
      <c r="E235" s="33" t="inlineStr">
        <is>
          <t>06/2020</t>
        </is>
      </c>
      <c r="F235" s="35" t="n"/>
      <c r="G235" s="35" t="n">
        <v>29876.01</v>
      </c>
      <c r="H235" s="34" t="n"/>
      <c r="I235" s="33" t="inlineStr">
        <is>
          <t>Complementado (não existia na base)</t>
        </is>
      </c>
      <c r="J235" s="33" t="inlineStr">
        <is>
          <t>Extrato conta corrente - Tenda</t>
        </is>
      </c>
      <c r="K235" s="33">
        <f>VALUE(RIGHT(A235,4))</f>
        <v/>
      </c>
      <c r="L235" s="16">
        <f>DATE(VALUE(RIGHT(A235,4)),VALUE(MID(A235,4,2)),1)</f>
        <v/>
      </c>
      <c r="M235" s="17">
        <f>INDEX(IPCA!$D$5:$D$313,MATCH(Distrato!$B$3,IPCA!$A$5:$A$313,0))/INDEX(IPCA!$D$5:$D$313,MATCH(DATE(YEAR(L235),MONTH(L235)-1,1),IPCA!$A$5:$A$313,0))</f>
        <v/>
      </c>
      <c r="N235" s="15">
        <f>IF(L235&gt;Distrato!$B$3,D235,D235*M235)</f>
        <v/>
      </c>
    </row>
    <row r="236">
      <c r="A236" s="33" t="inlineStr">
        <is>
          <t>15/08/2020</t>
        </is>
      </c>
      <c r="B236" s="33" t="inlineStr">
        <is>
          <t>TOTAL CENTRO DE DISTRIBUICAO INTEGRADA LTDA - 12.460.301/0001-87</t>
        </is>
      </c>
      <c r="C236" s="33" t="inlineStr">
        <is>
          <t>FRUGIS REPRESENTACOES LTDA - 11.989.186/0001-70</t>
        </is>
      </c>
      <c r="D236" s="34">
        <f>G236</f>
        <v/>
      </c>
      <c r="E236" s="33" t="inlineStr">
        <is>
          <t>07/2020</t>
        </is>
      </c>
      <c r="F236" s="35" t="n"/>
      <c r="G236" s="35" t="n">
        <v>34489.73</v>
      </c>
      <c r="H236" s="34" t="n"/>
      <c r="I236" s="33" t="inlineStr">
        <is>
          <t>Complementado (não existia na base)</t>
        </is>
      </c>
      <c r="J236" s="33" t="inlineStr">
        <is>
          <t>Extrato conta corrente - Tenda</t>
        </is>
      </c>
      <c r="K236" s="33">
        <f>VALUE(RIGHT(A236,4))</f>
        <v/>
      </c>
      <c r="L236" s="16">
        <f>DATE(VALUE(RIGHT(A236,4)),VALUE(MID(A236,4,2)),1)</f>
        <v/>
      </c>
      <c r="M236" s="17">
        <f>INDEX(IPCA!$D$5:$D$313,MATCH(Distrato!$B$3,IPCA!$A$5:$A$313,0))/INDEX(IPCA!$D$5:$D$313,MATCH(DATE(YEAR(L236),MONTH(L236)-1,1),IPCA!$A$5:$A$313,0))</f>
        <v/>
      </c>
      <c r="N236" s="15">
        <f>IF(L236&gt;Distrato!$B$3,D236,D236*M236)</f>
        <v/>
      </c>
    </row>
    <row r="237">
      <c r="A237" s="33" t="inlineStr">
        <is>
          <t>15/09/2020</t>
        </is>
      </c>
      <c r="B237" s="33" t="inlineStr">
        <is>
          <t>TOTAL CENTRO DE DISTRIBUICAO INTEGRADA LTDA - 12.460.301/0001-87</t>
        </is>
      </c>
      <c r="C237" s="33" t="inlineStr">
        <is>
          <t>FRUGIS REPRESENTACOES LTDA - 11.989.186/0001-70</t>
        </is>
      </c>
      <c r="D237" s="34">
        <f>G237</f>
        <v/>
      </c>
      <c r="E237" s="33" t="inlineStr">
        <is>
          <t>08/2020</t>
        </is>
      </c>
      <c r="F237" s="35" t="n"/>
      <c r="G237" s="35" t="n">
        <v>14638.42</v>
      </c>
      <c r="H237" s="34" t="n"/>
      <c r="I237" s="33" t="inlineStr">
        <is>
          <t>Complementado (não existia na base)</t>
        </is>
      </c>
      <c r="J237" s="33" t="inlineStr">
        <is>
          <t>Extrato conta corrente - Tenda</t>
        </is>
      </c>
      <c r="K237" s="33">
        <f>VALUE(RIGHT(A237,4))</f>
        <v/>
      </c>
      <c r="L237" s="16">
        <f>DATE(VALUE(RIGHT(A237,4)),VALUE(MID(A237,4,2)),1)</f>
        <v/>
      </c>
      <c r="M237" s="17">
        <f>INDEX(IPCA!$D$5:$D$313,MATCH(Distrato!$B$3,IPCA!$A$5:$A$313,0))/INDEX(IPCA!$D$5:$D$313,MATCH(DATE(YEAR(L237),MONTH(L237)-1,1),IPCA!$A$5:$A$313,0))</f>
        <v/>
      </c>
      <c r="N237" s="15">
        <f>IF(L237&gt;Distrato!$B$3,D237,D237*M237)</f>
        <v/>
      </c>
    </row>
    <row r="238">
      <c r="A238" s="33" t="inlineStr">
        <is>
          <t>15/10/2020</t>
        </is>
      </c>
      <c r="B238" s="33" t="inlineStr">
        <is>
          <t>TOTAL CENTRO DE DISTRIBUICAO INTEGRADA LTDA - 12.460.301/0001-87</t>
        </is>
      </c>
      <c r="C238" s="33" t="inlineStr">
        <is>
          <t>FRUGIS REPRESENTACOES LTDA - 11.989.186/0001-70</t>
        </is>
      </c>
      <c r="D238" s="34">
        <f>G238</f>
        <v/>
      </c>
      <c r="E238" s="33" t="inlineStr">
        <is>
          <t>09/2020</t>
        </is>
      </c>
      <c r="F238" s="35" t="n"/>
      <c r="G238" s="35" t="n">
        <v>15194.29</v>
      </c>
      <c r="H238" s="34" t="n"/>
      <c r="I238" s="33" t="inlineStr">
        <is>
          <t>Complementado (não existia na base)</t>
        </is>
      </c>
      <c r="J238" s="33" t="inlineStr">
        <is>
          <t>Extrato conta corrente - Tenda</t>
        </is>
      </c>
      <c r="K238" s="33">
        <f>VALUE(RIGHT(A238,4))</f>
        <v/>
      </c>
      <c r="L238" s="16">
        <f>DATE(VALUE(RIGHT(A238,4)),VALUE(MID(A238,4,2)),1)</f>
        <v/>
      </c>
      <c r="M238" s="17">
        <f>INDEX(IPCA!$D$5:$D$313,MATCH(Distrato!$B$3,IPCA!$A$5:$A$313,0))/INDEX(IPCA!$D$5:$D$313,MATCH(DATE(YEAR(L238),MONTH(L238)-1,1),IPCA!$A$5:$A$313,0))</f>
        <v/>
      </c>
      <c r="N238" s="15">
        <f>IF(L238&gt;Distrato!$B$3,D238,D238*M238)</f>
        <v/>
      </c>
    </row>
    <row r="239">
      <c r="A239" s="33" t="inlineStr">
        <is>
          <t>15/11/2020</t>
        </is>
      </c>
      <c r="B239" s="33" t="inlineStr">
        <is>
          <t>TOTAL CENTRO DE DISTRIBUICAO INTEGRADA LTDA - 12.460.301/0001-87</t>
        </is>
      </c>
      <c r="C239" s="33" t="inlineStr">
        <is>
          <t>FRUGIS REPRESENTACOES LTDA - 11.989.186/0001-70</t>
        </is>
      </c>
      <c r="D239" s="34">
        <f>G239</f>
        <v/>
      </c>
      <c r="E239" s="33" t="inlineStr">
        <is>
          <t>10/2020</t>
        </is>
      </c>
      <c r="F239" s="35" t="n"/>
      <c r="G239" s="35" t="n">
        <v>18268.27</v>
      </c>
      <c r="H239" s="34" t="n"/>
      <c r="I239" s="33" t="inlineStr">
        <is>
          <t>Complementado (não existia na base)</t>
        </is>
      </c>
      <c r="J239" s="33" t="inlineStr">
        <is>
          <t>Extrato conta corrente - Tenda</t>
        </is>
      </c>
      <c r="K239" s="33">
        <f>VALUE(RIGHT(A239,4))</f>
        <v/>
      </c>
      <c r="L239" s="16">
        <f>DATE(VALUE(RIGHT(A239,4)),VALUE(MID(A239,4,2)),1)</f>
        <v/>
      </c>
      <c r="M239" s="17">
        <f>INDEX(IPCA!$D$5:$D$313,MATCH(Distrato!$B$3,IPCA!$A$5:$A$313,0))/INDEX(IPCA!$D$5:$D$313,MATCH(DATE(YEAR(L239),MONTH(L239)-1,1),IPCA!$A$5:$A$313,0))</f>
        <v/>
      </c>
      <c r="N239" s="15">
        <f>IF(L239&gt;Distrato!$B$3,D239,D239*M239)</f>
        <v/>
      </c>
    </row>
    <row r="240">
      <c r="A240" s="33" t="inlineStr">
        <is>
          <t>15/12/2020</t>
        </is>
      </c>
      <c r="B240" s="33" t="inlineStr">
        <is>
          <t>TOTAL CENTRO DE DISTRIBUICAO INTEGRADA LTDA - 12.460.301/0001-87</t>
        </is>
      </c>
      <c r="C240" s="33" t="inlineStr">
        <is>
          <t>FRUGIS REPRESENTACOES LTDA - 11.989.186/0001-70</t>
        </is>
      </c>
      <c r="D240" s="34">
        <f>G240</f>
        <v/>
      </c>
      <c r="E240" s="33" t="inlineStr">
        <is>
          <t>11/2020</t>
        </is>
      </c>
      <c r="F240" s="35" t="n"/>
      <c r="G240" s="35" t="n">
        <v>14367.29</v>
      </c>
      <c r="H240" s="34" t="n"/>
      <c r="I240" s="33" t="inlineStr">
        <is>
          <t>Complementado (não existia na base)</t>
        </is>
      </c>
      <c r="J240" s="33" t="inlineStr">
        <is>
          <t>Extrato conta corrente - Tenda</t>
        </is>
      </c>
      <c r="K240" s="33">
        <f>VALUE(RIGHT(A240,4))</f>
        <v/>
      </c>
      <c r="L240" s="16">
        <f>DATE(VALUE(RIGHT(A240,4)),VALUE(MID(A240,4,2)),1)</f>
        <v/>
      </c>
      <c r="M240" s="17">
        <f>INDEX(IPCA!$D$5:$D$313,MATCH(Distrato!$B$3,IPCA!$A$5:$A$313,0))/INDEX(IPCA!$D$5:$D$313,MATCH(DATE(YEAR(L240),MONTH(L240)-1,1),IPCA!$A$5:$A$313,0))</f>
        <v/>
      </c>
      <c r="N240" s="15">
        <f>IF(L240&gt;Distrato!$B$3,D240,D240*M240)</f>
        <v/>
      </c>
    </row>
    <row r="241">
      <c r="A241" s="33" t="inlineStr">
        <is>
          <t>15/01/2021</t>
        </is>
      </c>
      <c r="B241" s="33" t="inlineStr">
        <is>
          <t>TOTAL CENTRO DE DISTRIBUICAO INTEGRADA LTDA - 12.460.301/0001-87</t>
        </is>
      </c>
      <c r="C241" s="33" t="inlineStr">
        <is>
          <t>FRUGIS REPRESENTACOES LTDA - 11.989.186/0001-70</t>
        </is>
      </c>
      <c r="D241" s="34">
        <f>G241</f>
        <v/>
      </c>
      <c r="E241" s="33" t="inlineStr">
        <is>
          <t>12/2020</t>
        </is>
      </c>
      <c r="F241" s="35" t="n"/>
      <c r="G241" s="35" t="n">
        <v>20950.58</v>
      </c>
      <c r="H241" s="34" t="n"/>
      <c r="I241" s="33" t="inlineStr">
        <is>
          <t>Complementado (não existia na base)</t>
        </is>
      </c>
      <c r="J241" s="33" t="inlineStr">
        <is>
          <t>Extrato conta corrente - Tenda</t>
        </is>
      </c>
      <c r="K241" s="33">
        <f>VALUE(RIGHT(A241,4))</f>
        <v/>
      </c>
      <c r="L241" s="16">
        <f>DATE(VALUE(RIGHT(A241,4)),VALUE(MID(A241,4,2)),1)</f>
        <v/>
      </c>
      <c r="M241" s="17">
        <f>INDEX(IPCA!$D$5:$D$313,MATCH(Distrato!$B$3,IPCA!$A$5:$A$313,0))/INDEX(IPCA!$D$5:$D$313,MATCH(DATE(YEAR(L241),MONTH(L241)-1,1),IPCA!$A$5:$A$313,0))</f>
        <v/>
      </c>
      <c r="N241" s="15">
        <f>IF(L241&gt;Distrato!$B$3,D241,D241*M241)</f>
        <v/>
      </c>
    </row>
    <row r="242">
      <c r="A242" s="33" t="inlineStr">
        <is>
          <t>15/02/2021</t>
        </is>
      </c>
      <c r="B242" s="33" t="inlineStr">
        <is>
          <t>TOTAL CENTRO DE DISTRIBUICAO INTEGRADA LTDA - 12.460.301/0001-87</t>
        </is>
      </c>
      <c r="C242" s="33" t="inlineStr">
        <is>
          <t>FRUGIS REPRESENTACOES LTDA - 11.989.186/0001-70</t>
        </is>
      </c>
      <c r="D242" s="34">
        <f>G242</f>
        <v/>
      </c>
      <c r="E242" s="33" t="inlineStr">
        <is>
          <t>01/2021</t>
        </is>
      </c>
      <c r="F242" s="35" t="n"/>
      <c r="G242" s="35" t="n">
        <v>11833.2</v>
      </c>
      <c r="H242" s="34" t="n"/>
      <c r="I242" s="33" t="inlineStr">
        <is>
          <t>Complementado (não existia na base)</t>
        </is>
      </c>
      <c r="J242" s="33" t="inlineStr">
        <is>
          <t>Extrato conta corrente - Tenda</t>
        </is>
      </c>
      <c r="K242" s="33">
        <f>VALUE(RIGHT(A242,4))</f>
        <v/>
      </c>
      <c r="L242" s="16">
        <f>DATE(VALUE(RIGHT(A242,4)),VALUE(MID(A242,4,2)),1)</f>
        <v/>
      </c>
      <c r="M242" s="17">
        <f>INDEX(IPCA!$D$5:$D$313,MATCH(Distrato!$B$3,IPCA!$A$5:$A$313,0))/INDEX(IPCA!$D$5:$D$313,MATCH(DATE(YEAR(L242),MONTH(L242)-1,1),IPCA!$A$5:$A$313,0))</f>
        <v/>
      </c>
      <c r="N242" s="15">
        <f>IF(L242&gt;Distrato!$B$3,D242,D242*M242)</f>
        <v/>
      </c>
    </row>
    <row r="243">
      <c r="A243" s="33" t="inlineStr">
        <is>
          <t>15/03/2021</t>
        </is>
      </c>
      <c r="B243" s="33" t="inlineStr">
        <is>
          <t>TOTAL CENTRO DE DISTRIBUICAO INTEGRADA LTDA - 12.460.301/0001-87</t>
        </is>
      </c>
      <c r="C243" s="33" t="inlineStr">
        <is>
          <t>FRUGIS REPRESENTACOES LTDA - 11.989.186/0001-70</t>
        </is>
      </c>
      <c r="D243" s="34">
        <f>G243</f>
        <v/>
      </c>
      <c r="E243" s="33" t="inlineStr">
        <is>
          <t>02/2021</t>
        </is>
      </c>
      <c r="F243" s="35" t="n"/>
      <c r="G243" s="35" t="n">
        <v>16494.84</v>
      </c>
      <c r="H243" s="34" t="n"/>
      <c r="I243" s="33" t="inlineStr">
        <is>
          <t>Complementado (não existia na base)</t>
        </is>
      </c>
      <c r="J243" s="33" t="inlineStr">
        <is>
          <t>Extrato conta corrente - Tenda</t>
        </is>
      </c>
      <c r="K243" s="33">
        <f>VALUE(RIGHT(A243,4))</f>
        <v/>
      </c>
      <c r="L243" s="16">
        <f>DATE(VALUE(RIGHT(A243,4)),VALUE(MID(A243,4,2)),1)</f>
        <v/>
      </c>
      <c r="M243" s="17">
        <f>INDEX(IPCA!$D$5:$D$313,MATCH(Distrato!$B$3,IPCA!$A$5:$A$313,0))/INDEX(IPCA!$D$5:$D$313,MATCH(DATE(YEAR(L243),MONTH(L243)-1,1),IPCA!$A$5:$A$313,0))</f>
        <v/>
      </c>
      <c r="N243" s="15">
        <f>IF(L243&gt;Distrato!$B$3,D243,D243*M243)</f>
        <v/>
      </c>
    </row>
    <row r="244">
      <c r="A244" s="33" t="inlineStr">
        <is>
          <t>15/04/2021</t>
        </is>
      </c>
      <c r="B244" s="33" t="inlineStr">
        <is>
          <t>TOTAL CENTRO DE DISTRIBUICAO INTEGRADA LTDA - 12.460.301/0001-87</t>
        </is>
      </c>
      <c r="C244" s="33" t="inlineStr">
        <is>
          <t>FRUGIS REPRESENTACOES LTDA - 11.989.186/0001-70</t>
        </is>
      </c>
      <c r="D244" s="34">
        <f>G244</f>
        <v/>
      </c>
      <c r="E244" s="33" t="inlineStr">
        <is>
          <t>03/2021</t>
        </is>
      </c>
      <c r="F244" s="35" t="n"/>
      <c r="G244" s="35" t="n">
        <v>36339.65</v>
      </c>
      <c r="H244" s="34" t="n"/>
      <c r="I244" s="33" t="inlineStr">
        <is>
          <t>Complementado (não existia na base)</t>
        </is>
      </c>
      <c r="J244" s="33" t="inlineStr">
        <is>
          <t>Extrato conta corrente - Tenda</t>
        </is>
      </c>
      <c r="K244" s="33">
        <f>VALUE(RIGHT(A244,4))</f>
        <v/>
      </c>
      <c r="L244" s="16">
        <f>DATE(VALUE(RIGHT(A244,4)),VALUE(MID(A244,4,2)),1)</f>
        <v/>
      </c>
      <c r="M244" s="17">
        <f>INDEX(IPCA!$D$5:$D$313,MATCH(Distrato!$B$3,IPCA!$A$5:$A$313,0))/INDEX(IPCA!$D$5:$D$313,MATCH(DATE(YEAR(L244),MONTH(L244)-1,1),IPCA!$A$5:$A$313,0))</f>
        <v/>
      </c>
      <c r="N244" s="15">
        <f>IF(L244&gt;Distrato!$B$3,D244,D244*M244)</f>
        <v/>
      </c>
    </row>
    <row r="245">
      <c r="A245" s="33" t="inlineStr">
        <is>
          <t>15/05/2021</t>
        </is>
      </c>
      <c r="B245" s="33" t="inlineStr">
        <is>
          <t>TOTAL CENTRO DE DISTRIBUICAO INTEGRADA LTDA - 12.460.301/0001-87</t>
        </is>
      </c>
      <c r="C245" s="33" t="inlineStr">
        <is>
          <t>FRUGIS REPRESENTACOES LTDA - 11.989.186/0001-70</t>
        </is>
      </c>
      <c r="D245" s="34">
        <f>G245</f>
        <v/>
      </c>
      <c r="E245" s="33" t="inlineStr">
        <is>
          <t>04/2021</t>
        </is>
      </c>
      <c r="F245" s="35" t="n"/>
      <c r="G245" s="35" t="n">
        <v>16613.09</v>
      </c>
      <c r="H245" s="34" t="n"/>
      <c r="I245" s="33" t="inlineStr">
        <is>
          <t>Complementado (não existia na base)</t>
        </is>
      </c>
      <c r="J245" s="33" t="inlineStr">
        <is>
          <t>Extrato conta corrente - Tenda</t>
        </is>
      </c>
      <c r="K245" s="33">
        <f>VALUE(RIGHT(A245,4))</f>
        <v/>
      </c>
      <c r="L245" s="16">
        <f>DATE(VALUE(RIGHT(A245,4)),VALUE(MID(A245,4,2)),1)</f>
        <v/>
      </c>
      <c r="M245" s="17">
        <f>INDEX(IPCA!$D$5:$D$313,MATCH(Distrato!$B$3,IPCA!$A$5:$A$313,0))/INDEX(IPCA!$D$5:$D$313,MATCH(DATE(YEAR(L245),MONTH(L245)-1,1),IPCA!$A$5:$A$313,0))</f>
        <v/>
      </c>
      <c r="N245" s="15">
        <f>IF(L245&gt;Distrato!$B$3,D245,D245*M245)</f>
        <v/>
      </c>
    </row>
    <row r="246">
      <c r="A246" s="33" t="inlineStr">
        <is>
          <t>15/06/2021</t>
        </is>
      </c>
      <c r="B246" s="33" t="inlineStr">
        <is>
          <t>TOTAL CENTRO DE DISTRIBUICAO INTEGRADA LTDA - 12.460.301/0001-87</t>
        </is>
      </c>
      <c r="C246" s="33" t="inlineStr">
        <is>
          <t>FRUGIS REPRESENTACOES LTDA - 11.989.186/0001-70</t>
        </is>
      </c>
      <c r="D246" s="34">
        <f>G246</f>
        <v/>
      </c>
      <c r="E246" s="33" t="inlineStr">
        <is>
          <t>05/2021</t>
        </is>
      </c>
      <c r="F246" s="35" t="n"/>
      <c r="G246" s="35" t="n">
        <v>17074.19</v>
      </c>
      <c r="H246" s="34" t="n"/>
      <c r="I246" s="33" t="inlineStr">
        <is>
          <t>Complementado (não existia na base)</t>
        </is>
      </c>
      <c r="J246" s="33" t="inlineStr">
        <is>
          <t>Extrato conta corrente - Tenda</t>
        </is>
      </c>
      <c r="K246" s="33">
        <f>VALUE(RIGHT(A246,4))</f>
        <v/>
      </c>
      <c r="L246" s="16">
        <f>DATE(VALUE(RIGHT(A246,4)),VALUE(MID(A246,4,2)),1)</f>
        <v/>
      </c>
      <c r="M246" s="17">
        <f>INDEX(IPCA!$D$5:$D$313,MATCH(Distrato!$B$3,IPCA!$A$5:$A$313,0))/INDEX(IPCA!$D$5:$D$313,MATCH(DATE(YEAR(L246),MONTH(L246)-1,1),IPCA!$A$5:$A$313,0))</f>
        <v/>
      </c>
      <c r="N246" s="15">
        <f>IF(L246&gt;Distrato!$B$3,D246,D246*M246)</f>
        <v/>
      </c>
    </row>
    <row r="247">
      <c r="A247" s="33" t="inlineStr">
        <is>
          <t>15/07/2021</t>
        </is>
      </c>
      <c r="B247" s="33" t="inlineStr">
        <is>
          <t>TOTAL CENTRO DE DISTRIBUICAO INTEGRADA LTDA - 12.460.301/0001-87</t>
        </is>
      </c>
      <c r="C247" s="33" t="inlineStr">
        <is>
          <t>FRUGIS REPRESENTACOES LTDA - 11.989.186/0001-70</t>
        </is>
      </c>
      <c r="D247" s="34">
        <f>G247</f>
        <v/>
      </c>
      <c r="E247" s="33" t="inlineStr">
        <is>
          <t>06/2021</t>
        </is>
      </c>
      <c r="F247" s="35" t="n"/>
      <c r="G247" s="35" t="n">
        <v>21162.03</v>
      </c>
      <c r="H247" s="34" t="n"/>
      <c r="I247" s="33" t="inlineStr">
        <is>
          <t>Complementado (não existia na base)</t>
        </is>
      </c>
      <c r="J247" s="33" t="inlineStr">
        <is>
          <t>Extrato conta corrente - Tenda</t>
        </is>
      </c>
      <c r="K247" s="33">
        <f>VALUE(RIGHT(A247,4))</f>
        <v/>
      </c>
      <c r="L247" s="16">
        <f>DATE(VALUE(RIGHT(A247,4)),VALUE(MID(A247,4,2)),1)</f>
        <v/>
      </c>
      <c r="M247" s="17">
        <f>INDEX(IPCA!$D$5:$D$313,MATCH(Distrato!$B$3,IPCA!$A$5:$A$313,0))/INDEX(IPCA!$D$5:$D$313,MATCH(DATE(YEAR(L247),MONTH(L247)-1,1),IPCA!$A$5:$A$313,0))</f>
        <v/>
      </c>
      <c r="N247" s="15">
        <f>IF(L247&gt;Distrato!$B$3,D247,D247*M247)</f>
        <v/>
      </c>
    </row>
    <row r="248">
      <c r="A248" s="33" t="inlineStr">
        <is>
          <t>15/08/2021</t>
        </is>
      </c>
      <c r="B248" s="33" t="inlineStr">
        <is>
          <t>TOTAL CENTRO DE DISTRIBUICAO INTEGRADA LTDA - 12.460.301/0001-87</t>
        </is>
      </c>
      <c r="C248" s="33" t="inlineStr">
        <is>
          <t>FRUGIS REPRESENTACOES LTDA - 11.989.186/0001-70</t>
        </is>
      </c>
      <c r="D248" s="34">
        <f>G248</f>
        <v/>
      </c>
      <c r="E248" s="33" t="inlineStr">
        <is>
          <t>07/2021</t>
        </is>
      </c>
      <c r="F248" s="35" t="n"/>
      <c r="G248" s="35" t="n">
        <v>12403.52</v>
      </c>
      <c r="H248" s="34" t="n"/>
      <c r="I248" s="33" t="inlineStr">
        <is>
          <t>Complementado (não existia na base)</t>
        </is>
      </c>
      <c r="J248" s="33" t="inlineStr">
        <is>
          <t>Extrato conta corrente - Tenda</t>
        </is>
      </c>
      <c r="K248" s="33">
        <f>VALUE(RIGHT(A248,4))</f>
        <v/>
      </c>
      <c r="L248" s="16">
        <f>DATE(VALUE(RIGHT(A248,4)),VALUE(MID(A248,4,2)),1)</f>
        <v/>
      </c>
      <c r="M248" s="17">
        <f>INDEX(IPCA!$D$5:$D$313,MATCH(Distrato!$B$3,IPCA!$A$5:$A$313,0))/INDEX(IPCA!$D$5:$D$313,MATCH(DATE(YEAR(L248),MONTH(L248)-1,1),IPCA!$A$5:$A$313,0))</f>
        <v/>
      </c>
      <c r="N248" s="15">
        <f>IF(L248&gt;Distrato!$B$3,D248,D248*M248)</f>
        <v/>
      </c>
    </row>
    <row r="249">
      <c r="A249" s="33" t="inlineStr">
        <is>
          <t>15/09/2021</t>
        </is>
      </c>
      <c r="B249" s="33" t="inlineStr">
        <is>
          <t>TOTAL CENTRO DE DISTRIBUICAO INTEGRADA LTDA - 12.460.301/0001-87</t>
        </is>
      </c>
      <c r="C249" s="33" t="inlineStr">
        <is>
          <t>FRUGIS REPRESENTACOES LTDA - 11.989.186/0001-70</t>
        </is>
      </c>
      <c r="D249" s="34">
        <f>G249</f>
        <v/>
      </c>
      <c r="E249" s="33" t="inlineStr">
        <is>
          <t>08/2021</t>
        </is>
      </c>
      <c r="F249" s="35" t="n"/>
      <c r="G249" s="35" t="n">
        <v>16331.09</v>
      </c>
      <c r="H249" s="34" t="n"/>
      <c r="I249" s="33" t="inlineStr">
        <is>
          <t>Complementado (não existia na base)</t>
        </is>
      </c>
      <c r="J249" s="33" t="inlineStr">
        <is>
          <t>Extrato conta corrente - Tenda</t>
        </is>
      </c>
      <c r="K249" s="33">
        <f>VALUE(RIGHT(A249,4))</f>
        <v/>
      </c>
      <c r="L249" s="16">
        <f>DATE(VALUE(RIGHT(A249,4)),VALUE(MID(A249,4,2)),1)</f>
        <v/>
      </c>
      <c r="M249" s="17">
        <f>INDEX(IPCA!$D$5:$D$313,MATCH(Distrato!$B$3,IPCA!$A$5:$A$313,0))/INDEX(IPCA!$D$5:$D$313,MATCH(DATE(YEAR(L249),MONTH(L249)-1,1),IPCA!$A$5:$A$313,0))</f>
        <v/>
      </c>
      <c r="N249" s="15">
        <f>IF(L249&gt;Distrato!$B$3,D249,D249*M249)</f>
        <v/>
      </c>
    </row>
    <row r="250">
      <c r="A250" s="33" t="inlineStr">
        <is>
          <t>15/10/2021</t>
        </is>
      </c>
      <c r="B250" s="33" t="inlineStr">
        <is>
          <t>TOTAL CENTRO DE DISTRIBUICAO INTEGRADA LTDA - 12.460.301/0001-87</t>
        </is>
      </c>
      <c r="C250" s="33" t="inlineStr">
        <is>
          <t>FRUGIS REPRESENTACOES LTDA - 11.989.186/0001-70</t>
        </is>
      </c>
      <c r="D250" s="34">
        <f>G250</f>
        <v/>
      </c>
      <c r="E250" s="33" t="inlineStr">
        <is>
          <t>09/2021</t>
        </is>
      </c>
      <c r="F250" s="35" t="n"/>
      <c r="G250" s="35" t="n">
        <v>8853.66</v>
      </c>
      <c r="H250" s="34" t="n"/>
      <c r="I250" s="33" t="inlineStr">
        <is>
          <t>Complementado (não existia na base)</t>
        </is>
      </c>
      <c r="J250" s="33" t="inlineStr">
        <is>
          <t>Extrato conta corrente - Tenda</t>
        </is>
      </c>
      <c r="K250" s="33">
        <f>VALUE(RIGHT(A250,4))</f>
        <v/>
      </c>
      <c r="L250" s="16">
        <f>DATE(VALUE(RIGHT(A250,4)),VALUE(MID(A250,4,2)),1)</f>
        <v/>
      </c>
      <c r="M250" s="17">
        <f>INDEX(IPCA!$D$5:$D$313,MATCH(Distrato!$B$3,IPCA!$A$5:$A$313,0))/INDEX(IPCA!$D$5:$D$313,MATCH(DATE(YEAR(L250),MONTH(L250)-1,1),IPCA!$A$5:$A$313,0))</f>
        <v/>
      </c>
      <c r="N250" s="15">
        <f>IF(L250&gt;Distrato!$B$3,D250,D250*M250)</f>
        <v/>
      </c>
    </row>
    <row r="251">
      <c r="A251" s="33" t="inlineStr">
        <is>
          <t>15/11/2021</t>
        </is>
      </c>
      <c r="B251" s="33" t="inlineStr">
        <is>
          <t>TOTAL CENTRO DE DISTRIBUICAO INTEGRADA LTDA - 12.460.301/0001-87</t>
        </is>
      </c>
      <c r="C251" s="33" t="inlineStr">
        <is>
          <t>FRUGIS REPRESENTACOES LTDA - 11.989.186/0001-70</t>
        </is>
      </c>
      <c r="D251" s="34">
        <f>G251</f>
        <v/>
      </c>
      <c r="E251" s="33" t="inlineStr">
        <is>
          <t>10/2021</t>
        </is>
      </c>
      <c r="F251" s="35" t="n"/>
      <c r="G251" s="35" t="n">
        <v>25051.33</v>
      </c>
      <c r="H251" s="34" t="n"/>
      <c r="I251" s="33" t="inlineStr">
        <is>
          <t>Complementado (não existia na base)</t>
        </is>
      </c>
      <c r="J251" s="33" t="inlineStr">
        <is>
          <t>Extrato conta corrente - Tenda</t>
        </is>
      </c>
      <c r="K251" s="33">
        <f>VALUE(RIGHT(A251,4))</f>
        <v/>
      </c>
      <c r="L251" s="16">
        <f>DATE(VALUE(RIGHT(A251,4)),VALUE(MID(A251,4,2)),1)</f>
        <v/>
      </c>
      <c r="M251" s="17">
        <f>INDEX(IPCA!$D$5:$D$313,MATCH(Distrato!$B$3,IPCA!$A$5:$A$313,0))/INDEX(IPCA!$D$5:$D$313,MATCH(DATE(YEAR(L251),MONTH(L251)-1,1),IPCA!$A$5:$A$313,0))</f>
        <v/>
      </c>
      <c r="N251" s="15">
        <f>IF(L251&gt;Distrato!$B$3,D251,D251*M251)</f>
        <v/>
      </c>
    </row>
    <row r="252">
      <c r="A252" s="33" t="inlineStr">
        <is>
          <t>15/12/2021</t>
        </is>
      </c>
      <c r="B252" s="33" t="inlineStr">
        <is>
          <t>TOTAL CENTRO DE DISTRIBUICAO INTEGRADA LTDA - 12.460.301/0001-87</t>
        </is>
      </c>
      <c r="C252" s="33" t="inlineStr">
        <is>
          <t>FRUGIS REPRESENTACOES LTDA - 11.989.186/0001-70</t>
        </is>
      </c>
      <c r="D252" s="34">
        <f>G252</f>
        <v/>
      </c>
      <c r="E252" s="33" t="inlineStr">
        <is>
          <t>11/2021</t>
        </is>
      </c>
      <c r="F252" s="35" t="n"/>
      <c r="G252" s="35" t="n">
        <v>25878.19</v>
      </c>
      <c r="H252" s="34" t="n"/>
      <c r="I252" s="33" t="inlineStr">
        <is>
          <t>Complementado (não existia na base)</t>
        </is>
      </c>
      <c r="J252" s="33" t="inlineStr">
        <is>
          <t>Extrato conta corrente - Tenda</t>
        </is>
      </c>
      <c r="K252" s="33">
        <f>VALUE(RIGHT(A252,4))</f>
        <v/>
      </c>
      <c r="L252" s="16">
        <f>DATE(VALUE(RIGHT(A252,4)),VALUE(MID(A252,4,2)),1)</f>
        <v/>
      </c>
      <c r="M252" s="17">
        <f>INDEX(IPCA!$D$5:$D$313,MATCH(Distrato!$B$3,IPCA!$A$5:$A$313,0))/INDEX(IPCA!$D$5:$D$313,MATCH(DATE(YEAR(L252),MONTH(L252)-1,1),IPCA!$A$5:$A$313,0))</f>
        <v/>
      </c>
      <c r="N252" s="15">
        <f>IF(L252&gt;Distrato!$B$3,D252,D252*M252)</f>
        <v/>
      </c>
    </row>
    <row r="253">
      <c r="A253" s="33" t="inlineStr">
        <is>
          <t>15/01/2022</t>
        </is>
      </c>
      <c r="B253" s="33" t="inlineStr">
        <is>
          <t>TOTAL CENTRO DE DISTRIBUICAO INTEGRADA LTDA - 12.460.301/0001-87</t>
        </is>
      </c>
      <c r="C253" s="33" t="inlineStr">
        <is>
          <t>FRUGIS REPRESENTACOES LTDA - 11.989.186/0001-70</t>
        </is>
      </c>
      <c r="D253" s="34">
        <f>G253</f>
        <v/>
      </c>
      <c r="E253" s="33" t="inlineStr">
        <is>
          <t>12/2021</t>
        </is>
      </c>
      <c r="F253" s="35" t="n"/>
      <c r="G253" s="35" t="n">
        <v>1400.56</v>
      </c>
      <c r="H253" s="34" t="n"/>
      <c r="I253" s="33" t="inlineStr">
        <is>
          <t>Complementado (não existia na base)</t>
        </is>
      </c>
      <c r="J253" s="33" t="inlineStr">
        <is>
          <t>Extrato conta corrente - Tenda</t>
        </is>
      </c>
      <c r="K253" s="33">
        <f>VALUE(RIGHT(A253,4))</f>
        <v/>
      </c>
      <c r="L253" s="16">
        <f>DATE(VALUE(RIGHT(A253,4)),VALUE(MID(A253,4,2)),1)</f>
        <v/>
      </c>
      <c r="M253" s="17">
        <f>INDEX(IPCA!$D$5:$D$313,MATCH(Distrato!$B$3,IPCA!$A$5:$A$313,0))/INDEX(IPCA!$D$5:$D$313,MATCH(DATE(YEAR(L253),MONTH(L253)-1,1),IPCA!$A$5:$A$313,0))</f>
        <v/>
      </c>
      <c r="N253" s="15">
        <f>IF(L253&gt;Distrato!$B$3,D253,D253*M253)</f>
        <v/>
      </c>
    </row>
    <row r="254">
      <c r="A254" s="33" t="inlineStr">
        <is>
          <t>15/02/2022</t>
        </is>
      </c>
      <c r="B254" s="33" t="inlineStr">
        <is>
          <t>TOTAL CENTRO DE DISTRIBUICAO INTEGRADA LTDA - 12.460.301/0001-87</t>
        </is>
      </c>
      <c r="C254" s="33" t="inlineStr">
        <is>
          <t>FRUGIS REPRESENTACOES LTDA - 11.989.186/0001-70</t>
        </is>
      </c>
      <c r="D254" s="34">
        <f>G254</f>
        <v/>
      </c>
      <c r="E254" s="33" t="inlineStr">
        <is>
          <t>01/2022</t>
        </is>
      </c>
      <c r="F254" s="35" t="n"/>
      <c r="G254" s="35" t="n">
        <v>23739.59</v>
      </c>
      <c r="H254" s="34" t="n"/>
      <c r="I254" s="33" t="inlineStr">
        <is>
          <t>Complementado (não existia na base)</t>
        </is>
      </c>
      <c r="J254" s="33" t="inlineStr">
        <is>
          <t>Extrato conta corrente - Tenda</t>
        </is>
      </c>
      <c r="K254" s="33">
        <f>VALUE(RIGHT(A254,4))</f>
        <v/>
      </c>
      <c r="L254" s="16">
        <f>DATE(VALUE(RIGHT(A254,4)),VALUE(MID(A254,4,2)),1)</f>
        <v/>
      </c>
      <c r="M254" s="17">
        <f>INDEX(IPCA!$D$5:$D$313,MATCH(Distrato!$B$3,IPCA!$A$5:$A$313,0))/INDEX(IPCA!$D$5:$D$313,MATCH(DATE(YEAR(L254),MONTH(L254)-1,1),IPCA!$A$5:$A$313,0))</f>
        <v/>
      </c>
      <c r="N254" s="15">
        <f>IF(L254&gt;Distrato!$B$3,D254,D254*M254)</f>
        <v/>
      </c>
    </row>
    <row r="255">
      <c r="A255" s="33" t="inlineStr">
        <is>
          <t>15/03/2022</t>
        </is>
      </c>
      <c r="B255" s="33" t="inlineStr">
        <is>
          <t>TOTAL CENTRO DE DISTRIBUICAO INTEGRADA LTDA - 12.460.301/0001-87</t>
        </is>
      </c>
      <c r="C255" s="33" t="inlineStr">
        <is>
          <t>FRUGIS REPRESENTACOES LTDA - 11.989.186/0001-70</t>
        </is>
      </c>
      <c r="D255" s="34">
        <f>G255</f>
        <v/>
      </c>
      <c r="E255" s="33" t="inlineStr">
        <is>
          <t>02/2022</t>
        </is>
      </c>
      <c r="F255" s="35" t="n"/>
      <c r="G255" s="35" t="n">
        <v>6103.45</v>
      </c>
      <c r="H255" s="34" t="n"/>
      <c r="I255" s="33" t="inlineStr">
        <is>
          <t>Complementado (não existia na base)</t>
        </is>
      </c>
      <c r="J255" s="33" t="inlineStr">
        <is>
          <t>Extrato conta corrente - Tenda</t>
        </is>
      </c>
      <c r="K255" s="33">
        <f>VALUE(RIGHT(A255,4))</f>
        <v/>
      </c>
      <c r="L255" s="16">
        <f>DATE(VALUE(RIGHT(A255,4)),VALUE(MID(A255,4,2)),1)</f>
        <v/>
      </c>
      <c r="M255" s="17">
        <f>INDEX(IPCA!$D$5:$D$313,MATCH(Distrato!$B$3,IPCA!$A$5:$A$313,0))/INDEX(IPCA!$D$5:$D$313,MATCH(DATE(YEAR(L255),MONTH(L255)-1,1),IPCA!$A$5:$A$313,0))</f>
        <v/>
      </c>
      <c r="N255" s="15">
        <f>IF(L255&gt;Distrato!$B$3,D255,D255*M255)</f>
        <v/>
      </c>
    </row>
    <row r="256">
      <c r="A256" s="33" t="inlineStr">
        <is>
          <t>15/04/2022</t>
        </is>
      </c>
      <c r="B256" s="33" t="inlineStr">
        <is>
          <t>TOTAL CENTRO DE DISTRIBUICAO INTEGRADA LTDA - 12.460.301/0001-87</t>
        </is>
      </c>
      <c r="C256" s="33" t="inlineStr">
        <is>
          <t>FRUGIS REPRESENTACOES LTDA - 11.989.186/0001-70</t>
        </is>
      </c>
      <c r="D256" s="34">
        <f>G256</f>
        <v/>
      </c>
      <c r="E256" s="33" t="inlineStr">
        <is>
          <t>03/2022</t>
        </is>
      </c>
      <c r="F256" s="35" t="n"/>
      <c r="G256" s="35" t="n">
        <v>21026.03</v>
      </c>
      <c r="H256" s="34" t="n"/>
      <c r="I256" s="33" t="inlineStr">
        <is>
          <t>Complementado (não existia na base)</t>
        </is>
      </c>
      <c r="J256" s="33" t="inlineStr">
        <is>
          <t>Extrato conta corrente - Tenda</t>
        </is>
      </c>
      <c r="K256" s="33">
        <f>VALUE(RIGHT(A256,4))</f>
        <v/>
      </c>
      <c r="L256" s="16">
        <f>DATE(VALUE(RIGHT(A256,4)),VALUE(MID(A256,4,2)),1)</f>
        <v/>
      </c>
      <c r="M256" s="17">
        <f>INDEX(IPCA!$D$5:$D$313,MATCH(Distrato!$B$3,IPCA!$A$5:$A$313,0))/INDEX(IPCA!$D$5:$D$313,MATCH(DATE(YEAR(L256),MONTH(L256)-1,1),IPCA!$A$5:$A$313,0))</f>
        <v/>
      </c>
      <c r="N256" s="15">
        <f>IF(L256&gt;Distrato!$B$3,D256,D256*M256)</f>
        <v/>
      </c>
    </row>
    <row r="257">
      <c r="A257" s="33" t="inlineStr">
        <is>
          <t>15/05/2022</t>
        </is>
      </c>
      <c r="B257" s="33" t="inlineStr">
        <is>
          <t>TOTAL CENTRO DE DISTRIBUICAO INTEGRADA LTDA - 12.460.301/0001-87</t>
        </is>
      </c>
      <c r="C257" s="33" t="inlineStr">
        <is>
          <t>FRUGIS REPRESENTACOES LTDA - 11.989.186/0001-70</t>
        </is>
      </c>
      <c r="D257" s="34">
        <f>G257</f>
        <v/>
      </c>
      <c r="E257" s="33" t="inlineStr">
        <is>
          <t>04/2022</t>
        </is>
      </c>
      <c r="F257" s="35" t="n"/>
      <c r="G257" s="35" t="n">
        <v>3426.73</v>
      </c>
      <c r="H257" s="34" t="n"/>
      <c r="I257" s="33" t="inlineStr">
        <is>
          <t>Complementado (não existia na base)</t>
        </is>
      </c>
      <c r="J257" s="33" t="inlineStr">
        <is>
          <t>Extrato conta corrente - Tenda</t>
        </is>
      </c>
      <c r="K257" s="33">
        <f>VALUE(RIGHT(A257,4))</f>
        <v/>
      </c>
      <c r="L257" s="16">
        <f>DATE(VALUE(RIGHT(A257,4)),VALUE(MID(A257,4,2)),1)</f>
        <v/>
      </c>
      <c r="M257" s="17">
        <f>INDEX(IPCA!$D$5:$D$313,MATCH(Distrato!$B$3,IPCA!$A$5:$A$313,0))/INDEX(IPCA!$D$5:$D$313,MATCH(DATE(YEAR(L257),MONTH(L257)-1,1),IPCA!$A$5:$A$313,0))</f>
        <v/>
      </c>
      <c r="N257" s="15">
        <f>IF(L257&gt;Distrato!$B$3,D257,D257*M257)</f>
        <v/>
      </c>
    </row>
    <row r="258">
      <c r="A258" s="33" t="inlineStr">
        <is>
          <t>15/06/2022</t>
        </is>
      </c>
      <c r="B258" s="33" t="inlineStr">
        <is>
          <t>TOTAL CENTRO DE DISTRIBUICAO INTEGRADA LTDA - 12.460.301/0001-87</t>
        </is>
      </c>
      <c r="C258" s="33" t="inlineStr">
        <is>
          <t>FRUGIS REPRESENTACOES LTDA - 11.989.186/0001-70</t>
        </is>
      </c>
      <c r="D258" s="34">
        <f>G258</f>
        <v/>
      </c>
      <c r="E258" s="33" t="inlineStr">
        <is>
          <t>05/2022</t>
        </is>
      </c>
      <c r="F258" s="35" t="n"/>
      <c r="G258" s="35" t="n">
        <v>30672.73</v>
      </c>
      <c r="H258" s="34" t="n"/>
      <c r="I258" s="33" t="inlineStr">
        <is>
          <t>Complementado (não existia na base)</t>
        </is>
      </c>
      <c r="J258" s="33" t="inlineStr">
        <is>
          <t>Extrato conta corrente - Tenda</t>
        </is>
      </c>
      <c r="K258" s="33">
        <f>VALUE(RIGHT(A258,4))</f>
        <v/>
      </c>
      <c r="L258" s="16">
        <f>DATE(VALUE(RIGHT(A258,4)),VALUE(MID(A258,4,2)),1)</f>
        <v/>
      </c>
      <c r="M258" s="17">
        <f>INDEX(IPCA!$D$5:$D$313,MATCH(Distrato!$B$3,IPCA!$A$5:$A$313,0))/INDEX(IPCA!$D$5:$D$313,MATCH(DATE(YEAR(L258),MONTH(L258)-1,1),IPCA!$A$5:$A$313,0))</f>
        <v/>
      </c>
      <c r="N258" s="15">
        <f>IF(L258&gt;Distrato!$B$3,D258,D258*M258)</f>
        <v/>
      </c>
    </row>
    <row r="259">
      <c r="A259" s="33" t="inlineStr">
        <is>
          <t>15/07/2022</t>
        </is>
      </c>
      <c r="B259" s="33" t="inlineStr">
        <is>
          <t>TOTAL CENTRO DE DISTRIBUICAO INTEGRADA LTDA - 12.460.301/0001-87</t>
        </is>
      </c>
      <c r="C259" s="33" t="inlineStr">
        <is>
          <t>FRUGIS REPRESENTACOES LTDA - 11.989.186/0001-70</t>
        </is>
      </c>
      <c r="D259" s="34">
        <f>G259</f>
        <v/>
      </c>
      <c r="E259" s="33" t="inlineStr">
        <is>
          <t>06/2022</t>
        </is>
      </c>
      <c r="F259" s="35" t="n"/>
      <c r="G259" s="35" t="n">
        <v>31090.99</v>
      </c>
      <c r="H259" s="34" t="n"/>
      <c r="I259" s="33" t="inlineStr">
        <is>
          <t>Complementado (não existia na base)</t>
        </is>
      </c>
      <c r="J259" s="33" t="inlineStr">
        <is>
          <t>Extrato conta corrente - Tenda</t>
        </is>
      </c>
      <c r="K259" s="33">
        <f>VALUE(RIGHT(A259,4))</f>
        <v/>
      </c>
      <c r="L259" s="16">
        <f>DATE(VALUE(RIGHT(A259,4)),VALUE(MID(A259,4,2)),1)</f>
        <v/>
      </c>
      <c r="M259" s="17">
        <f>INDEX(IPCA!$D$5:$D$313,MATCH(Distrato!$B$3,IPCA!$A$5:$A$313,0))/INDEX(IPCA!$D$5:$D$313,MATCH(DATE(YEAR(L259),MONTH(L259)-1,1),IPCA!$A$5:$A$313,0))</f>
        <v/>
      </c>
      <c r="N259" s="15">
        <f>IF(L259&gt;Distrato!$B$3,D259,D259*M259)</f>
        <v/>
      </c>
    </row>
    <row r="260">
      <c r="A260" s="33" t="inlineStr">
        <is>
          <t>15/08/2022</t>
        </is>
      </c>
      <c r="B260" s="33" t="inlineStr">
        <is>
          <t>TOTAL CENTRO DE DISTRIBUICAO INTEGRADA LTDA - 12.460.301/0001-87</t>
        </is>
      </c>
      <c r="C260" s="33" t="inlineStr">
        <is>
          <t>FRUGIS REPRESENTACOES LTDA - 11.989.186/0001-70</t>
        </is>
      </c>
      <c r="D260" s="34">
        <f>G260</f>
        <v/>
      </c>
      <c r="E260" s="33" t="inlineStr">
        <is>
          <t>07/2022</t>
        </is>
      </c>
      <c r="F260" s="35" t="n"/>
      <c r="G260" s="35" t="n">
        <v>21073.56</v>
      </c>
      <c r="H260" s="34" t="n"/>
      <c r="I260" s="33" t="inlineStr">
        <is>
          <t>Complementado (não existia na base)</t>
        </is>
      </c>
      <c r="J260" s="33" t="inlineStr">
        <is>
          <t>Extrato conta corrente - Tenda</t>
        </is>
      </c>
      <c r="K260" s="33">
        <f>VALUE(RIGHT(A260,4))</f>
        <v/>
      </c>
      <c r="L260" s="16">
        <f>DATE(VALUE(RIGHT(A260,4)),VALUE(MID(A260,4,2)),1)</f>
        <v/>
      </c>
      <c r="M260" s="17">
        <f>INDEX(IPCA!$D$5:$D$313,MATCH(Distrato!$B$3,IPCA!$A$5:$A$313,0))/INDEX(IPCA!$D$5:$D$313,MATCH(DATE(YEAR(L260),MONTH(L260)-1,1),IPCA!$A$5:$A$313,0))</f>
        <v/>
      </c>
      <c r="N260" s="15">
        <f>IF(L260&gt;Distrato!$B$3,D260,D260*M260)</f>
        <v/>
      </c>
    </row>
    <row r="261">
      <c r="A261" s="33" t="inlineStr">
        <is>
          <t>15/09/2022</t>
        </is>
      </c>
      <c r="B261" s="33" t="inlineStr">
        <is>
          <t>TOTAL CENTRO DE DISTRIBUICAO INTEGRADA LTDA - 12.460.301/0001-87</t>
        </is>
      </c>
      <c r="C261" s="33" t="inlineStr">
        <is>
          <t>FRUGIS REPRESENTACOES LTDA - 11.989.186/0001-70</t>
        </is>
      </c>
      <c r="D261" s="34">
        <f>G261</f>
        <v/>
      </c>
      <c r="E261" s="33" t="inlineStr">
        <is>
          <t>08/2022</t>
        </is>
      </c>
      <c r="F261" s="35" t="n"/>
      <c r="G261" s="35" t="n">
        <v>0</v>
      </c>
      <c r="H261" s="34" t="n"/>
      <c r="I261" s="33" t="inlineStr">
        <is>
          <t>Complementado (sem pagamento no mês)</t>
        </is>
      </c>
      <c r="J261" s="33" t="inlineStr">
        <is>
          <t>Sem pagamento no mês</t>
        </is>
      </c>
      <c r="K261" s="33">
        <f>VALUE(RIGHT(A261,4))</f>
        <v/>
      </c>
      <c r="L261" s="16">
        <f>DATE(VALUE(RIGHT(A261,4)),VALUE(MID(A261,4,2)),1)</f>
        <v/>
      </c>
      <c r="M261" s="17">
        <f>INDEX(IPCA!$D$5:$D$313,MATCH(Distrato!$B$3,IPCA!$A$5:$A$313,0))/INDEX(IPCA!$D$5:$D$313,MATCH(DATE(YEAR(L261),MONTH(L261)-1,1),IPCA!$A$5:$A$313,0))</f>
        <v/>
      </c>
      <c r="N261" s="15">
        <f>IF(L261&gt;Distrato!$B$3,D261,D261*M261)</f>
        <v/>
      </c>
    </row>
    <row r="262">
      <c r="A262" s="33" t="inlineStr">
        <is>
          <t>15/10/2022</t>
        </is>
      </c>
      <c r="B262" s="33" t="inlineStr">
        <is>
          <t>TOTAL CENTRO DE DISTRIBUICAO INTEGRADA LTDA - 12.460.301/0001-87</t>
        </is>
      </c>
      <c r="C262" s="33" t="inlineStr">
        <is>
          <t>FRUGIS REPRESENTACOES LTDA - 11.989.186/0001-70</t>
        </is>
      </c>
      <c r="D262" s="34">
        <f>G262</f>
        <v/>
      </c>
      <c r="E262" s="33" t="inlineStr">
        <is>
          <t>09/2022</t>
        </is>
      </c>
      <c r="F262" s="35" t="n"/>
      <c r="G262" s="35" t="n">
        <v>42626.11</v>
      </c>
      <c r="H262" s="34" t="n"/>
      <c r="I262" s="33" t="inlineStr">
        <is>
          <t>Complementado (não existia na base)</t>
        </is>
      </c>
      <c r="J262" s="33" t="inlineStr">
        <is>
          <t>Extrato conta corrente - Tenda</t>
        </is>
      </c>
      <c r="K262" s="33">
        <f>VALUE(RIGHT(A262,4))</f>
        <v/>
      </c>
      <c r="L262" s="16">
        <f>DATE(VALUE(RIGHT(A262,4)),VALUE(MID(A262,4,2)),1)</f>
        <v/>
      </c>
      <c r="M262" s="17">
        <f>INDEX(IPCA!$D$5:$D$313,MATCH(Distrato!$B$3,IPCA!$A$5:$A$313,0))/INDEX(IPCA!$D$5:$D$313,MATCH(DATE(YEAR(L262),MONTH(L262)-1,1),IPCA!$A$5:$A$313,0))</f>
        <v/>
      </c>
      <c r="N262" s="15">
        <f>IF(L262&gt;Distrato!$B$3,D262,D262*M262)</f>
        <v/>
      </c>
    </row>
    <row r="263">
      <c r="A263" s="33" t="inlineStr">
        <is>
          <t>15/11/2022</t>
        </is>
      </c>
      <c r="B263" s="33" t="inlineStr">
        <is>
          <t>TOTAL CENTRO DE DISTRIBUICAO INTEGRADA LTDA - 12.460.301/0001-87</t>
        </is>
      </c>
      <c r="C263" s="33" t="inlineStr">
        <is>
          <t>FRUGIS REPRESENTACOES LTDA - 11.989.186/0001-70</t>
        </is>
      </c>
      <c r="D263" s="34">
        <f>G263</f>
        <v/>
      </c>
      <c r="E263" s="33" t="inlineStr">
        <is>
          <t>10/2022</t>
        </is>
      </c>
      <c r="F263" s="35" t="n"/>
      <c r="G263" s="35" t="n">
        <v>26052.54</v>
      </c>
      <c r="H263" s="34" t="n"/>
      <c r="I263" s="33" t="inlineStr">
        <is>
          <t>Complementado (não existia na base)</t>
        </is>
      </c>
      <c r="J263" s="33" t="inlineStr">
        <is>
          <t>Extrato conta corrente - Tenda</t>
        </is>
      </c>
      <c r="K263" s="33">
        <f>VALUE(RIGHT(A263,4))</f>
        <v/>
      </c>
      <c r="L263" s="16">
        <f>DATE(VALUE(RIGHT(A263,4)),VALUE(MID(A263,4,2)),1)</f>
        <v/>
      </c>
      <c r="M263" s="17">
        <f>INDEX(IPCA!$D$5:$D$313,MATCH(Distrato!$B$3,IPCA!$A$5:$A$313,0))/INDEX(IPCA!$D$5:$D$313,MATCH(DATE(YEAR(L263),MONTH(L263)-1,1),IPCA!$A$5:$A$313,0))</f>
        <v/>
      </c>
      <c r="N263" s="15">
        <f>IF(L263&gt;Distrato!$B$3,D263,D263*M263)</f>
        <v/>
      </c>
    </row>
    <row r="264">
      <c r="A264" s="33" t="inlineStr">
        <is>
          <t>15/12/2022</t>
        </is>
      </c>
      <c r="B264" s="33" t="inlineStr">
        <is>
          <t>TOTAL CENTRO DE DISTRIBUICAO INTEGRADA LTDA - 12.460.301/0001-87</t>
        </is>
      </c>
      <c r="C264" s="33" t="inlineStr">
        <is>
          <t>FRUGIS REPRESENTACOES LTDA - 11.989.186/0001-70</t>
        </is>
      </c>
      <c r="D264" s="34">
        <f>G264</f>
        <v/>
      </c>
      <c r="E264" s="33" t="inlineStr">
        <is>
          <t>11/2022</t>
        </is>
      </c>
      <c r="F264" s="35" t="n"/>
      <c r="G264" s="35" t="n">
        <v>15606.46</v>
      </c>
      <c r="H264" s="34" t="n"/>
      <c r="I264" s="33" t="inlineStr">
        <is>
          <t>Complementado (não existia na base)</t>
        </is>
      </c>
      <c r="J264" s="33" t="inlineStr">
        <is>
          <t>Extrato conta corrente - Tenda</t>
        </is>
      </c>
      <c r="K264" s="33">
        <f>VALUE(RIGHT(A264,4))</f>
        <v/>
      </c>
      <c r="L264" s="16">
        <f>DATE(VALUE(RIGHT(A264,4)),VALUE(MID(A264,4,2)),1)</f>
        <v/>
      </c>
      <c r="M264" s="17">
        <f>INDEX(IPCA!$D$5:$D$313,MATCH(Distrato!$B$3,IPCA!$A$5:$A$313,0))/INDEX(IPCA!$D$5:$D$313,MATCH(DATE(YEAR(L264),MONTH(L264)-1,1),IPCA!$A$5:$A$313,0))</f>
        <v/>
      </c>
      <c r="N264" s="15">
        <f>IF(L264&gt;Distrato!$B$3,D264,D264*M264)</f>
        <v/>
      </c>
    </row>
    <row r="265">
      <c r="A265" s="33" t="inlineStr">
        <is>
          <t>15/01/2023</t>
        </is>
      </c>
      <c r="B265" s="33" t="inlineStr">
        <is>
          <t>TOTAL CENTRO DE DISTRIBUICAO INTEGRADA LTDA - 12.460.301/0001-87</t>
        </is>
      </c>
      <c r="C265" s="33" t="inlineStr">
        <is>
          <t>FRUGIS REPRESENTACOES LTDA - 11.989.186/0001-70</t>
        </is>
      </c>
      <c r="D265" s="34">
        <f>G265</f>
        <v/>
      </c>
      <c r="E265" s="33" t="inlineStr">
        <is>
          <t>12/2022</t>
        </is>
      </c>
      <c r="F265" s="35" t="n"/>
      <c r="G265" s="35" t="n">
        <v>10919.82</v>
      </c>
      <c r="H265" s="34" t="n"/>
      <c r="I265" s="33" t="inlineStr">
        <is>
          <t>Complementado (não existia na base)</t>
        </is>
      </c>
      <c r="J265" s="33" t="inlineStr">
        <is>
          <t>Extrato conta corrente - Tenda</t>
        </is>
      </c>
      <c r="K265" s="33">
        <f>VALUE(RIGHT(A265,4))</f>
        <v/>
      </c>
      <c r="L265" s="16">
        <f>DATE(VALUE(RIGHT(A265,4)),VALUE(MID(A265,4,2)),1)</f>
        <v/>
      </c>
      <c r="M265" s="17">
        <f>INDEX(IPCA!$D$5:$D$313,MATCH(Distrato!$B$3,IPCA!$A$5:$A$313,0))/INDEX(IPCA!$D$5:$D$313,MATCH(DATE(YEAR(L265),MONTH(L265)-1,1),IPCA!$A$5:$A$313,0))</f>
        <v/>
      </c>
      <c r="N265" s="15">
        <f>IF(L265&gt;Distrato!$B$3,D265,D265*M265)</f>
        <v/>
      </c>
    </row>
    <row r="266">
      <c r="A266" s="33" t="inlineStr">
        <is>
          <t>15/02/2023</t>
        </is>
      </c>
      <c r="B266" s="33" t="inlineStr">
        <is>
          <t>TOTAL CENTRO DE DISTRIBUICAO INTEGRADA LTDA - 12.460.301/0001-87</t>
        </is>
      </c>
      <c r="C266" s="33" t="inlineStr">
        <is>
          <t>FRUGIS REPRESENTACOES LTDA - 11.989.186/0001-70</t>
        </is>
      </c>
      <c r="D266" s="34">
        <f>G266</f>
        <v/>
      </c>
      <c r="E266" s="33" t="inlineStr">
        <is>
          <t>01/2023</t>
        </is>
      </c>
      <c r="F266" s="35" t="n"/>
      <c r="G266" s="35" t="n">
        <v>22738.21</v>
      </c>
      <c r="H266" s="34" t="n"/>
      <c r="I266" s="33" t="inlineStr">
        <is>
          <t>Complementado (não existia na base)</t>
        </is>
      </c>
      <c r="J266" s="33" t="inlineStr">
        <is>
          <t>Extrato conta corrente - Tenda</t>
        </is>
      </c>
      <c r="K266" s="33">
        <f>VALUE(RIGHT(A266,4))</f>
        <v/>
      </c>
      <c r="L266" s="16">
        <f>DATE(VALUE(RIGHT(A266,4)),VALUE(MID(A266,4,2)),1)</f>
        <v/>
      </c>
      <c r="M266" s="17">
        <f>INDEX(IPCA!$D$5:$D$313,MATCH(Distrato!$B$3,IPCA!$A$5:$A$313,0))/INDEX(IPCA!$D$5:$D$313,MATCH(DATE(YEAR(L266),MONTH(L266)-1,1),IPCA!$A$5:$A$313,0))</f>
        <v/>
      </c>
      <c r="N266" s="15">
        <f>IF(L266&gt;Distrato!$B$3,D266,D266*M266)</f>
        <v/>
      </c>
    </row>
    <row r="267">
      <c r="A267" s="33" t="inlineStr">
        <is>
          <t>15/03/2023</t>
        </is>
      </c>
      <c r="B267" s="33" t="inlineStr">
        <is>
          <t>TOTAL CENTRO DE DISTRIBUICAO INTEGRADA LTDA - 12.460.301/0001-87</t>
        </is>
      </c>
      <c r="C267" s="33" t="inlineStr">
        <is>
          <t>FRUGIS REPRESENTACOES LTDA - 11.989.186/0001-70</t>
        </is>
      </c>
      <c r="D267" s="34">
        <f>G267</f>
        <v/>
      </c>
      <c r="E267" s="33" t="inlineStr">
        <is>
          <t>02/2023</t>
        </is>
      </c>
      <c r="F267" s="35" t="n"/>
      <c r="G267" s="35" t="n">
        <v>8849.27</v>
      </c>
      <c r="H267" s="34" t="n"/>
      <c r="I267" s="33" t="inlineStr">
        <is>
          <t>Complementado (não existia na base)</t>
        </is>
      </c>
      <c r="J267" s="33" t="inlineStr">
        <is>
          <t>Extrato conta corrente - Tenda</t>
        </is>
      </c>
      <c r="K267" s="33">
        <f>VALUE(RIGHT(A267,4))</f>
        <v/>
      </c>
      <c r="L267" s="16">
        <f>DATE(VALUE(RIGHT(A267,4)),VALUE(MID(A267,4,2)),1)</f>
        <v/>
      </c>
      <c r="M267" s="17">
        <f>INDEX(IPCA!$D$5:$D$313,MATCH(Distrato!$B$3,IPCA!$A$5:$A$313,0))/INDEX(IPCA!$D$5:$D$313,MATCH(DATE(YEAR(L267),MONTH(L267)-1,1),IPCA!$A$5:$A$313,0))</f>
        <v/>
      </c>
      <c r="N267" s="15">
        <f>IF(L267&gt;Distrato!$B$3,D267,D267*M267)</f>
        <v/>
      </c>
    </row>
    <row r="268">
      <c r="A268" s="33" t="inlineStr">
        <is>
          <t>15/04/2023</t>
        </is>
      </c>
      <c r="B268" s="33" t="inlineStr">
        <is>
          <t>TOTAL CENTRO DE DISTRIBUICAO INTEGRADA LTDA - 12.460.301/0001-87</t>
        </is>
      </c>
      <c r="C268" s="33" t="inlineStr">
        <is>
          <t>FRUGIS REPRESENTACOES LTDA - 11.989.186/0001-70</t>
        </is>
      </c>
      <c r="D268" s="34">
        <f>G268</f>
        <v/>
      </c>
      <c r="E268" s="33" t="inlineStr">
        <is>
          <t>03/2023</t>
        </is>
      </c>
      <c r="F268" s="35" t="n"/>
      <c r="G268" s="35" t="n">
        <v>30612.19</v>
      </c>
      <c r="H268" s="34" t="n"/>
      <c r="I268" s="33" t="inlineStr">
        <is>
          <t>Complementado (não existia na base)</t>
        </is>
      </c>
      <c r="J268" s="33" t="inlineStr">
        <is>
          <t>Extrato conta corrente - Tenda</t>
        </is>
      </c>
      <c r="K268" s="33">
        <f>VALUE(RIGHT(A268,4))</f>
        <v/>
      </c>
      <c r="L268" s="16">
        <f>DATE(VALUE(RIGHT(A268,4)),VALUE(MID(A268,4,2)),1)</f>
        <v/>
      </c>
      <c r="M268" s="17">
        <f>INDEX(IPCA!$D$5:$D$313,MATCH(Distrato!$B$3,IPCA!$A$5:$A$313,0))/INDEX(IPCA!$D$5:$D$313,MATCH(DATE(YEAR(L268),MONTH(L268)-1,1),IPCA!$A$5:$A$313,0))</f>
        <v/>
      </c>
      <c r="N268" s="15">
        <f>IF(L268&gt;Distrato!$B$3,D268,D268*M268)</f>
        <v/>
      </c>
    </row>
    <row r="269">
      <c r="A269" s="33" t="inlineStr">
        <is>
          <t>15/05/2023</t>
        </is>
      </c>
      <c r="B269" s="33" t="inlineStr">
        <is>
          <t>TOTAL CENTRO DE DISTRIBUICAO INTEGRADA LTDA - 12.460.301/0001-87</t>
        </is>
      </c>
      <c r="C269" s="33" t="inlineStr">
        <is>
          <t>FRUGIS REPRESENTACOES LTDA - 11.989.186/0001-70</t>
        </is>
      </c>
      <c r="D269" s="34">
        <f>G269</f>
        <v/>
      </c>
      <c r="E269" s="33" t="inlineStr">
        <is>
          <t>04/2023</t>
        </is>
      </c>
      <c r="F269" s="35" t="n"/>
      <c r="G269" s="35" t="n">
        <v>12480.11</v>
      </c>
      <c r="H269" s="34" t="n"/>
      <c r="I269" s="33" t="inlineStr">
        <is>
          <t>Complementado (não existia na base)</t>
        </is>
      </c>
      <c r="J269" s="33" t="inlineStr">
        <is>
          <t>Extrato conta corrente - Tenda</t>
        </is>
      </c>
      <c r="K269" s="33">
        <f>VALUE(RIGHT(A269,4))</f>
        <v/>
      </c>
      <c r="L269" s="16">
        <f>DATE(VALUE(RIGHT(A269,4)),VALUE(MID(A269,4,2)),1)</f>
        <v/>
      </c>
      <c r="M269" s="17">
        <f>INDEX(IPCA!$D$5:$D$313,MATCH(Distrato!$B$3,IPCA!$A$5:$A$313,0))/INDEX(IPCA!$D$5:$D$313,MATCH(DATE(YEAR(L269),MONTH(L269)-1,1),IPCA!$A$5:$A$313,0))</f>
        <v/>
      </c>
      <c r="N269" s="15">
        <f>IF(L269&gt;Distrato!$B$3,D269,D269*M269)</f>
        <v/>
      </c>
    </row>
    <row r="270">
      <c r="A270" s="33" t="inlineStr">
        <is>
          <t>15/06/2023</t>
        </is>
      </c>
      <c r="B270" s="33" t="inlineStr">
        <is>
          <t>TOTAL CENTRO DE DISTRIBUICAO INTEGRADA LTDA - 12.460.301/0001-87</t>
        </is>
      </c>
      <c r="C270" s="33" t="inlineStr">
        <is>
          <t>FRUGIS REPRESENTACOES LTDA - 11.989.186/0001-70</t>
        </is>
      </c>
      <c r="D270" s="34">
        <f>G270</f>
        <v/>
      </c>
      <c r="E270" s="33" t="inlineStr">
        <is>
          <t>05/2023</t>
        </is>
      </c>
      <c r="F270" s="35" t="n"/>
      <c r="G270" s="35" t="n">
        <v>28179.97</v>
      </c>
      <c r="H270" s="34" t="n"/>
      <c r="I270" s="33" t="inlineStr">
        <is>
          <t>Complementado (não existia na base)</t>
        </is>
      </c>
      <c r="J270" s="33" t="inlineStr">
        <is>
          <t>Extrato conta corrente - Tenda</t>
        </is>
      </c>
      <c r="K270" s="33">
        <f>VALUE(RIGHT(A270,4))</f>
        <v/>
      </c>
      <c r="L270" s="16">
        <f>DATE(VALUE(RIGHT(A270,4)),VALUE(MID(A270,4,2)),1)</f>
        <v/>
      </c>
      <c r="M270" s="17">
        <f>INDEX(IPCA!$D$5:$D$313,MATCH(Distrato!$B$3,IPCA!$A$5:$A$313,0))/INDEX(IPCA!$D$5:$D$313,MATCH(DATE(YEAR(L270),MONTH(L270)-1,1),IPCA!$A$5:$A$313,0))</f>
        <v/>
      </c>
      <c r="N270" s="15">
        <f>IF(L270&gt;Distrato!$B$3,D270,D270*M270)</f>
        <v/>
      </c>
    </row>
    <row r="271">
      <c r="A271" s="33" t="inlineStr">
        <is>
          <t>15/07/2023</t>
        </is>
      </c>
      <c r="B271" s="33" t="inlineStr">
        <is>
          <t>TOTAL CENTRO DE DISTRIBUICAO INTEGRADA LTDA - 12.460.301/0001-87</t>
        </is>
      </c>
      <c r="C271" s="33" t="inlineStr">
        <is>
          <t>FRUGIS REPRESENTACOES LTDA - 11.989.186/0001-70</t>
        </is>
      </c>
      <c r="D271" s="34">
        <f>G271</f>
        <v/>
      </c>
      <c r="E271" s="33" t="inlineStr">
        <is>
          <t>06/2023</t>
        </is>
      </c>
      <c r="F271" s="35" t="n"/>
      <c r="G271" s="35" t="n">
        <v>31811.06</v>
      </c>
      <c r="H271" s="34" t="n"/>
      <c r="I271" s="33" t="inlineStr">
        <is>
          <t>Complementado (não existia na base)</t>
        </is>
      </c>
      <c r="J271" s="33" t="inlineStr">
        <is>
          <t>Extrato conta corrente - Tenda</t>
        </is>
      </c>
      <c r="K271" s="33">
        <f>VALUE(RIGHT(A271,4))</f>
        <v/>
      </c>
      <c r="L271" s="16">
        <f>DATE(VALUE(RIGHT(A271,4)),VALUE(MID(A271,4,2)),1)</f>
        <v/>
      </c>
      <c r="M271" s="17">
        <f>INDEX(IPCA!$D$5:$D$313,MATCH(Distrato!$B$3,IPCA!$A$5:$A$313,0))/INDEX(IPCA!$D$5:$D$313,MATCH(DATE(YEAR(L271),MONTH(L271)-1,1),IPCA!$A$5:$A$313,0))</f>
        <v/>
      </c>
      <c r="N271" s="15">
        <f>IF(L271&gt;Distrato!$B$3,D271,D271*M271)</f>
        <v/>
      </c>
    </row>
    <row r="272">
      <c r="A272" s="33" t="inlineStr">
        <is>
          <t>15/08/2023</t>
        </is>
      </c>
      <c r="B272" s="33" t="inlineStr">
        <is>
          <t>TOTAL CENTRO DE DISTRIBUICAO INTEGRADA LTDA - 12.460.301/0001-87</t>
        </is>
      </c>
      <c r="C272" s="33" t="inlineStr">
        <is>
          <t>FRUGIS REPRESENTACOES LTDA - 11.989.186/0001-70</t>
        </is>
      </c>
      <c r="D272" s="34">
        <f>G272</f>
        <v/>
      </c>
      <c r="E272" s="33" t="inlineStr">
        <is>
          <t>07/2023</t>
        </is>
      </c>
      <c r="F272" s="35" t="n"/>
      <c r="G272" s="35" t="n">
        <v>24574.17</v>
      </c>
      <c r="H272" s="34" t="n"/>
      <c r="I272" s="33" t="inlineStr">
        <is>
          <t>Complementado (não existia na base)</t>
        </is>
      </c>
      <c r="J272" s="33" t="inlineStr">
        <is>
          <t>Extrato conta corrente - Tenda</t>
        </is>
      </c>
      <c r="K272" s="33">
        <f>VALUE(RIGHT(A272,4))</f>
        <v/>
      </c>
      <c r="L272" s="16">
        <f>DATE(VALUE(RIGHT(A272,4)),VALUE(MID(A272,4,2)),1)</f>
        <v/>
      </c>
      <c r="M272" s="17">
        <f>INDEX(IPCA!$D$5:$D$313,MATCH(Distrato!$B$3,IPCA!$A$5:$A$313,0))/INDEX(IPCA!$D$5:$D$313,MATCH(DATE(YEAR(L272),MONTH(L272)-1,1),IPCA!$A$5:$A$313,0))</f>
        <v/>
      </c>
      <c r="N272" s="15">
        <f>IF(L272&gt;Distrato!$B$3,D272,D272*M272)</f>
        <v/>
      </c>
    </row>
    <row r="273">
      <c r="A273" s="33" t="inlineStr">
        <is>
          <t>15/09/2023</t>
        </is>
      </c>
      <c r="B273" s="33" t="inlineStr">
        <is>
          <t>TOTAL CENTRO DE DISTRIBUICAO INTEGRADA LTDA - 12.460.301/0001-87</t>
        </is>
      </c>
      <c r="C273" s="33" t="inlineStr">
        <is>
          <t>FRUGIS REPRESENTACOES LTDA - 11.989.186/0001-70</t>
        </is>
      </c>
      <c r="D273" s="34">
        <f>G273</f>
        <v/>
      </c>
      <c r="E273" s="33" t="inlineStr">
        <is>
          <t>08/2023</t>
        </is>
      </c>
      <c r="F273" s="35" t="n"/>
      <c r="G273" s="35" t="n">
        <v>32188.63</v>
      </c>
      <c r="H273" s="34" t="n"/>
      <c r="I273" s="33" t="inlineStr">
        <is>
          <t>Complementado (não existia na base)</t>
        </is>
      </c>
      <c r="J273" s="33" t="inlineStr">
        <is>
          <t>Extrato conta corrente - Tenda</t>
        </is>
      </c>
      <c r="K273" s="33">
        <f>VALUE(RIGHT(A273,4))</f>
        <v/>
      </c>
      <c r="L273" s="16">
        <f>DATE(VALUE(RIGHT(A273,4)),VALUE(MID(A273,4,2)),1)</f>
        <v/>
      </c>
      <c r="M273" s="17">
        <f>INDEX(IPCA!$D$5:$D$313,MATCH(Distrato!$B$3,IPCA!$A$5:$A$313,0))/INDEX(IPCA!$D$5:$D$313,MATCH(DATE(YEAR(L273),MONTH(L273)-1,1),IPCA!$A$5:$A$313,0))</f>
        <v/>
      </c>
      <c r="N273" s="15">
        <f>IF(L273&gt;Distrato!$B$3,D273,D273*M273)</f>
        <v/>
      </c>
    </row>
    <row r="274">
      <c r="A274" s="33" t="inlineStr">
        <is>
          <t>15/10/2023</t>
        </is>
      </c>
      <c r="B274" s="33" t="inlineStr">
        <is>
          <t>TOTAL CENTRO DE DISTRIBUICAO INTEGRADA LTDA - 12.460.301/0001-87</t>
        </is>
      </c>
      <c r="C274" s="33" t="inlineStr">
        <is>
          <t>FRUGIS REPRESENTACOES LTDA - 11.989.186/0001-70</t>
        </is>
      </c>
      <c r="D274" s="34">
        <f>G274</f>
        <v/>
      </c>
      <c r="E274" s="33" t="inlineStr">
        <is>
          <t>09/2023</t>
        </is>
      </c>
      <c r="F274" s="35" t="n"/>
      <c r="G274" s="35" t="n">
        <v>8646.93</v>
      </c>
      <c r="H274" s="34" t="n"/>
      <c r="I274" s="33" t="inlineStr">
        <is>
          <t>Complementado (não existia na base)</t>
        </is>
      </c>
      <c r="J274" s="33" t="inlineStr">
        <is>
          <t>Extrato conta corrente - Tenda</t>
        </is>
      </c>
      <c r="K274" s="33">
        <f>VALUE(RIGHT(A274,4))</f>
        <v/>
      </c>
      <c r="L274" s="16">
        <f>DATE(VALUE(RIGHT(A274,4)),VALUE(MID(A274,4,2)),1)</f>
        <v/>
      </c>
      <c r="M274" s="17">
        <f>INDEX(IPCA!$D$5:$D$313,MATCH(Distrato!$B$3,IPCA!$A$5:$A$313,0))/INDEX(IPCA!$D$5:$D$313,MATCH(DATE(YEAR(L274),MONTH(L274)-1,1),IPCA!$A$5:$A$313,0))</f>
        <v/>
      </c>
      <c r="N274" s="15">
        <f>IF(L274&gt;Distrato!$B$3,D274,D274*M274)</f>
        <v/>
      </c>
    </row>
    <row r="275">
      <c r="A275" s="33" t="inlineStr">
        <is>
          <t>15/11/2023</t>
        </is>
      </c>
      <c r="B275" s="33" t="inlineStr">
        <is>
          <t>TOTAL CENTRO DE DISTRIBUICAO INTEGRADA LTDA - 12.460.301/0001-87</t>
        </is>
      </c>
      <c r="C275" s="33" t="inlineStr">
        <is>
          <t>FRUGIS REPRESENTACOES LTDA - 11.989.186/0001-70</t>
        </is>
      </c>
      <c r="D275" s="34">
        <f>G275</f>
        <v/>
      </c>
      <c r="E275" s="33" t="inlineStr">
        <is>
          <t>10/2023</t>
        </is>
      </c>
      <c r="F275" s="35" t="n"/>
      <c r="G275" s="35" t="n">
        <v>30906.7</v>
      </c>
      <c r="H275" s="34" t="n"/>
      <c r="I275" s="33" t="inlineStr">
        <is>
          <t>Complementado (não existia na base)</t>
        </is>
      </c>
      <c r="J275" s="33" t="inlineStr">
        <is>
          <t>Extrato conta corrente - Tenda</t>
        </is>
      </c>
      <c r="K275" s="33">
        <f>VALUE(RIGHT(A275,4))</f>
        <v/>
      </c>
      <c r="L275" s="16">
        <f>DATE(VALUE(RIGHT(A275,4)),VALUE(MID(A275,4,2)),1)</f>
        <v/>
      </c>
      <c r="M275" s="17">
        <f>INDEX(IPCA!$D$5:$D$313,MATCH(Distrato!$B$3,IPCA!$A$5:$A$313,0))/INDEX(IPCA!$D$5:$D$313,MATCH(DATE(YEAR(L275),MONTH(L275)-1,1),IPCA!$A$5:$A$313,0))</f>
        <v/>
      </c>
      <c r="N275" s="15">
        <f>IF(L275&gt;Distrato!$B$3,D275,D275*M275)</f>
        <v/>
      </c>
    </row>
    <row r="276">
      <c r="A276" s="33" t="inlineStr">
        <is>
          <t>15/12/2023</t>
        </is>
      </c>
      <c r="B276" s="33" t="inlineStr">
        <is>
          <t>TOTAL CENTRO DE DISTRIBUICAO INTEGRADA LTDA - 12.460.301/0001-87</t>
        </is>
      </c>
      <c r="C276" s="33" t="inlineStr">
        <is>
          <t>FRUGIS REPRESENTACOES LTDA - 11.989.186/0001-70</t>
        </is>
      </c>
      <c r="D276" s="34">
        <f>G276</f>
        <v/>
      </c>
      <c r="E276" s="33" t="inlineStr">
        <is>
          <t>11/2023</t>
        </is>
      </c>
      <c r="F276" s="35" t="n"/>
      <c r="G276" s="35" t="n">
        <v>24222.46</v>
      </c>
      <c r="H276" s="34" t="n"/>
      <c r="I276" s="33" t="inlineStr">
        <is>
          <t>Complementado (não existia na base)</t>
        </is>
      </c>
      <c r="J276" s="33" t="inlineStr">
        <is>
          <t>Extrato conta corrente - Tenda</t>
        </is>
      </c>
      <c r="K276" s="33">
        <f>VALUE(RIGHT(A276,4))</f>
        <v/>
      </c>
      <c r="L276" s="16">
        <f>DATE(VALUE(RIGHT(A276,4)),VALUE(MID(A276,4,2)),1)</f>
        <v/>
      </c>
      <c r="M276" s="17">
        <f>INDEX(IPCA!$D$5:$D$313,MATCH(Distrato!$B$3,IPCA!$A$5:$A$313,0))/INDEX(IPCA!$D$5:$D$313,MATCH(DATE(YEAR(L276),MONTH(L276)-1,1),IPCA!$A$5:$A$313,0))</f>
        <v/>
      </c>
      <c r="N276" s="15">
        <f>IF(L276&gt;Distrato!$B$3,D276,D276*M276)</f>
        <v/>
      </c>
    </row>
    <row r="277">
      <c r="A277" s="33" t="inlineStr">
        <is>
          <t>15/01/2024</t>
        </is>
      </c>
      <c r="B277" s="33" t="inlineStr">
        <is>
          <t>TOTAL CENTRO DE DISTRIBUICAO INTEGRADA LTDA - 12.460.301/0001-87</t>
        </is>
      </c>
      <c r="C277" s="33" t="inlineStr">
        <is>
          <t>FRUGIS REPRESENTACOES LTDA - 11.989.186/0001-70</t>
        </is>
      </c>
      <c r="D277" s="34">
        <f>G277</f>
        <v/>
      </c>
      <c r="E277" s="33" t="inlineStr">
        <is>
          <t>12/2023</t>
        </is>
      </c>
      <c r="F277" s="35" t="n"/>
      <c r="G277" s="35" t="n">
        <v>20414.82</v>
      </c>
      <c r="H277" s="34" t="n"/>
      <c r="I277" s="33" t="inlineStr">
        <is>
          <t>Complementado (não existia na base)</t>
        </is>
      </c>
      <c r="J277" s="33" t="inlineStr">
        <is>
          <t>Extrato conta corrente - Tenda</t>
        </is>
      </c>
      <c r="K277" s="33">
        <f>VALUE(RIGHT(A277,4))</f>
        <v/>
      </c>
      <c r="L277" s="16">
        <f>DATE(VALUE(RIGHT(A277,4)),VALUE(MID(A277,4,2)),1)</f>
        <v/>
      </c>
      <c r="M277" s="17">
        <f>INDEX(IPCA!$D$5:$D$313,MATCH(Distrato!$B$3,IPCA!$A$5:$A$313,0))/INDEX(IPCA!$D$5:$D$313,MATCH(DATE(YEAR(L277),MONTH(L277)-1,1),IPCA!$A$5:$A$313,0))</f>
        <v/>
      </c>
      <c r="N277" s="15">
        <f>IF(L277&gt;Distrato!$B$3,D277,D277*M277)</f>
        <v/>
      </c>
    </row>
    <row r="278">
      <c r="A278" s="33" t="inlineStr">
        <is>
          <t>15/02/2024</t>
        </is>
      </c>
      <c r="B278" s="33" t="inlineStr">
        <is>
          <t>TOTAL CENTRO DE DISTRIBUICAO INTEGRADA LTDA - 12.460.301/0001-87</t>
        </is>
      </c>
      <c r="C278" s="33" t="inlineStr">
        <is>
          <t>FRUGIS REPRESENTACOES LTDA - 11.989.186/0001-70</t>
        </is>
      </c>
      <c r="D278" s="34">
        <f>G278</f>
        <v/>
      </c>
      <c r="E278" s="33" t="inlineStr">
        <is>
          <t>01/2024</t>
        </is>
      </c>
      <c r="F278" s="35" t="n"/>
      <c r="G278" s="35" t="n">
        <v>18505.86</v>
      </c>
      <c r="H278" s="34" t="n"/>
      <c r="I278" s="33" t="inlineStr">
        <is>
          <t>Complementado (não existia na base)</t>
        </is>
      </c>
      <c r="J278" s="33" t="inlineStr">
        <is>
          <t>Extrato conta corrente - Tenda</t>
        </is>
      </c>
      <c r="K278" s="33">
        <f>VALUE(RIGHT(A278,4))</f>
        <v/>
      </c>
      <c r="L278" s="16">
        <f>DATE(VALUE(RIGHT(A278,4)),VALUE(MID(A278,4,2)),1)</f>
        <v/>
      </c>
      <c r="M278" s="17">
        <f>INDEX(IPCA!$D$5:$D$313,MATCH(Distrato!$B$3,IPCA!$A$5:$A$313,0))/INDEX(IPCA!$D$5:$D$313,MATCH(DATE(YEAR(L278),MONTH(L278)-1,1),IPCA!$A$5:$A$313,0))</f>
        <v/>
      </c>
      <c r="N278" s="15">
        <f>IF(L278&gt;Distrato!$B$3,D278,D278*M278)</f>
        <v/>
      </c>
    </row>
    <row r="279">
      <c r="A279" s="33" t="inlineStr">
        <is>
          <t>15/03/2024</t>
        </is>
      </c>
      <c r="B279" s="33" t="inlineStr">
        <is>
          <t>TOTAL CENTRO DE DISTRIBUICAO INTEGRADA LTDA - 12.460.301/0001-87</t>
        </is>
      </c>
      <c r="C279" s="33" t="inlineStr">
        <is>
          <t>FRUGIS REPRESENTACOES LTDA - 11.989.186/0001-70</t>
        </is>
      </c>
      <c r="D279" s="34">
        <f>G279</f>
        <v/>
      </c>
      <c r="E279" s="33" t="inlineStr">
        <is>
          <t>02/2024</t>
        </is>
      </c>
      <c r="F279" s="35" t="n"/>
      <c r="G279" s="35" t="n">
        <v>27627.71</v>
      </c>
      <c r="H279" s="34" t="n"/>
      <c r="I279" s="33" t="inlineStr">
        <is>
          <t>Complementado (não existia na base)</t>
        </is>
      </c>
      <c r="J279" s="33" t="inlineStr">
        <is>
          <t>Extrato conta corrente - Tenda</t>
        </is>
      </c>
      <c r="K279" s="33">
        <f>VALUE(RIGHT(A279,4))</f>
        <v/>
      </c>
      <c r="L279" s="16">
        <f>DATE(VALUE(RIGHT(A279,4)),VALUE(MID(A279,4,2)),1)</f>
        <v/>
      </c>
      <c r="M279" s="17">
        <f>INDEX(IPCA!$D$5:$D$313,MATCH(Distrato!$B$3,IPCA!$A$5:$A$313,0))/INDEX(IPCA!$D$5:$D$313,MATCH(DATE(YEAR(L279),MONTH(L279)-1,1),IPCA!$A$5:$A$313,0))</f>
        <v/>
      </c>
      <c r="N279" s="15">
        <f>IF(L279&gt;Distrato!$B$3,D279,D279*M279)</f>
        <v/>
      </c>
    </row>
    <row r="280">
      <c r="A280" s="33" t="inlineStr">
        <is>
          <t>15/04/2024</t>
        </is>
      </c>
      <c r="B280" s="33" t="inlineStr">
        <is>
          <t>TOTAL CENTRO DE DISTRIBUICAO INTEGRADA LTDA - 12.460.301/0001-87</t>
        </is>
      </c>
      <c r="C280" s="33" t="inlineStr">
        <is>
          <t>FRUGIS REPRESENTACOES LTDA - 11.989.186/0001-70</t>
        </is>
      </c>
      <c r="D280" s="34">
        <f>G280</f>
        <v/>
      </c>
      <c r="E280" s="33" t="inlineStr">
        <is>
          <t>03/2024</t>
        </is>
      </c>
      <c r="F280" s="35" t="n"/>
      <c r="G280" s="35" t="n">
        <v>21939.39</v>
      </c>
      <c r="H280" s="34" t="n"/>
      <c r="I280" s="33" t="inlineStr">
        <is>
          <t>Complementado (não existia na base)</t>
        </is>
      </c>
      <c r="J280" s="33" t="inlineStr">
        <is>
          <t>Extrato conta corrente - Tenda</t>
        </is>
      </c>
      <c r="K280" s="33">
        <f>VALUE(RIGHT(A280,4))</f>
        <v/>
      </c>
      <c r="L280" s="16">
        <f>DATE(VALUE(RIGHT(A280,4)),VALUE(MID(A280,4,2)),1)</f>
        <v/>
      </c>
      <c r="M280" s="17">
        <f>INDEX(IPCA!$D$5:$D$313,MATCH(Distrato!$B$3,IPCA!$A$5:$A$313,0))/INDEX(IPCA!$D$5:$D$313,MATCH(DATE(YEAR(L280),MONTH(L280)-1,1),IPCA!$A$5:$A$313,0))</f>
        <v/>
      </c>
      <c r="N280" s="15">
        <f>IF(L280&gt;Distrato!$B$3,D280,D280*M280)</f>
        <v/>
      </c>
    </row>
    <row r="281">
      <c r="A281" s="33" t="inlineStr">
        <is>
          <t>15/05/2024</t>
        </is>
      </c>
      <c r="B281" s="33" t="inlineStr">
        <is>
          <t>TOTAL CENTRO DE DISTRIBUICAO INTEGRADA LTDA - 12.460.301/0001-87</t>
        </is>
      </c>
      <c r="C281" s="33" t="inlineStr">
        <is>
          <t>FRUGIS REPRESENTACOES LTDA - 11.989.186/0001-70</t>
        </is>
      </c>
      <c r="D281" s="34">
        <f>G281</f>
        <v/>
      </c>
      <c r="E281" s="33" t="inlineStr">
        <is>
          <t>04/2024</t>
        </is>
      </c>
      <c r="F281" s="35" t="n"/>
      <c r="G281" s="35" t="n">
        <v>21857.4</v>
      </c>
      <c r="H281" s="34" t="n"/>
      <c r="I281" s="33" t="inlineStr">
        <is>
          <t>Complementado (não existia na base)</t>
        </is>
      </c>
      <c r="J281" s="33" t="inlineStr">
        <is>
          <t>Extrato conta corrente - Tenda</t>
        </is>
      </c>
      <c r="K281" s="33">
        <f>VALUE(RIGHT(A281,4))</f>
        <v/>
      </c>
      <c r="L281" s="16">
        <f>DATE(VALUE(RIGHT(A281,4)),VALUE(MID(A281,4,2)),1)</f>
        <v/>
      </c>
      <c r="M281" s="17">
        <f>INDEX(IPCA!$D$5:$D$313,MATCH(Distrato!$B$3,IPCA!$A$5:$A$313,0))/INDEX(IPCA!$D$5:$D$313,MATCH(DATE(YEAR(L281),MONTH(L281)-1,1),IPCA!$A$5:$A$313,0))</f>
        <v/>
      </c>
      <c r="N281" s="15">
        <f>IF(L281&gt;Distrato!$B$3,D281,D281*M281)</f>
        <v/>
      </c>
    </row>
    <row r="282">
      <c r="A282" s="33" t="inlineStr">
        <is>
          <t>15/06/2024</t>
        </is>
      </c>
      <c r="B282" s="33" t="inlineStr">
        <is>
          <t>TOTAL CENTRO DE DISTRIBUICAO INTEGRADA LTDA - 12.460.301/0001-87</t>
        </is>
      </c>
      <c r="C282" s="33" t="inlineStr">
        <is>
          <t>FRUGIS REPRESENTACOES LTDA - 11.989.186/0001-70</t>
        </is>
      </c>
      <c r="D282" s="34">
        <f>G282</f>
        <v/>
      </c>
      <c r="E282" s="33" t="inlineStr">
        <is>
          <t>05/2024</t>
        </is>
      </c>
      <c r="F282" s="35" t="n"/>
      <c r="G282" s="35" t="n">
        <v>0</v>
      </c>
      <c r="H282" s="34" t="n"/>
      <c r="I282" s="33" t="inlineStr">
        <is>
          <t>Complementado (sem pagamento no mês)</t>
        </is>
      </c>
      <c r="J282" s="33" t="inlineStr">
        <is>
          <t>Sem pagamento no mês</t>
        </is>
      </c>
      <c r="K282" s="33">
        <f>VALUE(RIGHT(A282,4))</f>
        <v/>
      </c>
      <c r="L282" s="16">
        <f>DATE(VALUE(RIGHT(A282,4)),VALUE(MID(A282,4,2)),1)</f>
        <v/>
      </c>
      <c r="M282" s="17">
        <f>INDEX(IPCA!$D$5:$D$313,MATCH(Distrato!$B$3,IPCA!$A$5:$A$313,0))/INDEX(IPCA!$D$5:$D$313,MATCH(DATE(YEAR(L282),MONTH(L282)-1,1),IPCA!$A$5:$A$313,0))</f>
        <v/>
      </c>
      <c r="N282" s="15">
        <f>IF(L282&gt;Distrato!$B$3,D282,D282*M282)</f>
        <v/>
      </c>
    </row>
    <row r="283">
      <c r="A283" s="33" t="inlineStr">
        <is>
          <t>15/07/2024</t>
        </is>
      </c>
      <c r="B283" s="33" t="inlineStr">
        <is>
          <t>TOTAL CENTRO DE DISTRIBUICAO INTEGRADA LTDA - 12.460.301/0001-87</t>
        </is>
      </c>
      <c r="C283" s="33" t="inlineStr">
        <is>
          <t>FRUGIS REPRESENTACOES LTDA - 11.989.186/0001-70</t>
        </is>
      </c>
      <c r="D283" s="34">
        <f>G283</f>
        <v/>
      </c>
      <c r="E283" s="33" t="inlineStr">
        <is>
          <t>06/2024</t>
        </is>
      </c>
      <c r="F283" s="35" t="n"/>
      <c r="G283" s="35" t="n">
        <v>35165</v>
      </c>
      <c r="H283" s="34" t="n"/>
      <c r="I283" s="33" t="inlineStr">
        <is>
          <t>Complementado (não existia na base)</t>
        </is>
      </c>
      <c r="J283" s="33" t="inlineStr">
        <is>
          <t>Extrato conta corrente - Tenda</t>
        </is>
      </c>
      <c r="K283" s="33">
        <f>VALUE(RIGHT(A283,4))</f>
        <v/>
      </c>
      <c r="L283" s="16">
        <f>DATE(VALUE(RIGHT(A283,4)),VALUE(MID(A283,4,2)),1)</f>
        <v/>
      </c>
      <c r="M283" s="17">
        <f>INDEX(IPCA!$D$5:$D$313,MATCH(Distrato!$B$3,IPCA!$A$5:$A$313,0))/INDEX(IPCA!$D$5:$D$313,MATCH(DATE(YEAR(L283),MONTH(L283)-1,1),IPCA!$A$5:$A$313,0))</f>
        <v/>
      </c>
      <c r="N283" s="15">
        <f>IF(L283&gt;Distrato!$B$3,D283,D283*M283)</f>
        <v/>
      </c>
    </row>
    <row r="284">
      <c r="A284" s="33" t="inlineStr">
        <is>
          <t>15/08/2024</t>
        </is>
      </c>
      <c r="B284" s="33" t="inlineStr">
        <is>
          <t>TOTAL CENTRO DE DISTRIBUICAO INTEGRADA LTDA - 12.460.301/0001-87</t>
        </is>
      </c>
      <c r="C284" s="33" t="inlineStr">
        <is>
          <t>FRUGIS REPRESENTACOES LTDA - 11.989.186/0001-70</t>
        </is>
      </c>
      <c r="D284" s="34">
        <f>G284</f>
        <v/>
      </c>
      <c r="E284" s="33" t="inlineStr">
        <is>
          <t>07/2024</t>
        </is>
      </c>
      <c r="F284" s="35" t="n"/>
      <c r="G284" s="35" t="n">
        <v>10669.56</v>
      </c>
      <c r="H284" s="34" t="n"/>
      <c r="I284" s="33" t="inlineStr">
        <is>
          <t>Complementado (não existia na base)</t>
        </is>
      </c>
      <c r="J284" s="33" t="inlineStr">
        <is>
          <t>Extrato conta corrente - Tenda</t>
        </is>
      </c>
      <c r="K284" s="33">
        <f>VALUE(RIGHT(A284,4))</f>
        <v/>
      </c>
      <c r="L284" s="16">
        <f>DATE(VALUE(RIGHT(A284,4)),VALUE(MID(A284,4,2)),1)</f>
        <v/>
      </c>
      <c r="M284" s="17">
        <f>INDEX(IPCA!$D$5:$D$313,MATCH(Distrato!$B$3,IPCA!$A$5:$A$313,0))/INDEX(IPCA!$D$5:$D$313,MATCH(DATE(YEAR(L284),MONTH(L284)-1,1),IPCA!$A$5:$A$313,0))</f>
        <v/>
      </c>
      <c r="N284" s="15">
        <f>IF(L284&gt;Distrato!$B$3,D284,D284*M284)</f>
        <v/>
      </c>
    </row>
    <row r="285">
      <c r="A285" s="33" t="inlineStr">
        <is>
          <t>15/09/2024</t>
        </is>
      </c>
      <c r="B285" s="33" t="inlineStr">
        <is>
          <t>TOTAL CENTRO DE DISTRIBUICAO INTEGRADA LTDA - 12.460.301/0001-87</t>
        </is>
      </c>
      <c r="C285" s="33" t="inlineStr">
        <is>
          <t>FRUGIS REPRESENTACOES LTDA - 11.989.186/0001-70</t>
        </is>
      </c>
      <c r="D285" s="34">
        <f>G285</f>
        <v/>
      </c>
      <c r="E285" s="33" t="inlineStr">
        <is>
          <t>08/2024</t>
        </is>
      </c>
      <c r="F285" s="35" t="n"/>
      <c r="G285" s="35" t="n">
        <v>6226.18</v>
      </c>
      <c r="H285" s="34" t="n"/>
      <c r="I285" s="33" t="inlineStr">
        <is>
          <t>Complementado (não existia na base)</t>
        </is>
      </c>
      <c r="J285" s="33" t="inlineStr">
        <is>
          <t>Extrato conta corrente - Tenda</t>
        </is>
      </c>
      <c r="K285" s="33">
        <f>VALUE(RIGHT(A285,4))</f>
        <v/>
      </c>
      <c r="L285" s="16">
        <f>DATE(VALUE(RIGHT(A285,4)),VALUE(MID(A285,4,2)),1)</f>
        <v/>
      </c>
      <c r="M285" s="17">
        <f>INDEX(IPCA!$D$5:$D$313,MATCH(Distrato!$B$3,IPCA!$A$5:$A$313,0))/INDEX(IPCA!$D$5:$D$313,MATCH(DATE(YEAR(L285),MONTH(L285)-1,1),IPCA!$A$5:$A$313,0))</f>
        <v/>
      </c>
      <c r="N285" s="15">
        <f>IF(L285&gt;Distrato!$B$3,D285,D285*M285)</f>
        <v/>
      </c>
    </row>
    <row r="286">
      <c r="A286" s="33" t="inlineStr">
        <is>
          <t>15/10/2024</t>
        </is>
      </c>
      <c r="B286" s="33" t="inlineStr">
        <is>
          <t>TOTAL CENTRO DE DISTRIBUICAO INTEGRADA LTDA - 12.460.301/0001-87</t>
        </is>
      </c>
      <c r="C286" s="33" t="inlineStr">
        <is>
          <t>FRUGIS REPRESENTACOES LTDA - 11.989.186/0001-70</t>
        </is>
      </c>
      <c r="D286" s="34">
        <f>G286</f>
        <v/>
      </c>
      <c r="E286" s="33" t="inlineStr">
        <is>
          <t>09/2024</t>
        </is>
      </c>
      <c r="F286" s="35" t="n"/>
      <c r="G286" s="35" t="n">
        <v>8455.809999999999</v>
      </c>
      <c r="H286" s="34" t="n"/>
      <c r="I286" s="33" t="inlineStr">
        <is>
          <t>Complementado (não existia na base)</t>
        </is>
      </c>
      <c r="J286" s="33" t="inlineStr">
        <is>
          <t>Extrato conta corrente - Tenda</t>
        </is>
      </c>
      <c r="K286" s="33">
        <f>VALUE(RIGHT(A286,4))</f>
        <v/>
      </c>
      <c r="L286" s="16">
        <f>DATE(VALUE(RIGHT(A286,4)),VALUE(MID(A286,4,2)),1)</f>
        <v/>
      </c>
      <c r="M286" s="17">
        <f>INDEX(IPCA!$D$5:$D$313,MATCH(Distrato!$B$3,IPCA!$A$5:$A$313,0))/INDEX(IPCA!$D$5:$D$313,MATCH(DATE(YEAR(L286),MONTH(L286)-1,1),IPCA!$A$5:$A$313,0))</f>
        <v/>
      </c>
      <c r="N286" s="15">
        <f>IF(L286&gt;Distrato!$B$3,D286,D286*M286)</f>
        <v/>
      </c>
    </row>
    <row r="287">
      <c r="A287" s="33" t="inlineStr">
        <is>
          <t>15/11/2024</t>
        </is>
      </c>
      <c r="B287" s="33" t="inlineStr">
        <is>
          <t>TOTAL CENTRO DE DISTRIBUICAO INTEGRADA LTDA - 12.460.301/0001-87</t>
        </is>
      </c>
      <c r="C287" s="33" t="inlineStr">
        <is>
          <t>FRUGIS REPRESENTACOES LTDA - 11.989.186/0001-70</t>
        </is>
      </c>
      <c r="D287" s="34">
        <f>G287</f>
        <v/>
      </c>
      <c r="E287" s="33" t="inlineStr">
        <is>
          <t>10/2024</t>
        </is>
      </c>
      <c r="F287" s="35" t="n"/>
      <c r="G287" s="35" t="n">
        <v>12856.04</v>
      </c>
      <c r="H287" s="34" t="n"/>
      <c r="I287" s="33" t="inlineStr">
        <is>
          <t>Complementado (não existia na base)</t>
        </is>
      </c>
      <c r="J287" s="33" t="inlineStr">
        <is>
          <t>Extrato conta corrente - Tenda</t>
        </is>
      </c>
      <c r="K287" s="33">
        <f>VALUE(RIGHT(A287,4))</f>
        <v/>
      </c>
      <c r="L287" s="16">
        <f>DATE(VALUE(RIGHT(A287,4)),VALUE(MID(A287,4,2)),1)</f>
        <v/>
      </c>
      <c r="M287" s="17">
        <f>INDEX(IPCA!$D$5:$D$313,MATCH(Distrato!$B$3,IPCA!$A$5:$A$313,0))/INDEX(IPCA!$D$5:$D$313,MATCH(DATE(YEAR(L287),MONTH(L287)-1,1),IPCA!$A$5:$A$313,0))</f>
        <v/>
      </c>
      <c r="N287" s="15">
        <f>IF(L287&gt;Distrato!$B$3,D287,D287*M287)</f>
        <v/>
      </c>
    </row>
    <row r="288">
      <c r="A288" s="33" t="inlineStr">
        <is>
          <t>15/12/2024</t>
        </is>
      </c>
      <c r="B288" s="33" t="inlineStr">
        <is>
          <t>TOTAL CENTRO DE DISTRIBUICAO INTEGRADA LTDA - 12.460.301/0001-87</t>
        </is>
      </c>
      <c r="C288" s="33" t="inlineStr">
        <is>
          <t>FRUGIS REPRESENTACOES LTDA - 11.989.186/0001-70</t>
        </is>
      </c>
      <c r="D288" s="34">
        <f>G288</f>
        <v/>
      </c>
      <c r="E288" s="33" t="inlineStr">
        <is>
          <t>11/2024</t>
        </is>
      </c>
      <c r="F288" s="35" t="n"/>
      <c r="G288" s="35" t="n">
        <v>9274.77</v>
      </c>
      <c r="H288" s="34" t="n"/>
      <c r="I288" s="33" t="inlineStr">
        <is>
          <t>Complementado (não existia na base)</t>
        </is>
      </c>
      <c r="J288" s="33" t="inlineStr">
        <is>
          <t>Extrato conta corrente - Tenda</t>
        </is>
      </c>
      <c r="K288" s="33">
        <f>VALUE(RIGHT(A288,4))</f>
        <v/>
      </c>
      <c r="L288" s="16">
        <f>DATE(VALUE(RIGHT(A288,4)),VALUE(MID(A288,4,2)),1)</f>
        <v/>
      </c>
      <c r="M288" s="17">
        <f>INDEX(IPCA!$D$5:$D$313,MATCH(Distrato!$B$3,IPCA!$A$5:$A$313,0))/INDEX(IPCA!$D$5:$D$313,MATCH(DATE(YEAR(L288),MONTH(L288)-1,1),IPCA!$A$5:$A$313,0))</f>
        <v/>
      </c>
      <c r="N288" s="15">
        <f>IF(L288&gt;Distrato!$B$3,D288,D288*M288)</f>
        <v/>
      </c>
    </row>
    <row r="289">
      <c r="A289" s="33" t="inlineStr">
        <is>
          <t>15/01/2025</t>
        </is>
      </c>
      <c r="B289" s="33" t="inlineStr">
        <is>
          <t>TOTAL CENTRO DE DISTRIBUICAO INTEGRADA LTDA - 12.460.301/0001-87</t>
        </is>
      </c>
      <c r="C289" s="33" t="inlineStr">
        <is>
          <t>FRUGIS REPRESENTACOES LTDA - 11.989.186/0001-70</t>
        </is>
      </c>
      <c r="D289" s="34">
        <f>G289</f>
        <v/>
      </c>
      <c r="E289" s="33" t="inlineStr">
        <is>
          <t>12/2024</t>
        </is>
      </c>
      <c r="F289" s="35" t="n"/>
      <c r="G289" s="35" t="n">
        <v>11695.62</v>
      </c>
      <c r="H289" s="34" t="n"/>
      <c r="I289" s="33" t="inlineStr">
        <is>
          <t>Complementado (não existia na base)</t>
        </is>
      </c>
      <c r="J289" s="33" t="inlineStr">
        <is>
          <t>Extrato conta corrente - Tenda</t>
        </is>
      </c>
      <c r="K289" s="33">
        <f>VALUE(RIGHT(A289,4))</f>
        <v/>
      </c>
      <c r="L289" s="16">
        <f>DATE(VALUE(RIGHT(A289,4)),VALUE(MID(A289,4,2)),1)</f>
        <v/>
      </c>
      <c r="M289" s="17">
        <f>INDEX(IPCA!$D$5:$D$313,MATCH(Distrato!$B$3,IPCA!$A$5:$A$313,0))/INDEX(IPCA!$D$5:$D$313,MATCH(DATE(YEAR(L289),MONTH(L289)-1,1),IPCA!$A$5:$A$313,0))</f>
        <v/>
      </c>
      <c r="N289" s="15">
        <f>IF(L289&gt;Distrato!$B$3,D289,D289*M289)</f>
        <v/>
      </c>
    </row>
    <row r="290">
      <c r="A290" s="33" t="inlineStr">
        <is>
          <t>15/02/2025</t>
        </is>
      </c>
      <c r="B290" s="33" t="inlineStr">
        <is>
          <t>TOTAL CENTRO DE DISTRIBUICAO INTEGRADA LTDA - 12.460.301/0001-87</t>
        </is>
      </c>
      <c r="C290" s="33" t="inlineStr">
        <is>
          <t>FRUGIS REPRESENTACOES LTDA - 11.989.186/0001-70</t>
        </is>
      </c>
      <c r="D290" s="34">
        <f>G290</f>
        <v/>
      </c>
      <c r="E290" s="33" t="inlineStr">
        <is>
          <t>01/2025</t>
        </is>
      </c>
      <c r="F290" s="35" t="n"/>
      <c r="G290" s="35" t="n">
        <v>7222.03</v>
      </c>
      <c r="H290" s="34" t="n"/>
      <c r="I290" s="33" t="inlineStr">
        <is>
          <t>Complementado (não existia na base)</t>
        </is>
      </c>
      <c r="J290" s="33" t="inlineStr">
        <is>
          <t>Extrato conta corrente - Tenda</t>
        </is>
      </c>
      <c r="K290" s="33">
        <f>VALUE(RIGHT(A290,4))</f>
        <v/>
      </c>
      <c r="L290" s="16">
        <f>DATE(VALUE(RIGHT(A290,4)),VALUE(MID(A290,4,2)),1)</f>
        <v/>
      </c>
      <c r="M290" s="17">
        <f>INDEX(IPCA!$D$5:$D$313,MATCH(Distrato!$B$3,IPCA!$A$5:$A$313,0))/INDEX(IPCA!$D$5:$D$313,MATCH(DATE(YEAR(L290),MONTH(L290)-1,1),IPCA!$A$5:$A$313,0))</f>
        <v/>
      </c>
      <c r="N290" s="15">
        <f>IF(L290&gt;Distrato!$B$3,D290,D290*M290)</f>
        <v/>
      </c>
    </row>
    <row r="291">
      <c r="A291" s="33" t="inlineStr">
        <is>
          <t>15/03/2025</t>
        </is>
      </c>
      <c r="B291" s="33" t="inlineStr">
        <is>
          <t>TOTAL CENTRO DE DISTRIBUICAO INTEGRADA LTDA - 12.460.301/0001-87</t>
        </is>
      </c>
      <c r="C291" s="33" t="inlineStr">
        <is>
          <t>FRUGIS REPRESENTACOES LTDA - 11.989.186/0001-70</t>
        </is>
      </c>
      <c r="D291" s="34">
        <f>G291</f>
        <v/>
      </c>
      <c r="E291" s="33" t="inlineStr">
        <is>
          <t>02/2025</t>
        </is>
      </c>
      <c r="F291" s="35" t="n"/>
      <c r="G291" s="35" t="n">
        <v>0</v>
      </c>
      <c r="H291" s="34" t="n"/>
      <c r="I291" s="33" t="inlineStr">
        <is>
          <t>Complementado (sem pagamento no mês)</t>
        </is>
      </c>
      <c r="J291" s="33" t="inlineStr">
        <is>
          <t>Sem pagamento no mês</t>
        </is>
      </c>
      <c r="K291" s="33">
        <f>VALUE(RIGHT(A291,4))</f>
        <v/>
      </c>
      <c r="L291" s="16">
        <f>DATE(VALUE(RIGHT(A291,4)),VALUE(MID(A291,4,2)),1)</f>
        <v/>
      </c>
      <c r="M291" s="17">
        <f>INDEX(IPCA!$D$5:$D$313,MATCH(Distrato!$B$3,IPCA!$A$5:$A$313,0))/INDEX(IPCA!$D$5:$D$313,MATCH(DATE(YEAR(L291),MONTH(L291)-1,1),IPCA!$A$5:$A$313,0))</f>
        <v/>
      </c>
      <c r="N291" s="15">
        <f>IF(L291&gt;Distrato!$B$3,D291,D291*M291)</f>
        <v/>
      </c>
    </row>
    <row r="292">
      <c r="A292" s="33" t="inlineStr">
        <is>
          <t>15/04/2025</t>
        </is>
      </c>
      <c r="B292" s="33" t="inlineStr">
        <is>
          <t>TOTAL CENTRO DE DISTRIBUICAO INTEGRADA LTDA - 12.460.301/0001-87</t>
        </is>
      </c>
      <c r="C292" s="33" t="inlineStr">
        <is>
          <t>FRUGIS REPRESENTACOES LTDA - 11.989.186/0001-70</t>
        </is>
      </c>
      <c r="D292" s="34">
        <f>G292</f>
        <v/>
      </c>
      <c r="E292" s="33" t="inlineStr">
        <is>
          <t>03/2025</t>
        </is>
      </c>
      <c r="F292" s="35" t="n"/>
      <c r="G292" s="35" t="n">
        <v>20670.62</v>
      </c>
      <c r="H292" s="34" t="n"/>
      <c r="I292" s="33" t="inlineStr">
        <is>
          <t>Complementado (não existia na base)</t>
        </is>
      </c>
      <c r="J292" s="33" t="inlineStr">
        <is>
          <t>Extrato conta corrente - Tenda</t>
        </is>
      </c>
      <c r="K292" s="33">
        <f>VALUE(RIGHT(A292,4))</f>
        <v/>
      </c>
      <c r="L292" s="16">
        <f>DATE(VALUE(RIGHT(A292,4)),VALUE(MID(A292,4,2)),1)</f>
        <v/>
      </c>
      <c r="M292" s="17">
        <f>INDEX(IPCA!$D$5:$D$313,MATCH(Distrato!$B$3,IPCA!$A$5:$A$313,0))/INDEX(IPCA!$D$5:$D$313,MATCH(DATE(YEAR(L292),MONTH(L292)-1,1),IPCA!$A$5:$A$313,0))</f>
        <v/>
      </c>
      <c r="N292" s="15">
        <f>IF(L292&gt;Distrato!$B$3,D292,D292*M292)</f>
        <v/>
      </c>
    </row>
    <row r="293">
      <c r="A293" s="33" t="inlineStr">
        <is>
          <t>15/05/2025</t>
        </is>
      </c>
      <c r="B293" s="33" t="inlineStr">
        <is>
          <t>TOTAL CENTRO DE DISTRIBUICAO INTEGRADA LTDA - 12.460.301/0001-87</t>
        </is>
      </c>
      <c r="C293" s="33" t="inlineStr">
        <is>
          <t>FRUGIS REPRESENTACOES LTDA - 11.989.186/0001-70</t>
        </is>
      </c>
      <c r="D293" s="34">
        <f>G293</f>
        <v/>
      </c>
      <c r="E293" s="33" t="inlineStr">
        <is>
          <t>04/2025</t>
        </is>
      </c>
      <c r="F293" s="35" t="n"/>
      <c r="G293" s="35" t="n">
        <v>11153.34</v>
      </c>
      <c r="H293" s="34" t="n"/>
      <c r="I293" s="33" t="inlineStr">
        <is>
          <t>Complementado (não existia na base)</t>
        </is>
      </c>
      <c r="J293" s="33" t="inlineStr">
        <is>
          <t>Extrato conta corrente - Tenda</t>
        </is>
      </c>
      <c r="K293" s="33">
        <f>VALUE(RIGHT(A293,4))</f>
        <v/>
      </c>
      <c r="L293" s="16">
        <f>DATE(VALUE(RIGHT(A293,4)),VALUE(MID(A293,4,2)),1)</f>
        <v/>
      </c>
      <c r="M293" s="17">
        <f>INDEX(IPCA!$D$5:$D$313,MATCH(Distrato!$B$3,IPCA!$A$5:$A$313,0))/INDEX(IPCA!$D$5:$D$313,MATCH(DATE(YEAR(L293),MONTH(L293)-1,1),IPCA!$A$5:$A$313,0))</f>
        <v/>
      </c>
      <c r="N293" s="15">
        <f>IF(L293&gt;Distrato!$B$3,D293,D293*M293)</f>
        <v/>
      </c>
    </row>
    <row r="294">
      <c r="A294" s="33" t="inlineStr">
        <is>
          <t>15/06/2025</t>
        </is>
      </c>
      <c r="B294" s="33" t="inlineStr">
        <is>
          <t>TOTAL CENTRO DE DISTRIBUICAO INTEGRADA LTDA - 12.460.301/0001-87</t>
        </is>
      </c>
      <c r="C294" s="33" t="inlineStr">
        <is>
          <t>FRUGIS REPRESENTACOES LTDA - 11.989.186/0001-70</t>
        </is>
      </c>
      <c r="D294" s="34">
        <f>G294</f>
        <v/>
      </c>
      <c r="E294" s="33" t="inlineStr">
        <is>
          <t>05/2025</t>
        </is>
      </c>
      <c r="F294" s="35" t="n"/>
      <c r="G294" s="35" t="n">
        <v>0</v>
      </c>
      <c r="H294" s="34" t="n"/>
      <c r="I294" s="33" t="inlineStr">
        <is>
          <t>Complementado (sem pagamento no mês)</t>
        </is>
      </c>
      <c r="J294" s="33" t="inlineStr">
        <is>
          <t>Sem pagamento no mês</t>
        </is>
      </c>
      <c r="K294" s="33">
        <f>VALUE(RIGHT(A294,4))</f>
        <v/>
      </c>
      <c r="L294" s="16">
        <f>DATE(VALUE(RIGHT(A294,4)),VALUE(MID(A294,4,2)),1)</f>
        <v/>
      </c>
      <c r="M294" s="17">
        <f>INDEX(IPCA!$D$5:$D$313,MATCH(Distrato!$B$3,IPCA!$A$5:$A$313,0))/INDEX(IPCA!$D$5:$D$313,MATCH(DATE(YEAR(L294),MONTH(L294)-1,1),IPCA!$A$5:$A$313,0))</f>
        <v/>
      </c>
      <c r="N294" s="15">
        <f>IF(L294&gt;Distrato!$B$3,D294,D294*M294)</f>
        <v/>
      </c>
    </row>
    <row r="295">
      <c r="A295" s="33" t="inlineStr">
        <is>
          <t>15/07/2025</t>
        </is>
      </c>
      <c r="B295" s="33" t="inlineStr">
        <is>
          <t>TOTAL CENTRO DE DISTRIBUICAO INTEGRADA LTDA - 12.460.301/0001-87</t>
        </is>
      </c>
      <c r="C295" s="33" t="inlineStr">
        <is>
          <t>FRUGIS REPRESENTACOES LTDA - 11.989.186/0001-70</t>
        </is>
      </c>
      <c r="D295" s="34">
        <f>G295</f>
        <v/>
      </c>
      <c r="E295" s="33" t="inlineStr">
        <is>
          <t>06/2025</t>
        </is>
      </c>
      <c r="F295" s="35" t="n"/>
      <c r="G295" s="35" t="n">
        <v>11634.56</v>
      </c>
      <c r="H295" s="34" t="n"/>
      <c r="I295" s="33" t="inlineStr">
        <is>
          <t>Complementado (não existia na base)</t>
        </is>
      </c>
      <c r="J295" s="33" t="inlineStr">
        <is>
          <t>Extrato conta corrente - Tenda</t>
        </is>
      </c>
      <c r="K295" s="33">
        <f>VALUE(RIGHT(A295,4))</f>
        <v/>
      </c>
      <c r="L295" s="16">
        <f>DATE(VALUE(RIGHT(A295,4)),VALUE(MID(A295,4,2)),1)</f>
        <v/>
      </c>
      <c r="M295" s="17">
        <f>INDEX(IPCA!$D$5:$D$313,MATCH(Distrato!$B$3,IPCA!$A$5:$A$313,0))/INDEX(IPCA!$D$5:$D$313,MATCH(DATE(YEAR(L295),MONTH(L295)-1,1),IPCA!$A$5:$A$313,0))</f>
        <v/>
      </c>
      <c r="N295" s="15">
        <f>IF(L295&gt;Distrato!$B$3,D295,D295*M295)</f>
        <v/>
      </c>
    </row>
    <row r="296">
      <c r="A296" s="33" t="inlineStr">
        <is>
          <t>15/08/2025</t>
        </is>
      </c>
      <c r="B296" s="33" t="inlineStr">
        <is>
          <t>TOTAL CENTRO DE DISTRIBUICAO INTEGRADA LTDA - 12.460.301/0001-87</t>
        </is>
      </c>
      <c r="C296" s="33" t="inlineStr">
        <is>
          <t>FRUGIS REPRESENTACOES LTDA - 11.989.186/0001-70</t>
        </is>
      </c>
      <c r="D296" s="34">
        <f>G296</f>
        <v/>
      </c>
      <c r="E296" s="33" t="inlineStr">
        <is>
          <t>07/2025</t>
        </is>
      </c>
      <c r="F296" s="35" t="n"/>
      <c r="G296" s="35" t="n">
        <v>11399.31</v>
      </c>
      <c r="H296" s="34" t="n"/>
      <c r="I296" s="33" t="inlineStr">
        <is>
          <t>Complementado (não existia na base)</t>
        </is>
      </c>
      <c r="J296" s="33" t="inlineStr">
        <is>
          <t>Extrato conta corrente - Tenda</t>
        </is>
      </c>
      <c r="K296" s="33">
        <f>VALUE(RIGHT(A296,4))</f>
        <v/>
      </c>
      <c r="L296" s="16">
        <f>DATE(VALUE(RIGHT(A296,4)),VALUE(MID(A296,4,2)),1)</f>
        <v/>
      </c>
      <c r="M296" s="17">
        <f>INDEX(IPCA!$D$5:$D$313,MATCH(Distrato!$B$3,IPCA!$A$5:$A$313,0))/INDEX(IPCA!$D$5:$D$313,MATCH(DATE(YEAR(L296),MONTH(L296)-1,1),IPCA!$A$5:$A$313,0))</f>
        <v/>
      </c>
      <c r="N296" s="15">
        <f>IF(L296&gt;Distrato!$B$3,D296,D296*M296)</f>
        <v/>
      </c>
    </row>
    <row r="297">
      <c r="A297" s="33" t="inlineStr">
        <is>
          <t>15/09/2025</t>
        </is>
      </c>
      <c r="B297" s="33" t="inlineStr">
        <is>
          <t>TOTAL CENTRO DE DISTRIBUICAO INTEGRADA LTDA - 12.460.301/0001-87</t>
        </is>
      </c>
      <c r="C297" s="33" t="inlineStr">
        <is>
          <t>FRUGIS REPRESENTACOES LTDA - 11.989.186/0001-70</t>
        </is>
      </c>
      <c r="D297" s="34">
        <f>G297</f>
        <v/>
      </c>
      <c r="E297" s="33" t="inlineStr">
        <is>
          <t>08/2025</t>
        </is>
      </c>
      <c r="F297" s="35" t="n"/>
      <c r="G297" s="35" t="n">
        <v>17130.8</v>
      </c>
      <c r="H297" s="34" t="n"/>
      <c r="I297" s="33" t="inlineStr">
        <is>
          <t>Complementado (não existia na base)</t>
        </is>
      </c>
      <c r="J297" s="33" t="inlineStr">
        <is>
          <t>Extrato conta corrente - Tenda</t>
        </is>
      </c>
      <c r="K297" s="33">
        <f>VALUE(RIGHT(A297,4))</f>
        <v/>
      </c>
      <c r="L297" s="16">
        <f>DATE(VALUE(RIGHT(A297,4)),VALUE(MID(A297,4,2)),1)</f>
        <v/>
      </c>
      <c r="M297" s="17">
        <f>INDEX(IPCA!$D$5:$D$313,MATCH(Distrato!$B$3,IPCA!$A$5:$A$313,0))/INDEX(IPCA!$D$5:$D$313,MATCH(DATE(YEAR(L297),MONTH(L297)-1,1),IPCA!$A$5:$A$313,0))</f>
        <v/>
      </c>
      <c r="N297" s="15">
        <f>IF(L297&gt;Distrato!$B$3,D297,D297*M297)</f>
        <v/>
      </c>
    </row>
    <row r="298">
      <c r="A298" s="33" t="inlineStr">
        <is>
          <t>15/10/2025</t>
        </is>
      </c>
      <c r="B298" s="33" t="inlineStr">
        <is>
          <t>TOTAL CENTRO DE DISTRIBUICAO INTEGRADA LTDA - 12.460.301/0001-87</t>
        </is>
      </c>
      <c r="C298" s="33" t="inlineStr">
        <is>
          <t>FRUGIS REPRESENTACOES LTDA - 11.989.186/0001-70</t>
        </is>
      </c>
      <c r="D298" s="34">
        <f>G298</f>
        <v/>
      </c>
      <c r="E298" s="33" t="inlineStr">
        <is>
          <t>09/2025</t>
        </is>
      </c>
      <c r="F298" s="35" t="n"/>
      <c r="G298" s="35" t="n">
        <v>0</v>
      </c>
      <c r="H298" s="34" t="n"/>
      <c r="I298" s="33" t="inlineStr">
        <is>
          <t>Complementado (sem pagamento no mês)</t>
        </is>
      </c>
      <c r="J298" s="33" t="inlineStr">
        <is>
          <t>Sem pagamento no mês</t>
        </is>
      </c>
      <c r="K298" s="33">
        <f>VALUE(RIGHT(A298,4))</f>
        <v/>
      </c>
      <c r="L298" s="16">
        <f>DATE(VALUE(RIGHT(A298,4)),VALUE(MID(A298,4,2)),1)</f>
        <v/>
      </c>
      <c r="M298" s="17">
        <f>INDEX(IPCA!$D$5:$D$313,MATCH(Distrato!$B$3,IPCA!$A$5:$A$313,0))/INDEX(IPCA!$D$5:$D$313,MATCH(DATE(YEAR(L298),MONTH(L298)-1,1),IPCA!$A$5:$A$313,0))</f>
        <v/>
      </c>
      <c r="N298" s="15">
        <f>IF(L298&gt;Distrato!$B$3,D298,D298*M298)</f>
        <v/>
      </c>
    </row>
    <row r="299">
      <c r="A299" s="33" t="inlineStr">
        <is>
          <t>15/11/2025</t>
        </is>
      </c>
      <c r="B299" s="33" t="inlineStr">
        <is>
          <t>TOTAL CENTRO DE DISTRIBUICAO INTEGRADA LTDA - 12.460.301/0001-87</t>
        </is>
      </c>
      <c r="C299" s="33" t="inlineStr">
        <is>
          <t>FRUGIS REPRESENTACOES LTDA - 11.989.186/0001-70</t>
        </is>
      </c>
      <c r="D299" s="34">
        <f>G299</f>
        <v/>
      </c>
      <c r="E299" s="33" t="inlineStr">
        <is>
          <t>10/2025</t>
        </is>
      </c>
      <c r="F299" s="35" t="n"/>
      <c r="G299" s="35" t="n">
        <v>30237.71</v>
      </c>
      <c r="H299" s="34" t="n"/>
      <c r="I299" s="33" t="inlineStr">
        <is>
          <t>Complementado (não existia na base)</t>
        </is>
      </c>
      <c r="J299" s="33" t="inlineStr">
        <is>
          <t>Extrato conta corrente - Tenda</t>
        </is>
      </c>
      <c r="K299" s="33">
        <f>VALUE(RIGHT(A299,4))</f>
        <v/>
      </c>
      <c r="L299" s="16">
        <f>DATE(VALUE(RIGHT(A299,4)),VALUE(MID(A299,4,2)),1)</f>
        <v/>
      </c>
      <c r="M299" s="17">
        <f>INDEX(IPCA!$D$5:$D$313,MATCH(Distrato!$B$3,IPCA!$A$5:$A$313,0))/INDEX(IPCA!$D$5:$D$313,MATCH(DATE(YEAR(L299),MONTH(L299)-1,1),IPCA!$A$5:$A$313,0))</f>
        <v/>
      </c>
      <c r="N299" s="15">
        <f>IF(L299&gt;Distrato!$B$3,D299,D299*M299)</f>
        <v/>
      </c>
    </row>
    <row r="300">
      <c r="A300" s="33" t="inlineStr">
        <is>
          <t>15/12/2025</t>
        </is>
      </c>
      <c r="B300" s="33" t="inlineStr">
        <is>
          <t>TOTAL CENTRO DE DISTRIBUICAO INTEGRADA LTDA - 12.460.301/0001-87</t>
        </is>
      </c>
      <c r="C300" s="33" t="inlineStr">
        <is>
          <t>FRUGIS REPRESENTACOES LTDA - 11.989.186/0001-70</t>
        </is>
      </c>
      <c r="D300" s="34">
        <f>G300</f>
        <v/>
      </c>
      <c r="E300" s="33" t="inlineStr">
        <is>
          <t>11/2025</t>
        </is>
      </c>
      <c r="F300" s="35" t="n"/>
      <c r="G300" s="35" t="n">
        <v>0</v>
      </c>
      <c r="H300" s="34" t="n"/>
      <c r="I300" s="33" t="inlineStr">
        <is>
          <t>Complementado (sem pagamento no mês)</t>
        </is>
      </c>
      <c r="J300" s="33" t="inlineStr">
        <is>
          <t>Sem pagamento no mês</t>
        </is>
      </c>
      <c r="K300" s="33">
        <f>VALUE(RIGHT(A300,4))</f>
        <v/>
      </c>
      <c r="L300" s="16">
        <f>DATE(VALUE(RIGHT(A300,4)),VALUE(MID(A300,4,2)),1)</f>
        <v/>
      </c>
      <c r="M300" s="17">
        <f>INDEX(IPCA!$D$5:$D$313,MATCH(Distrato!$B$3,IPCA!$A$5:$A$313,0))/INDEX(IPCA!$D$5:$D$313,MATCH(DATE(YEAR(L300),MONTH(L300)-1,1),IPCA!$A$5:$A$313,0))</f>
        <v/>
      </c>
      <c r="N300" s="15">
        <f>IF(L300&gt;Distrato!$B$3,D300,D300*M300)</f>
        <v/>
      </c>
    </row>
    <row r="301">
      <c r="A301" s="33" t="inlineStr">
        <is>
          <t>15/01/2026</t>
        </is>
      </c>
      <c r="B301" s="33" t="inlineStr">
        <is>
          <t>TOTAL CENTRO DE DISTRIBUICAO INTEGRADA LTDA - 12.460.301/0001-87</t>
        </is>
      </c>
      <c r="C301" s="33" t="inlineStr">
        <is>
          <t>FRUGIS REPRESENTACOES LTDA - 11.989.186/0001-70</t>
        </is>
      </c>
      <c r="D301" s="34">
        <f>G301</f>
        <v/>
      </c>
      <c r="E301" s="33" t="inlineStr">
        <is>
          <t>12/2025</t>
        </is>
      </c>
      <c r="F301" s="35" t="n"/>
      <c r="G301" s="35" t="n">
        <v>14615.77</v>
      </c>
      <c r="H301" s="34" t="n"/>
      <c r="I301" s="33" t="inlineStr">
        <is>
          <t>Complementado (não existia na base)</t>
        </is>
      </c>
      <c r="J301" s="33" t="inlineStr">
        <is>
          <t>Extrato conta corrente - Tenda</t>
        </is>
      </c>
      <c r="K301" s="33">
        <f>VALUE(RIGHT(A301,4))</f>
        <v/>
      </c>
      <c r="L301" s="16">
        <f>DATE(VALUE(RIGHT(A301,4)),VALUE(MID(A301,4,2)),1)</f>
        <v/>
      </c>
      <c r="M301" s="17">
        <f>INDEX(IPCA!$D$5:$D$313,MATCH(Distrato!$B$3,IPCA!$A$5:$A$313,0))/INDEX(IPCA!$D$5:$D$313,MATCH(DATE(YEAR(L301),MONTH(L301)-1,1),IPCA!$A$5:$A$313,0))</f>
        <v/>
      </c>
      <c r="N301" s="15">
        <f>IF(L301&gt;Distrato!$B$3,D301,D301*M301)</f>
        <v/>
      </c>
    </row>
    <row r="302">
      <c r="A302" s="33" t="inlineStr">
        <is>
          <t>15/02/2026</t>
        </is>
      </c>
      <c r="B302" s="33" t="inlineStr">
        <is>
          <t>TOTAL CENTRO DE DISTRIBUICAO INTEGRADA LTDA - 12.460.301/0001-87</t>
        </is>
      </c>
      <c r="C302" s="33" t="inlineStr">
        <is>
          <t>FRUGIS REPRESENTACOES LTDA - 11.989.186/0001-70</t>
        </is>
      </c>
      <c r="D302" s="34">
        <f>G302</f>
        <v/>
      </c>
      <c r="E302" s="33" t="inlineStr">
        <is>
          <t>01/2026</t>
        </is>
      </c>
      <c r="F302" s="35" t="n"/>
      <c r="G302" s="35" t="n">
        <v>0</v>
      </c>
      <c r="H302" s="34" t="n"/>
      <c r="I302" s="33" t="inlineStr">
        <is>
          <t>Complementado (sem pagamento no mês)</t>
        </is>
      </c>
      <c r="J302" s="33" t="inlineStr">
        <is>
          <t>Sem pagamento no mês</t>
        </is>
      </c>
      <c r="K302" s="33">
        <f>VALUE(RIGHT(A302,4))</f>
        <v/>
      </c>
      <c r="L302" s="16">
        <f>DATE(VALUE(RIGHT(A302,4)),VALUE(MID(A302,4,2)),1)</f>
        <v/>
      </c>
      <c r="M302" s="17">
        <f>INDEX(IPCA!$D$5:$D$313,MATCH(Distrato!$B$3,IPCA!$A$5:$A$313,0))/INDEX(IPCA!$D$5:$D$313,MATCH(DATE(YEAR(L302),MONTH(L302)-1,1),IPCA!$A$5:$A$313,0))</f>
        <v/>
      </c>
      <c r="N302" s="15">
        <f>IF(L302&gt;Distrato!$B$3,D302,D302*M302)</f>
        <v/>
      </c>
    </row>
    <row r="303">
      <c r="A303" s="33" t="inlineStr">
        <is>
          <t>15/03/2026</t>
        </is>
      </c>
      <c r="B303" s="33" t="inlineStr">
        <is>
          <t>TOTAL CENTRO DE DISTRIBUICAO INTEGRADA LTDA - 12.460.301/0001-87</t>
        </is>
      </c>
      <c r="C303" s="33" t="inlineStr">
        <is>
          <t>FRUGIS REPRESENTACOES LTDA - 11.989.186/0001-70</t>
        </is>
      </c>
      <c r="D303" s="34">
        <f>G303</f>
        <v/>
      </c>
      <c r="E303" s="33" t="inlineStr">
        <is>
          <t>02/2026</t>
        </is>
      </c>
      <c r="F303" s="35" t="n"/>
      <c r="G303" s="35" t="n">
        <v>32200.51</v>
      </c>
      <c r="H303" s="34" t="n"/>
      <c r="I303" s="33" t="inlineStr">
        <is>
          <t>Complementado (não existia na base)</t>
        </is>
      </c>
      <c r="J303" s="33" t="inlineStr">
        <is>
          <t>Extrato conta corrente - Tenda</t>
        </is>
      </c>
      <c r="K303" s="33">
        <f>VALUE(RIGHT(A303,4))</f>
        <v/>
      </c>
      <c r="L303" s="16">
        <f>DATE(VALUE(RIGHT(A303,4)),VALUE(MID(A303,4,2)),1)</f>
        <v/>
      </c>
      <c r="M303" s="17">
        <f>INDEX(IPCA!$D$5:$D$313,MATCH(Distrato!$B$3,IPCA!$A$5:$A$313,0))/INDEX(IPCA!$D$5:$D$313,MATCH(DATE(YEAR(L303),MONTH(L303)-1,1),IPCA!$A$5:$A$313,0))</f>
        <v/>
      </c>
      <c r="N303" s="15">
        <f>IF(L303&gt;Distrato!$B$3,D303,D303*M303)</f>
        <v/>
      </c>
    </row>
    <row r="304">
      <c r="A304" s="33" t="inlineStr">
        <is>
          <t>15/04/2026</t>
        </is>
      </c>
      <c r="B304" s="33" t="inlineStr">
        <is>
          <t>TOTAL CENTRO DE DISTRIBUICAO INTEGRADA LTDA - 12.460.301/0001-87</t>
        </is>
      </c>
      <c r="C304" s="33" t="inlineStr">
        <is>
          <t>FRUGIS REPRESENTACOES LTDA - 11.989.186/0001-70</t>
        </is>
      </c>
      <c r="D304" s="34">
        <f>G304</f>
        <v/>
      </c>
      <c r="E304" s="33" t="inlineStr">
        <is>
          <t>03/2026</t>
        </is>
      </c>
      <c r="F304" s="35" t="n"/>
      <c r="G304" s="35" t="n">
        <v>17893.08</v>
      </c>
      <c r="H304" s="34" t="n"/>
      <c r="I304" s="33" t="inlineStr">
        <is>
          <t>Complementado (não existia na base)</t>
        </is>
      </c>
      <c r="J304" s="33" t="inlineStr">
        <is>
          <t>Extrato conta corrente - Tenda</t>
        </is>
      </c>
      <c r="K304" s="33">
        <f>VALUE(RIGHT(A304,4))</f>
        <v/>
      </c>
      <c r="L304" s="16">
        <f>DATE(VALUE(RIGHT(A304,4)),VALUE(MID(A304,4,2)),1)</f>
        <v/>
      </c>
      <c r="M304" s="17">
        <f>INDEX(IPCA!$D$5:$D$313,MATCH(Distrato!$B$3,IPCA!$A$5:$A$313,0))/INDEX(IPCA!$D$5:$D$313,MATCH(DATE(YEAR(L304),MONTH(L304)-1,1),IPCA!$A$5:$A$313,0))</f>
        <v/>
      </c>
      <c r="N304" s="15">
        <f>IF(L304&gt;Distrato!$B$3,D304,D304*M304)</f>
        <v/>
      </c>
    </row>
    <row r="305">
      <c r="A305" s="33" t="inlineStr">
        <is>
          <t>15/05/2026</t>
        </is>
      </c>
      <c r="B305" s="33" t="inlineStr">
        <is>
          <t>TOTAL CENTRO DE DISTRIBUICAO INTEGRADA LTDA - 12.460.301/0001-87</t>
        </is>
      </c>
      <c r="C305" s="33" t="inlineStr">
        <is>
          <t>FRUGIS REPRESENTACOES LTDA - 11.989.186/0001-70</t>
        </is>
      </c>
      <c r="D305" s="34">
        <f>G305</f>
        <v/>
      </c>
      <c r="E305" s="33" t="inlineStr">
        <is>
          <t>04/2026</t>
        </is>
      </c>
      <c r="F305" s="35" t="n"/>
      <c r="G305" s="35" t="n">
        <v>6898.76</v>
      </c>
      <c r="H305" s="34" t="n"/>
      <c r="I305" s="33" t="inlineStr">
        <is>
          <t>Complementado (não existia na base)</t>
        </is>
      </c>
      <c r="J305" s="33" t="inlineStr">
        <is>
          <t>Extrato conta corrente - Tenda</t>
        </is>
      </c>
      <c r="K305" s="33">
        <f>VALUE(RIGHT(A305,4))</f>
        <v/>
      </c>
      <c r="L305" s="16">
        <f>DATE(VALUE(RIGHT(A305,4)),VALUE(MID(A305,4,2)),1)</f>
        <v/>
      </c>
      <c r="M305" s="17">
        <f>INDEX(IPCA!$D$5:$D$313,MATCH(Distrato!$B$3,IPCA!$A$5:$A$313,0))/INDEX(IPCA!$D$5:$D$313,MATCH(DATE(YEAR(L305),MONTH(L305)-1,1),IPCA!$A$5:$A$313,0))</f>
        <v/>
      </c>
      <c r="N305" s="15">
        <f>IF(L305&gt;Distrato!$B$3,D305,D305*M305)</f>
        <v/>
      </c>
    </row>
    <row r="306">
      <c r="A306" s="33" t="inlineStr">
        <is>
          <t>15/06/2026</t>
        </is>
      </c>
      <c r="B306" s="33" t="inlineStr">
        <is>
          <t>TOTAL CENTRO DE DISTRIBUICAO INTEGRADA LTDA - 12.460.301/0001-87</t>
        </is>
      </c>
      <c r="C306" s="33" t="inlineStr">
        <is>
          <t>FRUGIS REPRESENTACOES LTDA - 11.989.186/0001-70</t>
        </is>
      </c>
      <c r="D306" s="34">
        <f>G306</f>
        <v/>
      </c>
      <c r="E306" s="33" t="inlineStr">
        <is>
          <t>05/2026</t>
        </is>
      </c>
      <c r="F306" s="35" t="n"/>
      <c r="G306" s="35" t="n">
        <v>3009.1</v>
      </c>
      <c r="H306" s="34" t="n"/>
      <c r="I306" s="33" t="inlineStr">
        <is>
          <t>Complementado (não existia na base)</t>
        </is>
      </c>
      <c r="J306" s="33" t="inlineStr">
        <is>
          <t>Extrato conta corrente - Tenda</t>
        </is>
      </c>
      <c r="K306" s="33">
        <f>VALUE(RIGHT(A306,4))</f>
        <v/>
      </c>
      <c r="L306" s="16">
        <f>DATE(VALUE(RIGHT(A306,4)),VALUE(MID(A306,4,2)),1)</f>
        <v/>
      </c>
      <c r="M306" s="17">
        <f>INDEX(IPCA!$D$5:$D$313,MATCH(Distrato!$B$3,IPCA!$A$5:$A$313,0))/INDEX(IPCA!$D$5:$D$313,MATCH(DATE(YEAR(L306),MONTH(L306)-1,1),IPCA!$A$5:$A$313,0))</f>
        <v/>
      </c>
      <c r="N306" s="15">
        <f>IF(L306&gt;Distrato!$B$3,D306,D306*M306)</f>
        <v/>
      </c>
    </row>
    <row r="307">
      <c r="A307" s="33" t="inlineStr">
        <is>
          <t>15/07/2026</t>
        </is>
      </c>
      <c r="B307" s="33" t="inlineStr">
        <is>
          <t>TOTAL CENTRO DE DISTRIBUICAO INTEGRADA LTDA - 12.460.301/0001-87</t>
        </is>
      </c>
      <c r="C307" s="33" t="inlineStr">
        <is>
          <t>FRUGIS REPRESENTACOES LTDA - 11.989.186/0001-70</t>
        </is>
      </c>
      <c r="D307" s="34">
        <f>G307</f>
        <v/>
      </c>
      <c r="E307" s="33" t="inlineStr">
        <is>
          <t>06/2026</t>
        </is>
      </c>
      <c r="F307" s="35" t="n"/>
      <c r="G307" s="35" t="n">
        <v>21568.56</v>
      </c>
      <c r="H307" s="34" t="n"/>
      <c r="I307" s="33" t="inlineStr">
        <is>
          <t>Complementado (não existia na base)</t>
        </is>
      </c>
      <c r="J307" s="33" t="inlineStr">
        <is>
          <t>Extrato conta corrente - Tenda</t>
        </is>
      </c>
      <c r="K307" s="33">
        <f>VALUE(RIGHT(A307,4))</f>
        <v/>
      </c>
      <c r="L307" s="16">
        <f>DATE(VALUE(RIGHT(A307,4)),VALUE(MID(A307,4,2)),1)</f>
        <v/>
      </c>
      <c r="M307" s="17">
        <f>INDEX(IPCA!$D$5:$D$313,MATCH(Distrato!$B$3,IPCA!$A$5:$A$313,0))/INDEX(IPCA!$D$5:$D$313,MATCH(DATE(YEAR(L307),MONTH(L307)-1,1),IPCA!$A$5:$A$313,0))</f>
        <v/>
      </c>
      <c r="N307" s="15">
        <f>IF(L307&gt;Distrato!$B$3,D307,D307*M307)</f>
        <v/>
      </c>
    </row>
    <row r="308">
      <c r="A308" s="33" t="inlineStr">
        <is>
          <t>15/08/2026</t>
        </is>
      </c>
      <c r="B308" s="33" t="inlineStr">
        <is>
          <t>TOTAL CENTRO DE DISTRIBUICAO INTEGRADA LTDA - 12.460.301/0001-87</t>
        </is>
      </c>
      <c r="C308" s="33" t="inlineStr">
        <is>
          <t>FRUGIS REPRESENTACOES LTDA - 11.989.186/0001-70</t>
        </is>
      </c>
      <c r="D308" s="34">
        <f>G308</f>
        <v/>
      </c>
      <c r="E308" s="33" t="inlineStr">
        <is>
          <t>07/2026</t>
        </is>
      </c>
      <c r="F308" s="35" t="n"/>
      <c r="G308" s="35" t="n">
        <v>5734.34</v>
      </c>
      <c r="H308" s="34" t="n"/>
      <c r="I308" s="33" t="inlineStr">
        <is>
          <t>Complementado (não existia na base)</t>
        </is>
      </c>
      <c r="J308" s="33" t="inlineStr">
        <is>
          <t>Extrato conta corrente - Tenda</t>
        </is>
      </c>
      <c r="K308" s="33">
        <f>VALUE(RIGHT(A308,4))</f>
        <v/>
      </c>
      <c r="L308" s="16">
        <f>DATE(VALUE(RIGHT(A308,4)),VALUE(MID(A308,4,2)),1)</f>
        <v/>
      </c>
      <c r="M308" s="17">
        <f>INDEX(IPCA!$D$5:$D$313,MATCH(Distrato!$B$3,IPCA!$A$5:$A$313,0))/INDEX(IPCA!$D$5:$D$313,MATCH(DATE(YEAR(L308),MONTH(L308)-1,1),IPCA!$A$5:$A$313,0))</f>
        <v/>
      </c>
      <c r="N308" s="15">
        <f>IF(L308&gt;Distrato!$B$3,D308,D308*M308)</f>
        <v/>
      </c>
    </row>
    <row r="309">
      <c r="A309" s="36" t="inlineStr">
        <is>
          <t>TOTAL</t>
        </is>
      </c>
      <c r="D309" s="37">
        <f>SUM(D2:D308)</f>
        <v/>
      </c>
      <c r="F309" s="37">
        <f>SUM(F2:F308)</f>
        <v/>
      </c>
      <c r="G309" s="37">
        <f>SUM(G2:G308)</f>
        <v/>
      </c>
      <c r="H309" s="37">
        <f>SUM(H2:H308)</f>
        <v/>
      </c>
      <c r="N309" s="38">
        <f>SUM(N2:N308)</f>
        <v/>
      </c>
    </row>
    <row r="311">
      <c r="A311" s="39" t="inlineStr">
        <is>
          <t>Verde: extrato real (substitui a base)</t>
        </is>
      </c>
    </row>
    <row r="312">
      <c r="A312" s="40" t="inlineStr">
        <is>
          <t>Amarelo: estimado (2007 = 2008 real ÷ IPCA)</t>
        </is>
      </c>
    </row>
    <row r="313">
      <c r="A313" s="41" t="inlineStr">
        <is>
          <t>Azul: complementado (não existia na base)</t>
        </is>
      </c>
    </row>
    <row r="314">
      <c r="A314" s="42" t="inlineStr">
        <is>
          <t>Sem cor: mantido o valor original da base (sem extrato)</t>
        </is>
      </c>
    </row>
  </sheetData>
  <conditionalFormatting sqref="H2:H133">
    <cfRule type="expression" priority="1" dxfId="0">
      <formula>AND(ISNUMBER($H2),ABS($H2)&gt;=0.01)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72" customWidth="1" min="1" max="1"/>
    <col width="20" customWidth="1" min="2" max="2"/>
    <col width="80" customWidth="1" min="3" max="3"/>
  </cols>
  <sheetData>
    <row r="1">
      <c r="A1" s="43" t="inlineStr">
        <is>
          <t>Distrato - comissões atualizadas pelo IPCA, uma a uma (Lei 4.886/65)</t>
        </is>
      </c>
    </row>
    <row r="3">
      <c r="A3" t="inlineStr">
        <is>
          <t>Mês de referência da correção</t>
        </is>
      </c>
      <c r="B3" s="44" t="n">
        <v>46235</v>
      </c>
      <c r="C3" t="inlineStr">
        <is>
          <t>Último IPCA divulgado (ago/2026). Cada comissão é corrigida do mês do pagamento até este mês (inclusive).</t>
        </is>
      </c>
    </row>
    <row r="4">
      <c r="A4" t="inlineStr">
        <is>
          <t>Início do Cenário B (pagamento)</t>
        </is>
      </c>
      <c r="B4" s="44" t="n">
        <v>44409</v>
      </c>
      <c r="C4" t="inlineStr">
        <is>
          <t>Premissa: distrato de 2021 teria quitado o período anterior.</t>
        </is>
      </c>
    </row>
    <row r="6">
      <c r="A6" s="36" t="inlineStr">
        <is>
          <t>CENÁRIO A - todo o período (fev/2001 a ago/2026)</t>
        </is>
      </c>
    </row>
    <row r="7">
      <c r="A7" s="42" t="inlineStr">
        <is>
          <t>Soma das comissões (nominal)</t>
        </is>
      </c>
      <c r="B7" s="15">
        <f>SUMIFS('Resumo Pagamento'!$D$2:$D$308,'Resumo Pagamento'!$L$2:$L$308,"&lt;="&amp;$B$3)</f>
        <v/>
      </c>
    </row>
    <row r="8">
      <c r="A8" s="42" t="inlineStr">
        <is>
          <t>Soma das comissões corrigidas pelo IPCA</t>
        </is>
      </c>
      <c r="B8" s="15">
        <f>SUMIFS('Resumo Pagamento'!$N$2:$N$308,'Resumo Pagamento'!$L$2:$L$308,"&lt;="&amp;$B$3)</f>
        <v/>
      </c>
    </row>
    <row r="9">
      <c r="A9" s="42" t="inlineStr">
        <is>
          <t>Correção monetária no período</t>
        </is>
      </c>
      <c r="B9" s="15">
        <f>B8-B7</f>
        <v/>
      </c>
    </row>
    <row r="10">
      <c r="A10" s="42" t="inlineStr">
        <is>
          <t>Indenização: 1/12 do total corrigido (art. 27, "j")</t>
        </is>
      </c>
      <c r="B10" s="15">
        <f>B8/12</f>
        <v/>
      </c>
    </row>
    <row r="11">
      <c r="A11" s="42" t="inlineStr">
        <is>
          <t>Aviso prévio: 1/3 das comissões corrigidas dos últimos 3 meses (art. 34)</t>
        </is>
      </c>
      <c r="B11" s="15">
        <f>SUMIFS('Resumo Pagamento'!$N$2:$N$308,'Resumo Pagamento'!$L$2:$L$308,"&gt;="&amp;DATE(YEAR($B$3),MONTH($B$3)-2,1),'Resumo Pagamento'!$L$2:$L$308,"&lt;="&amp;$B$3)/3</f>
        <v/>
      </c>
    </row>
    <row r="12">
      <c r="A12" s="36" t="inlineStr">
        <is>
          <t>TOTAL DISTRATO - CENÁRIO A</t>
        </is>
      </c>
      <c r="B12" s="45">
        <f>B10+B11</f>
        <v/>
      </c>
    </row>
    <row r="14">
      <c r="A14" s="36" t="inlineStr">
        <is>
          <t>CENÁRIO B - a partir do início informado em B4</t>
        </is>
      </c>
    </row>
    <row r="15">
      <c r="A15" s="42" t="inlineStr">
        <is>
          <t>Soma das comissões (nominal)</t>
        </is>
      </c>
      <c r="B15" s="15">
        <f>SUMIFS('Resumo Pagamento'!$D$2:$D$308,'Resumo Pagamento'!$L$2:$L$308,"&gt;="&amp;$B$4,'Resumo Pagamento'!$L$2:$L$308,"&lt;="&amp;$B$3)</f>
        <v/>
      </c>
    </row>
    <row r="16">
      <c r="A16" s="42" t="inlineStr">
        <is>
          <t>Soma das comissões corrigidas pelo IPCA</t>
        </is>
      </c>
      <c r="B16" s="15">
        <f>SUMIFS('Resumo Pagamento'!$N$2:$N$308,'Resumo Pagamento'!$L$2:$L$308,"&gt;="&amp;$B$4,'Resumo Pagamento'!$L$2:$L$308,"&lt;="&amp;$B$3)</f>
        <v/>
      </c>
    </row>
    <row r="17">
      <c r="A17" s="42" t="inlineStr">
        <is>
          <t>Indenização: 1/12 do total corrigido</t>
        </is>
      </c>
      <c r="B17" s="15">
        <f>B16/12</f>
        <v/>
      </c>
    </row>
    <row r="18">
      <c r="A18" s="42" t="inlineStr">
        <is>
          <t>Aviso prévio (mesmo do Cenário A)</t>
        </is>
      </c>
      <c r="B18" s="15">
        <f>B11</f>
        <v/>
      </c>
    </row>
    <row r="19">
      <c r="A19" s="36" t="inlineStr">
        <is>
          <t>TOTAL DISTRATO - CENÁRIO B</t>
        </is>
      </c>
      <c r="B19" s="45">
        <f>B17+B18</f>
        <v/>
      </c>
    </row>
    <row r="21">
      <c r="A21" s="46" t="inlineStr">
        <is>
          <t>Base: coluna D da aba Resumo Pagamento (valor FINAL: extrato real, 2007 estimado, base manual e complementado). Correção: fator = índice IPCA do mês de referência ÷ índice do mês anterior ao pagamento (mesma lógica da Calculadora do Cidadão do BCB).</t>
        </is>
      </c>
    </row>
    <row r="22">
      <c r="A22" s="46" t="inlineStr">
        <is>
          <t>IPCA de 2001 a 2025 está distribuído igualmente nos meses a partir do IPCA anual oficial; 2026 é mensal oficial. Para precisão total, cole a série mensal oficial na aba IPCA (coluna B).</t>
        </is>
      </c>
    </row>
    <row r="25">
      <c r="A25" s="36" t="inlineStr">
        <is>
          <t>Por ano de pagamento</t>
        </is>
      </c>
    </row>
    <row r="26">
      <c r="A26" s="47" t="inlineStr">
        <is>
          <t>Ano</t>
        </is>
      </c>
      <c r="B26" s="47" t="inlineStr">
        <is>
          <t>Nominal (R$)</t>
        </is>
      </c>
      <c r="C26" s="47" t="inlineStr">
        <is>
          <t>Corrigido IPCA (R$)</t>
        </is>
      </c>
    </row>
    <row r="27">
      <c r="A27" s="48" t="n">
        <v>2001</v>
      </c>
      <c r="B27" s="49">
        <f>SUMIFS('Resumo Pagamento'!$D$2:$D$308,'Resumo Pagamento'!$K$2:$K$308,A27)</f>
        <v/>
      </c>
      <c r="C27" s="49">
        <f>SUMIFS('Resumo Pagamento'!$N$2:$N$308,'Resumo Pagamento'!$K$2:$K$308,A27)</f>
        <v/>
      </c>
    </row>
    <row r="28">
      <c r="A28" s="48" t="n">
        <v>2002</v>
      </c>
      <c r="B28" s="49">
        <f>SUMIFS('Resumo Pagamento'!$D$2:$D$308,'Resumo Pagamento'!$K$2:$K$308,A28)</f>
        <v/>
      </c>
      <c r="C28" s="49">
        <f>SUMIFS('Resumo Pagamento'!$N$2:$N$308,'Resumo Pagamento'!$K$2:$K$308,A28)</f>
        <v/>
      </c>
    </row>
    <row r="29">
      <c r="A29" s="48" t="n">
        <v>2003</v>
      </c>
      <c r="B29" s="49">
        <f>SUMIFS('Resumo Pagamento'!$D$2:$D$308,'Resumo Pagamento'!$K$2:$K$308,A29)</f>
        <v/>
      </c>
      <c r="C29" s="49">
        <f>SUMIFS('Resumo Pagamento'!$N$2:$N$308,'Resumo Pagamento'!$K$2:$K$308,A29)</f>
        <v/>
      </c>
    </row>
    <row r="30">
      <c r="A30" s="48" t="n">
        <v>2004</v>
      </c>
      <c r="B30" s="49">
        <f>SUMIFS('Resumo Pagamento'!$D$2:$D$308,'Resumo Pagamento'!$K$2:$K$308,A30)</f>
        <v/>
      </c>
      <c r="C30" s="49">
        <f>SUMIFS('Resumo Pagamento'!$N$2:$N$308,'Resumo Pagamento'!$K$2:$K$308,A30)</f>
        <v/>
      </c>
    </row>
    <row r="31">
      <c r="A31" s="48" t="n">
        <v>2005</v>
      </c>
      <c r="B31" s="49">
        <f>SUMIFS('Resumo Pagamento'!$D$2:$D$308,'Resumo Pagamento'!$K$2:$K$308,A31)</f>
        <v/>
      </c>
      <c r="C31" s="49">
        <f>SUMIFS('Resumo Pagamento'!$N$2:$N$308,'Resumo Pagamento'!$K$2:$K$308,A31)</f>
        <v/>
      </c>
    </row>
    <row r="32">
      <c r="A32" s="48" t="n">
        <v>2006</v>
      </c>
      <c r="B32" s="49">
        <f>SUMIFS('Resumo Pagamento'!$D$2:$D$308,'Resumo Pagamento'!$K$2:$K$308,A32)</f>
        <v/>
      </c>
      <c r="C32" s="49">
        <f>SUMIFS('Resumo Pagamento'!$N$2:$N$308,'Resumo Pagamento'!$K$2:$K$308,A32)</f>
        <v/>
      </c>
    </row>
    <row r="33">
      <c r="A33" s="48" t="n">
        <v>2007</v>
      </c>
      <c r="B33" s="49">
        <f>SUMIFS('Resumo Pagamento'!$D$2:$D$308,'Resumo Pagamento'!$K$2:$K$308,A33)</f>
        <v/>
      </c>
      <c r="C33" s="49">
        <f>SUMIFS('Resumo Pagamento'!$N$2:$N$308,'Resumo Pagamento'!$K$2:$K$308,A33)</f>
        <v/>
      </c>
    </row>
    <row r="34">
      <c r="A34" s="48" t="n">
        <v>2008</v>
      </c>
      <c r="B34" s="49">
        <f>SUMIFS('Resumo Pagamento'!$D$2:$D$308,'Resumo Pagamento'!$K$2:$K$308,A34)</f>
        <v/>
      </c>
      <c r="C34" s="49">
        <f>SUMIFS('Resumo Pagamento'!$N$2:$N$308,'Resumo Pagamento'!$K$2:$K$308,A34)</f>
        <v/>
      </c>
    </row>
    <row r="35">
      <c r="A35" s="48" t="n">
        <v>2009</v>
      </c>
      <c r="B35" s="49">
        <f>SUMIFS('Resumo Pagamento'!$D$2:$D$308,'Resumo Pagamento'!$K$2:$K$308,A35)</f>
        <v/>
      </c>
      <c r="C35" s="49">
        <f>SUMIFS('Resumo Pagamento'!$N$2:$N$308,'Resumo Pagamento'!$K$2:$K$308,A35)</f>
        <v/>
      </c>
    </row>
    <row r="36">
      <c r="A36" s="48" t="n">
        <v>2010</v>
      </c>
      <c r="B36" s="49">
        <f>SUMIFS('Resumo Pagamento'!$D$2:$D$308,'Resumo Pagamento'!$K$2:$K$308,A36)</f>
        <v/>
      </c>
      <c r="C36" s="49">
        <f>SUMIFS('Resumo Pagamento'!$N$2:$N$308,'Resumo Pagamento'!$K$2:$K$308,A36)</f>
        <v/>
      </c>
    </row>
    <row r="37">
      <c r="A37" s="48" t="n">
        <v>2011</v>
      </c>
      <c r="B37" s="49">
        <f>SUMIFS('Resumo Pagamento'!$D$2:$D$308,'Resumo Pagamento'!$K$2:$K$308,A37)</f>
        <v/>
      </c>
      <c r="C37" s="49">
        <f>SUMIFS('Resumo Pagamento'!$N$2:$N$308,'Resumo Pagamento'!$K$2:$K$308,A37)</f>
        <v/>
      </c>
    </row>
    <row r="38">
      <c r="A38" s="48" t="n">
        <v>2012</v>
      </c>
      <c r="B38" s="49">
        <f>SUMIFS('Resumo Pagamento'!$D$2:$D$308,'Resumo Pagamento'!$K$2:$K$308,A38)</f>
        <v/>
      </c>
      <c r="C38" s="49">
        <f>SUMIFS('Resumo Pagamento'!$N$2:$N$308,'Resumo Pagamento'!$K$2:$K$308,A38)</f>
        <v/>
      </c>
    </row>
    <row r="39">
      <c r="A39" s="48" t="n">
        <v>2013</v>
      </c>
      <c r="B39" s="49">
        <f>SUMIFS('Resumo Pagamento'!$D$2:$D$308,'Resumo Pagamento'!$K$2:$K$308,A39)</f>
        <v/>
      </c>
      <c r="C39" s="49">
        <f>SUMIFS('Resumo Pagamento'!$N$2:$N$308,'Resumo Pagamento'!$K$2:$K$308,A39)</f>
        <v/>
      </c>
    </row>
    <row r="40">
      <c r="A40" s="48" t="n">
        <v>2014</v>
      </c>
      <c r="B40" s="49">
        <f>SUMIFS('Resumo Pagamento'!$D$2:$D$308,'Resumo Pagamento'!$K$2:$K$308,A40)</f>
        <v/>
      </c>
      <c r="C40" s="49">
        <f>SUMIFS('Resumo Pagamento'!$N$2:$N$308,'Resumo Pagamento'!$K$2:$K$308,A40)</f>
        <v/>
      </c>
    </row>
    <row r="41">
      <c r="A41" s="48" t="n">
        <v>2015</v>
      </c>
      <c r="B41" s="49">
        <f>SUMIFS('Resumo Pagamento'!$D$2:$D$308,'Resumo Pagamento'!$K$2:$K$308,A41)</f>
        <v/>
      </c>
      <c r="C41" s="49">
        <f>SUMIFS('Resumo Pagamento'!$N$2:$N$308,'Resumo Pagamento'!$K$2:$K$308,A41)</f>
        <v/>
      </c>
    </row>
    <row r="42">
      <c r="A42" s="48" t="n">
        <v>2016</v>
      </c>
      <c r="B42" s="49">
        <f>SUMIFS('Resumo Pagamento'!$D$2:$D$308,'Resumo Pagamento'!$K$2:$K$308,A42)</f>
        <v/>
      </c>
      <c r="C42" s="49">
        <f>SUMIFS('Resumo Pagamento'!$N$2:$N$308,'Resumo Pagamento'!$K$2:$K$308,A42)</f>
        <v/>
      </c>
    </row>
    <row r="43">
      <c r="A43" s="48" t="n">
        <v>2017</v>
      </c>
      <c r="B43" s="49">
        <f>SUMIFS('Resumo Pagamento'!$D$2:$D$308,'Resumo Pagamento'!$K$2:$K$308,A43)</f>
        <v/>
      </c>
      <c r="C43" s="49">
        <f>SUMIFS('Resumo Pagamento'!$N$2:$N$308,'Resumo Pagamento'!$K$2:$K$308,A43)</f>
        <v/>
      </c>
    </row>
    <row r="44">
      <c r="A44" s="48" t="n">
        <v>2018</v>
      </c>
      <c r="B44" s="49">
        <f>SUMIFS('Resumo Pagamento'!$D$2:$D$308,'Resumo Pagamento'!$K$2:$K$308,A44)</f>
        <v/>
      </c>
      <c r="C44" s="49">
        <f>SUMIFS('Resumo Pagamento'!$N$2:$N$308,'Resumo Pagamento'!$K$2:$K$308,A44)</f>
        <v/>
      </c>
    </row>
    <row r="45">
      <c r="A45" s="48" t="n">
        <v>2019</v>
      </c>
      <c r="B45" s="49">
        <f>SUMIFS('Resumo Pagamento'!$D$2:$D$308,'Resumo Pagamento'!$K$2:$K$308,A45)</f>
        <v/>
      </c>
      <c r="C45" s="49">
        <f>SUMIFS('Resumo Pagamento'!$N$2:$N$308,'Resumo Pagamento'!$K$2:$K$308,A45)</f>
        <v/>
      </c>
    </row>
    <row r="46">
      <c r="A46" s="48" t="n">
        <v>2020</v>
      </c>
      <c r="B46" s="49">
        <f>SUMIFS('Resumo Pagamento'!$D$2:$D$308,'Resumo Pagamento'!$K$2:$K$308,A46)</f>
        <v/>
      </c>
      <c r="C46" s="49">
        <f>SUMIFS('Resumo Pagamento'!$N$2:$N$308,'Resumo Pagamento'!$K$2:$K$308,A46)</f>
        <v/>
      </c>
    </row>
    <row r="47">
      <c r="A47" s="48" t="n">
        <v>2021</v>
      </c>
      <c r="B47" s="49">
        <f>SUMIFS('Resumo Pagamento'!$D$2:$D$308,'Resumo Pagamento'!$K$2:$K$308,A47)</f>
        <v/>
      </c>
      <c r="C47" s="49">
        <f>SUMIFS('Resumo Pagamento'!$N$2:$N$308,'Resumo Pagamento'!$K$2:$K$308,A47)</f>
        <v/>
      </c>
    </row>
    <row r="48">
      <c r="A48" s="48" t="n">
        <v>2022</v>
      </c>
      <c r="B48" s="49">
        <f>SUMIFS('Resumo Pagamento'!$D$2:$D$308,'Resumo Pagamento'!$K$2:$K$308,A48)</f>
        <v/>
      </c>
      <c r="C48" s="49">
        <f>SUMIFS('Resumo Pagamento'!$N$2:$N$308,'Resumo Pagamento'!$K$2:$K$308,A48)</f>
        <v/>
      </c>
    </row>
    <row r="49">
      <c r="A49" s="48" t="n">
        <v>2023</v>
      </c>
      <c r="B49" s="49">
        <f>SUMIFS('Resumo Pagamento'!$D$2:$D$308,'Resumo Pagamento'!$K$2:$K$308,A49)</f>
        <v/>
      </c>
      <c r="C49" s="49">
        <f>SUMIFS('Resumo Pagamento'!$N$2:$N$308,'Resumo Pagamento'!$K$2:$K$308,A49)</f>
        <v/>
      </c>
    </row>
    <row r="50">
      <c r="A50" s="48" t="n">
        <v>2024</v>
      </c>
      <c r="B50" s="49">
        <f>SUMIFS('Resumo Pagamento'!$D$2:$D$308,'Resumo Pagamento'!$K$2:$K$308,A50)</f>
        <v/>
      </c>
      <c r="C50" s="49">
        <f>SUMIFS('Resumo Pagamento'!$N$2:$N$308,'Resumo Pagamento'!$K$2:$K$308,A50)</f>
        <v/>
      </c>
    </row>
    <row r="51">
      <c r="A51" s="48" t="n">
        <v>2025</v>
      </c>
      <c r="B51" s="49">
        <f>SUMIFS('Resumo Pagamento'!$D$2:$D$308,'Resumo Pagamento'!$K$2:$K$308,A51)</f>
        <v/>
      </c>
      <c r="C51" s="49">
        <f>SUMIFS('Resumo Pagamento'!$N$2:$N$308,'Resumo Pagamento'!$K$2:$K$308,A51)</f>
        <v/>
      </c>
    </row>
    <row r="52">
      <c r="A52" s="48" t="n">
        <v>2026</v>
      </c>
      <c r="B52" s="49">
        <f>SUMIFS('Resumo Pagamento'!$D$2:$D$308,'Resumo Pagamento'!$K$2:$K$308,A52)</f>
        <v/>
      </c>
      <c r="C52" s="49">
        <f>SUMIFS('Resumo Pagamento'!$N$2:$N$308,'Resumo Pagamento'!$K$2:$K$308,A52)</f>
        <v/>
      </c>
    </row>
    <row r="53">
      <c r="A53" s="36" t="inlineStr">
        <is>
          <t>TOTAL</t>
        </is>
      </c>
      <c r="B53" s="38">
        <f>SUM(B27:B52)</f>
        <v/>
      </c>
      <c r="C53" s="38">
        <f>SUM(C27:C52)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34" customHeight="1">
      <c r="A1" s="50" t="inlineStr">
        <is>
          <t>Ano do pagamento</t>
        </is>
      </c>
      <c r="B1" s="50" t="inlineStr">
        <is>
          <t>Extrato real (Tenda)</t>
        </is>
      </c>
      <c r="C1" s="50" t="inlineStr">
        <is>
          <t>2007 estimado (2008 ÷ IPCA)</t>
        </is>
      </c>
      <c r="D1" s="50" t="inlineStr">
        <is>
          <t>Mantido da base manual</t>
        </is>
      </c>
      <c r="E1" s="50" t="inlineStr">
        <is>
          <t>Complementado - real</t>
        </is>
      </c>
      <c r="F1" s="50" t="inlineStr">
        <is>
          <t>Complementado - ESTIMADO</t>
        </is>
      </c>
      <c r="G1" s="50" t="inlineStr">
        <is>
          <t>Total</t>
        </is>
      </c>
      <c r="H1" s="50" t="inlineStr">
        <is>
          <t>% estimado ou manual</t>
        </is>
      </c>
    </row>
    <row r="2">
      <c r="A2" s="48" t="n">
        <v>2001</v>
      </c>
      <c r="B2" s="15">
        <f>SUMIFS('Resumo Pagamento'!$D$2:$D$308,'Resumo Pagamento'!$K$2:$K$308,A2,'Resumo Pagamento'!$I$2:$I$308,"*xtrato real*")</f>
        <v/>
      </c>
      <c r="C2" s="15">
        <f>SUMIFS('Resumo Pagamento'!$D$2:$D$308,'Resumo Pagamento'!$K$2:$K$308,A2,'Resumo Pagamento'!$I$2:$I$308,"2007*")</f>
        <v/>
      </c>
      <c r="D2" s="15">
        <f>SUMIFS('Resumo Pagamento'!$D$2:$D$308,'Resumo Pagamento'!$K$2:$K$308,A2,'Resumo Pagamento'!$I$2:$I$308,"Mantido*")</f>
        <v/>
      </c>
      <c r="E2" s="15">
        <f>SUMIFS('Resumo Pagamento'!$D$2:$D$308,'Resumo Pagamento'!$K$2:$K$308,A2,'Resumo Pagamento'!$I$2:$I$308,"Complementado (não existia na base)")</f>
        <v/>
      </c>
      <c r="F2" s="15">
        <f>SUMIFS('Resumo Pagamento'!$D$2:$D$308,'Resumo Pagamento'!$K$2:$K$308,A2,'Resumo Pagamento'!$I$2:$I$308,"*ESTIMADO")</f>
        <v/>
      </c>
      <c r="G2" s="15">
        <f>SUM(B2:F2)</f>
        <v/>
      </c>
      <c r="H2" s="51">
        <f>IF(G2=0,"",(C2+D2+F2)/G2)</f>
        <v/>
      </c>
    </row>
    <row r="3">
      <c r="A3" s="48" t="n">
        <v>2002</v>
      </c>
      <c r="B3" s="15">
        <f>SUMIFS('Resumo Pagamento'!$D$2:$D$308,'Resumo Pagamento'!$K$2:$K$308,A3,'Resumo Pagamento'!$I$2:$I$308,"*xtrato real*")</f>
        <v/>
      </c>
      <c r="C3" s="15">
        <f>SUMIFS('Resumo Pagamento'!$D$2:$D$308,'Resumo Pagamento'!$K$2:$K$308,A3,'Resumo Pagamento'!$I$2:$I$308,"2007*")</f>
        <v/>
      </c>
      <c r="D3" s="15">
        <f>SUMIFS('Resumo Pagamento'!$D$2:$D$308,'Resumo Pagamento'!$K$2:$K$308,A3,'Resumo Pagamento'!$I$2:$I$308,"Mantido*")</f>
        <v/>
      </c>
      <c r="E3" s="15">
        <f>SUMIFS('Resumo Pagamento'!$D$2:$D$308,'Resumo Pagamento'!$K$2:$K$308,A3,'Resumo Pagamento'!$I$2:$I$308,"Complementado (não existia na base)")</f>
        <v/>
      </c>
      <c r="F3" s="15">
        <f>SUMIFS('Resumo Pagamento'!$D$2:$D$308,'Resumo Pagamento'!$K$2:$K$308,A3,'Resumo Pagamento'!$I$2:$I$308,"*ESTIMADO")</f>
        <v/>
      </c>
      <c r="G3" s="15">
        <f>SUM(B3:F3)</f>
        <v/>
      </c>
      <c r="H3" s="51">
        <f>IF(G3=0,"",(C3+D3+F3)/G3)</f>
        <v/>
      </c>
    </row>
    <row r="4">
      <c r="A4" s="48" t="n">
        <v>2003</v>
      </c>
      <c r="B4" s="15">
        <f>SUMIFS('Resumo Pagamento'!$D$2:$D$308,'Resumo Pagamento'!$K$2:$K$308,A4,'Resumo Pagamento'!$I$2:$I$308,"*xtrato real*")</f>
        <v/>
      </c>
      <c r="C4" s="15">
        <f>SUMIFS('Resumo Pagamento'!$D$2:$D$308,'Resumo Pagamento'!$K$2:$K$308,A4,'Resumo Pagamento'!$I$2:$I$308,"2007*")</f>
        <v/>
      </c>
      <c r="D4" s="15">
        <f>SUMIFS('Resumo Pagamento'!$D$2:$D$308,'Resumo Pagamento'!$K$2:$K$308,A4,'Resumo Pagamento'!$I$2:$I$308,"Mantido*")</f>
        <v/>
      </c>
      <c r="E4" s="15">
        <f>SUMIFS('Resumo Pagamento'!$D$2:$D$308,'Resumo Pagamento'!$K$2:$K$308,A4,'Resumo Pagamento'!$I$2:$I$308,"Complementado (não existia na base)")</f>
        <v/>
      </c>
      <c r="F4" s="15">
        <f>SUMIFS('Resumo Pagamento'!$D$2:$D$308,'Resumo Pagamento'!$K$2:$K$308,A4,'Resumo Pagamento'!$I$2:$I$308,"*ESTIMADO")</f>
        <v/>
      </c>
      <c r="G4" s="15">
        <f>SUM(B4:F4)</f>
        <v/>
      </c>
      <c r="H4" s="51">
        <f>IF(G4=0,"",(C4+D4+F4)/G4)</f>
        <v/>
      </c>
    </row>
    <row r="5">
      <c r="A5" s="48" t="n">
        <v>2004</v>
      </c>
      <c r="B5" s="15">
        <f>SUMIFS('Resumo Pagamento'!$D$2:$D$308,'Resumo Pagamento'!$K$2:$K$308,A5,'Resumo Pagamento'!$I$2:$I$308,"*xtrato real*")</f>
        <v/>
      </c>
      <c r="C5" s="15">
        <f>SUMIFS('Resumo Pagamento'!$D$2:$D$308,'Resumo Pagamento'!$K$2:$K$308,A5,'Resumo Pagamento'!$I$2:$I$308,"2007*")</f>
        <v/>
      </c>
      <c r="D5" s="15">
        <f>SUMIFS('Resumo Pagamento'!$D$2:$D$308,'Resumo Pagamento'!$K$2:$K$308,A5,'Resumo Pagamento'!$I$2:$I$308,"Mantido*")</f>
        <v/>
      </c>
      <c r="E5" s="15">
        <f>SUMIFS('Resumo Pagamento'!$D$2:$D$308,'Resumo Pagamento'!$K$2:$K$308,A5,'Resumo Pagamento'!$I$2:$I$308,"Complementado (não existia na base)")</f>
        <v/>
      </c>
      <c r="F5" s="15">
        <f>SUMIFS('Resumo Pagamento'!$D$2:$D$308,'Resumo Pagamento'!$K$2:$K$308,A5,'Resumo Pagamento'!$I$2:$I$308,"*ESTIMADO")</f>
        <v/>
      </c>
      <c r="G5" s="15">
        <f>SUM(B5:F5)</f>
        <v/>
      </c>
      <c r="H5" s="51">
        <f>IF(G5=0,"",(C5+D5+F5)/G5)</f>
        <v/>
      </c>
    </row>
    <row r="6">
      <c r="A6" s="48" t="n">
        <v>2005</v>
      </c>
      <c r="B6" s="15">
        <f>SUMIFS('Resumo Pagamento'!$D$2:$D$308,'Resumo Pagamento'!$K$2:$K$308,A6,'Resumo Pagamento'!$I$2:$I$308,"*xtrato real*")</f>
        <v/>
      </c>
      <c r="C6" s="15">
        <f>SUMIFS('Resumo Pagamento'!$D$2:$D$308,'Resumo Pagamento'!$K$2:$K$308,A6,'Resumo Pagamento'!$I$2:$I$308,"2007*")</f>
        <v/>
      </c>
      <c r="D6" s="15">
        <f>SUMIFS('Resumo Pagamento'!$D$2:$D$308,'Resumo Pagamento'!$K$2:$K$308,A6,'Resumo Pagamento'!$I$2:$I$308,"Mantido*")</f>
        <v/>
      </c>
      <c r="E6" s="15">
        <f>SUMIFS('Resumo Pagamento'!$D$2:$D$308,'Resumo Pagamento'!$K$2:$K$308,A6,'Resumo Pagamento'!$I$2:$I$308,"Complementado (não existia na base)")</f>
        <v/>
      </c>
      <c r="F6" s="15">
        <f>SUMIFS('Resumo Pagamento'!$D$2:$D$308,'Resumo Pagamento'!$K$2:$K$308,A6,'Resumo Pagamento'!$I$2:$I$308,"*ESTIMADO")</f>
        <v/>
      </c>
      <c r="G6" s="15">
        <f>SUM(B6:F6)</f>
        <v/>
      </c>
      <c r="H6" s="51">
        <f>IF(G6=0,"",(C6+D6+F6)/G6)</f>
        <v/>
      </c>
    </row>
    <row r="7">
      <c r="A7" s="48" t="n">
        <v>2006</v>
      </c>
      <c r="B7" s="15">
        <f>SUMIFS('Resumo Pagamento'!$D$2:$D$308,'Resumo Pagamento'!$K$2:$K$308,A7,'Resumo Pagamento'!$I$2:$I$308,"*xtrato real*")</f>
        <v/>
      </c>
      <c r="C7" s="15">
        <f>SUMIFS('Resumo Pagamento'!$D$2:$D$308,'Resumo Pagamento'!$K$2:$K$308,A7,'Resumo Pagamento'!$I$2:$I$308,"2007*")</f>
        <v/>
      </c>
      <c r="D7" s="15">
        <f>SUMIFS('Resumo Pagamento'!$D$2:$D$308,'Resumo Pagamento'!$K$2:$K$308,A7,'Resumo Pagamento'!$I$2:$I$308,"Mantido*")</f>
        <v/>
      </c>
      <c r="E7" s="15">
        <f>SUMIFS('Resumo Pagamento'!$D$2:$D$308,'Resumo Pagamento'!$K$2:$K$308,A7,'Resumo Pagamento'!$I$2:$I$308,"Complementado (não existia na base)")</f>
        <v/>
      </c>
      <c r="F7" s="15">
        <f>SUMIFS('Resumo Pagamento'!$D$2:$D$308,'Resumo Pagamento'!$K$2:$K$308,A7,'Resumo Pagamento'!$I$2:$I$308,"*ESTIMADO")</f>
        <v/>
      </c>
      <c r="G7" s="15">
        <f>SUM(B7:F7)</f>
        <v/>
      </c>
      <c r="H7" s="51">
        <f>IF(G7=0,"",(C7+D7+F7)/G7)</f>
        <v/>
      </c>
    </row>
    <row r="8">
      <c r="A8" s="48" t="n">
        <v>2007</v>
      </c>
      <c r="B8" s="15">
        <f>SUMIFS('Resumo Pagamento'!$D$2:$D$308,'Resumo Pagamento'!$K$2:$K$308,A8,'Resumo Pagamento'!$I$2:$I$308,"*xtrato real*")</f>
        <v/>
      </c>
      <c r="C8" s="15">
        <f>SUMIFS('Resumo Pagamento'!$D$2:$D$308,'Resumo Pagamento'!$K$2:$K$308,A8,'Resumo Pagamento'!$I$2:$I$308,"2007*")</f>
        <v/>
      </c>
      <c r="D8" s="15">
        <f>SUMIFS('Resumo Pagamento'!$D$2:$D$308,'Resumo Pagamento'!$K$2:$K$308,A8,'Resumo Pagamento'!$I$2:$I$308,"Mantido*")</f>
        <v/>
      </c>
      <c r="E8" s="15">
        <f>SUMIFS('Resumo Pagamento'!$D$2:$D$308,'Resumo Pagamento'!$K$2:$K$308,A8,'Resumo Pagamento'!$I$2:$I$308,"Complementado (não existia na base)")</f>
        <v/>
      </c>
      <c r="F8" s="15">
        <f>SUMIFS('Resumo Pagamento'!$D$2:$D$308,'Resumo Pagamento'!$K$2:$K$308,A8,'Resumo Pagamento'!$I$2:$I$308,"*ESTIMADO")</f>
        <v/>
      </c>
      <c r="G8" s="15">
        <f>SUM(B8:F8)</f>
        <v/>
      </c>
      <c r="H8" s="51">
        <f>IF(G8=0,"",(C8+D8+F8)/G8)</f>
        <v/>
      </c>
    </row>
    <row r="9">
      <c r="A9" s="48" t="n">
        <v>2008</v>
      </c>
      <c r="B9" s="15">
        <f>SUMIFS('Resumo Pagamento'!$D$2:$D$308,'Resumo Pagamento'!$K$2:$K$308,A9,'Resumo Pagamento'!$I$2:$I$308,"*xtrato real*")</f>
        <v/>
      </c>
      <c r="C9" s="15">
        <f>SUMIFS('Resumo Pagamento'!$D$2:$D$308,'Resumo Pagamento'!$K$2:$K$308,A9,'Resumo Pagamento'!$I$2:$I$308,"2007*")</f>
        <v/>
      </c>
      <c r="D9" s="15">
        <f>SUMIFS('Resumo Pagamento'!$D$2:$D$308,'Resumo Pagamento'!$K$2:$K$308,A9,'Resumo Pagamento'!$I$2:$I$308,"Mantido*")</f>
        <v/>
      </c>
      <c r="E9" s="15">
        <f>SUMIFS('Resumo Pagamento'!$D$2:$D$308,'Resumo Pagamento'!$K$2:$K$308,A9,'Resumo Pagamento'!$I$2:$I$308,"Complementado (não existia na base)")</f>
        <v/>
      </c>
      <c r="F9" s="15">
        <f>SUMIFS('Resumo Pagamento'!$D$2:$D$308,'Resumo Pagamento'!$K$2:$K$308,A9,'Resumo Pagamento'!$I$2:$I$308,"*ESTIMADO")</f>
        <v/>
      </c>
      <c r="G9" s="15">
        <f>SUM(B9:F9)</f>
        <v/>
      </c>
      <c r="H9" s="51">
        <f>IF(G9=0,"",(C9+D9+F9)/G9)</f>
        <v/>
      </c>
    </row>
    <row r="10">
      <c r="A10" s="48" t="n">
        <v>2009</v>
      </c>
      <c r="B10" s="15">
        <f>SUMIFS('Resumo Pagamento'!$D$2:$D$308,'Resumo Pagamento'!$K$2:$K$308,A10,'Resumo Pagamento'!$I$2:$I$308,"*xtrato real*")</f>
        <v/>
      </c>
      <c r="C10" s="15">
        <f>SUMIFS('Resumo Pagamento'!$D$2:$D$308,'Resumo Pagamento'!$K$2:$K$308,A10,'Resumo Pagamento'!$I$2:$I$308,"2007*")</f>
        <v/>
      </c>
      <c r="D10" s="15">
        <f>SUMIFS('Resumo Pagamento'!$D$2:$D$308,'Resumo Pagamento'!$K$2:$K$308,A10,'Resumo Pagamento'!$I$2:$I$308,"Mantido*")</f>
        <v/>
      </c>
      <c r="E10" s="15">
        <f>SUMIFS('Resumo Pagamento'!$D$2:$D$308,'Resumo Pagamento'!$K$2:$K$308,A10,'Resumo Pagamento'!$I$2:$I$308,"Complementado (não existia na base)")</f>
        <v/>
      </c>
      <c r="F10" s="15">
        <f>SUMIFS('Resumo Pagamento'!$D$2:$D$308,'Resumo Pagamento'!$K$2:$K$308,A10,'Resumo Pagamento'!$I$2:$I$308,"*ESTIMADO")</f>
        <v/>
      </c>
      <c r="G10" s="15">
        <f>SUM(B10:F10)</f>
        <v/>
      </c>
      <c r="H10" s="51">
        <f>IF(G10=0,"",(C10+D10+F10)/G10)</f>
        <v/>
      </c>
    </row>
    <row r="11">
      <c r="A11" s="48" t="n">
        <v>2010</v>
      </c>
      <c r="B11" s="15">
        <f>SUMIFS('Resumo Pagamento'!$D$2:$D$308,'Resumo Pagamento'!$K$2:$K$308,A11,'Resumo Pagamento'!$I$2:$I$308,"*xtrato real*")</f>
        <v/>
      </c>
      <c r="C11" s="15">
        <f>SUMIFS('Resumo Pagamento'!$D$2:$D$308,'Resumo Pagamento'!$K$2:$K$308,A11,'Resumo Pagamento'!$I$2:$I$308,"2007*")</f>
        <v/>
      </c>
      <c r="D11" s="15">
        <f>SUMIFS('Resumo Pagamento'!$D$2:$D$308,'Resumo Pagamento'!$K$2:$K$308,A11,'Resumo Pagamento'!$I$2:$I$308,"Mantido*")</f>
        <v/>
      </c>
      <c r="E11" s="15">
        <f>SUMIFS('Resumo Pagamento'!$D$2:$D$308,'Resumo Pagamento'!$K$2:$K$308,A11,'Resumo Pagamento'!$I$2:$I$308,"Complementado (não existia na base)")</f>
        <v/>
      </c>
      <c r="F11" s="15">
        <f>SUMIFS('Resumo Pagamento'!$D$2:$D$308,'Resumo Pagamento'!$K$2:$K$308,A11,'Resumo Pagamento'!$I$2:$I$308,"*ESTIMADO")</f>
        <v/>
      </c>
      <c r="G11" s="15">
        <f>SUM(B11:F11)</f>
        <v/>
      </c>
      <c r="H11" s="51">
        <f>IF(G11=0,"",(C11+D11+F11)/G11)</f>
        <v/>
      </c>
    </row>
    <row r="12">
      <c r="A12" s="48" t="n">
        <v>2011</v>
      </c>
      <c r="B12" s="15">
        <f>SUMIFS('Resumo Pagamento'!$D$2:$D$308,'Resumo Pagamento'!$K$2:$K$308,A12,'Resumo Pagamento'!$I$2:$I$308,"*xtrato real*")</f>
        <v/>
      </c>
      <c r="C12" s="15">
        <f>SUMIFS('Resumo Pagamento'!$D$2:$D$308,'Resumo Pagamento'!$K$2:$K$308,A12,'Resumo Pagamento'!$I$2:$I$308,"2007*")</f>
        <v/>
      </c>
      <c r="D12" s="15">
        <f>SUMIFS('Resumo Pagamento'!$D$2:$D$308,'Resumo Pagamento'!$K$2:$K$308,A12,'Resumo Pagamento'!$I$2:$I$308,"Mantido*")</f>
        <v/>
      </c>
      <c r="E12" s="15">
        <f>SUMIFS('Resumo Pagamento'!$D$2:$D$308,'Resumo Pagamento'!$K$2:$K$308,A12,'Resumo Pagamento'!$I$2:$I$308,"Complementado (não existia na base)")</f>
        <v/>
      </c>
      <c r="F12" s="15">
        <f>SUMIFS('Resumo Pagamento'!$D$2:$D$308,'Resumo Pagamento'!$K$2:$K$308,A12,'Resumo Pagamento'!$I$2:$I$308,"*ESTIMADO")</f>
        <v/>
      </c>
      <c r="G12" s="15">
        <f>SUM(B12:F12)</f>
        <v/>
      </c>
      <c r="H12" s="51">
        <f>IF(G12=0,"",(C12+D12+F12)/G12)</f>
        <v/>
      </c>
    </row>
    <row r="13">
      <c r="A13" s="48" t="n">
        <v>2012</v>
      </c>
      <c r="B13" s="15">
        <f>SUMIFS('Resumo Pagamento'!$D$2:$D$308,'Resumo Pagamento'!$K$2:$K$308,A13,'Resumo Pagamento'!$I$2:$I$308,"*xtrato real*")</f>
        <v/>
      </c>
      <c r="C13" s="15">
        <f>SUMIFS('Resumo Pagamento'!$D$2:$D$308,'Resumo Pagamento'!$K$2:$K$308,A13,'Resumo Pagamento'!$I$2:$I$308,"2007*")</f>
        <v/>
      </c>
      <c r="D13" s="15">
        <f>SUMIFS('Resumo Pagamento'!$D$2:$D$308,'Resumo Pagamento'!$K$2:$K$308,A13,'Resumo Pagamento'!$I$2:$I$308,"Mantido*")</f>
        <v/>
      </c>
      <c r="E13" s="15">
        <f>SUMIFS('Resumo Pagamento'!$D$2:$D$308,'Resumo Pagamento'!$K$2:$K$308,A13,'Resumo Pagamento'!$I$2:$I$308,"Complementado (não existia na base)")</f>
        <v/>
      </c>
      <c r="F13" s="15">
        <f>SUMIFS('Resumo Pagamento'!$D$2:$D$308,'Resumo Pagamento'!$K$2:$K$308,A13,'Resumo Pagamento'!$I$2:$I$308,"*ESTIMADO")</f>
        <v/>
      </c>
      <c r="G13" s="15">
        <f>SUM(B13:F13)</f>
        <v/>
      </c>
      <c r="H13" s="51">
        <f>IF(G13=0,"",(C13+D13+F13)/G13)</f>
        <v/>
      </c>
    </row>
    <row r="14">
      <c r="A14" s="48" t="n">
        <v>2013</v>
      </c>
      <c r="B14" s="15">
        <f>SUMIFS('Resumo Pagamento'!$D$2:$D$308,'Resumo Pagamento'!$K$2:$K$308,A14,'Resumo Pagamento'!$I$2:$I$308,"*xtrato real*")</f>
        <v/>
      </c>
      <c r="C14" s="15">
        <f>SUMIFS('Resumo Pagamento'!$D$2:$D$308,'Resumo Pagamento'!$K$2:$K$308,A14,'Resumo Pagamento'!$I$2:$I$308,"2007*")</f>
        <v/>
      </c>
      <c r="D14" s="15">
        <f>SUMIFS('Resumo Pagamento'!$D$2:$D$308,'Resumo Pagamento'!$K$2:$K$308,A14,'Resumo Pagamento'!$I$2:$I$308,"Mantido*")</f>
        <v/>
      </c>
      <c r="E14" s="15">
        <f>SUMIFS('Resumo Pagamento'!$D$2:$D$308,'Resumo Pagamento'!$K$2:$K$308,A14,'Resumo Pagamento'!$I$2:$I$308,"Complementado (não existia na base)")</f>
        <v/>
      </c>
      <c r="F14" s="15">
        <f>SUMIFS('Resumo Pagamento'!$D$2:$D$308,'Resumo Pagamento'!$K$2:$K$308,A14,'Resumo Pagamento'!$I$2:$I$308,"*ESTIMADO")</f>
        <v/>
      </c>
      <c r="G14" s="15">
        <f>SUM(B14:F14)</f>
        <v/>
      </c>
      <c r="H14" s="51">
        <f>IF(G14=0,"",(C14+D14+F14)/G14)</f>
        <v/>
      </c>
    </row>
    <row r="15">
      <c r="A15" s="48" t="n">
        <v>2014</v>
      </c>
      <c r="B15" s="15">
        <f>SUMIFS('Resumo Pagamento'!$D$2:$D$308,'Resumo Pagamento'!$K$2:$K$308,A15,'Resumo Pagamento'!$I$2:$I$308,"*xtrato real*")</f>
        <v/>
      </c>
      <c r="C15" s="15">
        <f>SUMIFS('Resumo Pagamento'!$D$2:$D$308,'Resumo Pagamento'!$K$2:$K$308,A15,'Resumo Pagamento'!$I$2:$I$308,"2007*")</f>
        <v/>
      </c>
      <c r="D15" s="15">
        <f>SUMIFS('Resumo Pagamento'!$D$2:$D$308,'Resumo Pagamento'!$K$2:$K$308,A15,'Resumo Pagamento'!$I$2:$I$308,"Mantido*")</f>
        <v/>
      </c>
      <c r="E15" s="15">
        <f>SUMIFS('Resumo Pagamento'!$D$2:$D$308,'Resumo Pagamento'!$K$2:$K$308,A15,'Resumo Pagamento'!$I$2:$I$308,"Complementado (não existia na base)")</f>
        <v/>
      </c>
      <c r="F15" s="15">
        <f>SUMIFS('Resumo Pagamento'!$D$2:$D$308,'Resumo Pagamento'!$K$2:$K$308,A15,'Resumo Pagamento'!$I$2:$I$308,"*ESTIMADO")</f>
        <v/>
      </c>
      <c r="G15" s="15">
        <f>SUM(B15:F15)</f>
        <v/>
      </c>
      <c r="H15" s="51">
        <f>IF(G15=0,"",(C15+D15+F15)/G15)</f>
        <v/>
      </c>
    </row>
    <row r="16">
      <c r="A16" s="48" t="n">
        <v>2015</v>
      </c>
      <c r="B16" s="15">
        <f>SUMIFS('Resumo Pagamento'!$D$2:$D$308,'Resumo Pagamento'!$K$2:$K$308,A16,'Resumo Pagamento'!$I$2:$I$308,"*xtrato real*")</f>
        <v/>
      </c>
      <c r="C16" s="15">
        <f>SUMIFS('Resumo Pagamento'!$D$2:$D$308,'Resumo Pagamento'!$K$2:$K$308,A16,'Resumo Pagamento'!$I$2:$I$308,"2007*")</f>
        <v/>
      </c>
      <c r="D16" s="15">
        <f>SUMIFS('Resumo Pagamento'!$D$2:$D$308,'Resumo Pagamento'!$K$2:$K$308,A16,'Resumo Pagamento'!$I$2:$I$308,"Mantido*")</f>
        <v/>
      </c>
      <c r="E16" s="15">
        <f>SUMIFS('Resumo Pagamento'!$D$2:$D$308,'Resumo Pagamento'!$K$2:$K$308,A16,'Resumo Pagamento'!$I$2:$I$308,"Complementado (não existia na base)")</f>
        <v/>
      </c>
      <c r="F16" s="15">
        <f>SUMIFS('Resumo Pagamento'!$D$2:$D$308,'Resumo Pagamento'!$K$2:$K$308,A16,'Resumo Pagamento'!$I$2:$I$308,"*ESTIMADO")</f>
        <v/>
      </c>
      <c r="G16" s="15">
        <f>SUM(B16:F16)</f>
        <v/>
      </c>
      <c r="H16" s="51">
        <f>IF(G16=0,"",(C16+D16+F16)/G16)</f>
        <v/>
      </c>
    </row>
    <row r="17">
      <c r="A17" s="48" t="n">
        <v>2016</v>
      </c>
      <c r="B17" s="15">
        <f>SUMIFS('Resumo Pagamento'!$D$2:$D$308,'Resumo Pagamento'!$K$2:$K$308,A17,'Resumo Pagamento'!$I$2:$I$308,"*xtrato real*")</f>
        <v/>
      </c>
      <c r="C17" s="15">
        <f>SUMIFS('Resumo Pagamento'!$D$2:$D$308,'Resumo Pagamento'!$K$2:$K$308,A17,'Resumo Pagamento'!$I$2:$I$308,"2007*")</f>
        <v/>
      </c>
      <c r="D17" s="15">
        <f>SUMIFS('Resumo Pagamento'!$D$2:$D$308,'Resumo Pagamento'!$K$2:$K$308,A17,'Resumo Pagamento'!$I$2:$I$308,"Mantido*")</f>
        <v/>
      </c>
      <c r="E17" s="15">
        <f>SUMIFS('Resumo Pagamento'!$D$2:$D$308,'Resumo Pagamento'!$K$2:$K$308,A17,'Resumo Pagamento'!$I$2:$I$308,"Complementado (não existia na base)")</f>
        <v/>
      </c>
      <c r="F17" s="15">
        <f>SUMIFS('Resumo Pagamento'!$D$2:$D$308,'Resumo Pagamento'!$K$2:$K$308,A17,'Resumo Pagamento'!$I$2:$I$308,"*ESTIMADO")</f>
        <v/>
      </c>
      <c r="G17" s="15">
        <f>SUM(B17:F17)</f>
        <v/>
      </c>
      <c r="H17" s="51">
        <f>IF(G17=0,"",(C17+D17+F17)/G17)</f>
        <v/>
      </c>
    </row>
    <row r="18">
      <c r="A18" s="48" t="n">
        <v>2017</v>
      </c>
      <c r="B18" s="15">
        <f>SUMIFS('Resumo Pagamento'!$D$2:$D$308,'Resumo Pagamento'!$K$2:$K$308,A18,'Resumo Pagamento'!$I$2:$I$308,"*xtrato real*")</f>
        <v/>
      </c>
      <c r="C18" s="15">
        <f>SUMIFS('Resumo Pagamento'!$D$2:$D$308,'Resumo Pagamento'!$K$2:$K$308,A18,'Resumo Pagamento'!$I$2:$I$308,"2007*")</f>
        <v/>
      </c>
      <c r="D18" s="15">
        <f>SUMIFS('Resumo Pagamento'!$D$2:$D$308,'Resumo Pagamento'!$K$2:$K$308,A18,'Resumo Pagamento'!$I$2:$I$308,"Mantido*")</f>
        <v/>
      </c>
      <c r="E18" s="15">
        <f>SUMIFS('Resumo Pagamento'!$D$2:$D$308,'Resumo Pagamento'!$K$2:$K$308,A18,'Resumo Pagamento'!$I$2:$I$308,"Complementado (não existia na base)")</f>
        <v/>
      </c>
      <c r="F18" s="15">
        <f>SUMIFS('Resumo Pagamento'!$D$2:$D$308,'Resumo Pagamento'!$K$2:$K$308,A18,'Resumo Pagamento'!$I$2:$I$308,"*ESTIMADO")</f>
        <v/>
      </c>
      <c r="G18" s="15">
        <f>SUM(B18:F18)</f>
        <v/>
      </c>
      <c r="H18" s="51">
        <f>IF(G18=0,"",(C18+D18+F18)/G18)</f>
        <v/>
      </c>
    </row>
    <row r="19">
      <c r="A19" s="48" t="n">
        <v>2018</v>
      </c>
      <c r="B19" s="15">
        <f>SUMIFS('Resumo Pagamento'!$D$2:$D$308,'Resumo Pagamento'!$K$2:$K$308,A19,'Resumo Pagamento'!$I$2:$I$308,"*xtrato real*")</f>
        <v/>
      </c>
      <c r="C19" s="15">
        <f>SUMIFS('Resumo Pagamento'!$D$2:$D$308,'Resumo Pagamento'!$K$2:$K$308,A19,'Resumo Pagamento'!$I$2:$I$308,"2007*")</f>
        <v/>
      </c>
      <c r="D19" s="15">
        <f>SUMIFS('Resumo Pagamento'!$D$2:$D$308,'Resumo Pagamento'!$K$2:$K$308,A19,'Resumo Pagamento'!$I$2:$I$308,"Mantido*")</f>
        <v/>
      </c>
      <c r="E19" s="15">
        <f>SUMIFS('Resumo Pagamento'!$D$2:$D$308,'Resumo Pagamento'!$K$2:$K$308,A19,'Resumo Pagamento'!$I$2:$I$308,"Complementado (não existia na base)")</f>
        <v/>
      </c>
      <c r="F19" s="15">
        <f>SUMIFS('Resumo Pagamento'!$D$2:$D$308,'Resumo Pagamento'!$K$2:$K$308,A19,'Resumo Pagamento'!$I$2:$I$308,"*ESTIMADO")</f>
        <v/>
      </c>
      <c r="G19" s="15">
        <f>SUM(B19:F19)</f>
        <v/>
      </c>
      <c r="H19" s="51">
        <f>IF(G19=0,"",(C19+D19+F19)/G19)</f>
        <v/>
      </c>
    </row>
    <row r="20">
      <c r="A20" s="48" t="n">
        <v>2019</v>
      </c>
      <c r="B20" s="15">
        <f>SUMIFS('Resumo Pagamento'!$D$2:$D$308,'Resumo Pagamento'!$K$2:$K$308,A20,'Resumo Pagamento'!$I$2:$I$308,"*xtrato real*")</f>
        <v/>
      </c>
      <c r="C20" s="15">
        <f>SUMIFS('Resumo Pagamento'!$D$2:$D$308,'Resumo Pagamento'!$K$2:$K$308,A20,'Resumo Pagamento'!$I$2:$I$308,"2007*")</f>
        <v/>
      </c>
      <c r="D20" s="15">
        <f>SUMIFS('Resumo Pagamento'!$D$2:$D$308,'Resumo Pagamento'!$K$2:$K$308,A20,'Resumo Pagamento'!$I$2:$I$308,"Mantido*")</f>
        <v/>
      </c>
      <c r="E20" s="15">
        <f>SUMIFS('Resumo Pagamento'!$D$2:$D$308,'Resumo Pagamento'!$K$2:$K$308,A20,'Resumo Pagamento'!$I$2:$I$308,"Complementado (não existia na base)")</f>
        <v/>
      </c>
      <c r="F20" s="15">
        <f>SUMIFS('Resumo Pagamento'!$D$2:$D$308,'Resumo Pagamento'!$K$2:$K$308,A20,'Resumo Pagamento'!$I$2:$I$308,"*ESTIMADO")</f>
        <v/>
      </c>
      <c r="G20" s="15">
        <f>SUM(B20:F20)</f>
        <v/>
      </c>
      <c r="H20" s="51">
        <f>IF(G20=0,"",(C20+D20+F20)/G20)</f>
        <v/>
      </c>
    </row>
    <row r="21">
      <c r="A21" s="48" t="n">
        <v>2020</v>
      </c>
      <c r="B21" s="15">
        <f>SUMIFS('Resumo Pagamento'!$D$2:$D$308,'Resumo Pagamento'!$K$2:$K$308,A21,'Resumo Pagamento'!$I$2:$I$308,"*xtrato real*")</f>
        <v/>
      </c>
      <c r="C21" s="15">
        <f>SUMIFS('Resumo Pagamento'!$D$2:$D$308,'Resumo Pagamento'!$K$2:$K$308,A21,'Resumo Pagamento'!$I$2:$I$308,"2007*")</f>
        <v/>
      </c>
      <c r="D21" s="15">
        <f>SUMIFS('Resumo Pagamento'!$D$2:$D$308,'Resumo Pagamento'!$K$2:$K$308,A21,'Resumo Pagamento'!$I$2:$I$308,"Mantido*")</f>
        <v/>
      </c>
      <c r="E21" s="15">
        <f>SUMIFS('Resumo Pagamento'!$D$2:$D$308,'Resumo Pagamento'!$K$2:$K$308,A21,'Resumo Pagamento'!$I$2:$I$308,"Complementado (não existia na base)")</f>
        <v/>
      </c>
      <c r="F21" s="15">
        <f>SUMIFS('Resumo Pagamento'!$D$2:$D$308,'Resumo Pagamento'!$K$2:$K$308,A21,'Resumo Pagamento'!$I$2:$I$308,"*ESTIMADO")</f>
        <v/>
      </c>
      <c r="G21" s="15">
        <f>SUM(B21:F21)</f>
        <v/>
      </c>
      <c r="H21" s="51">
        <f>IF(G21=0,"",(C21+D21+F21)/G21)</f>
        <v/>
      </c>
    </row>
    <row r="22">
      <c r="A22" s="48" t="n">
        <v>2021</v>
      </c>
      <c r="B22" s="15">
        <f>SUMIFS('Resumo Pagamento'!$D$2:$D$308,'Resumo Pagamento'!$K$2:$K$308,A22,'Resumo Pagamento'!$I$2:$I$308,"*xtrato real*")</f>
        <v/>
      </c>
      <c r="C22" s="15">
        <f>SUMIFS('Resumo Pagamento'!$D$2:$D$308,'Resumo Pagamento'!$K$2:$K$308,A22,'Resumo Pagamento'!$I$2:$I$308,"2007*")</f>
        <v/>
      </c>
      <c r="D22" s="15">
        <f>SUMIFS('Resumo Pagamento'!$D$2:$D$308,'Resumo Pagamento'!$K$2:$K$308,A22,'Resumo Pagamento'!$I$2:$I$308,"Mantido*")</f>
        <v/>
      </c>
      <c r="E22" s="15">
        <f>SUMIFS('Resumo Pagamento'!$D$2:$D$308,'Resumo Pagamento'!$K$2:$K$308,A22,'Resumo Pagamento'!$I$2:$I$308,"Complementado (não existia na base)")</f>
        <v/>
      </c>
      <c r="F22" s="15">
        <f>SUMIFS('Resumo Pagamento'!$D$2:$D$308,'Resumo Pagamento'!$K$2:$K$308,A22,'Resumo Pagamento'!$I$2:$I$308,"*ESTIMADO")</f>
        <v/>
      </c>
      <c r="G22" s="15">
        <f>SUM(B22:F22)</f>
        <v/>
      </c>
      <c r="H22" s="51">
        <f>IF(G22=0,"",(C22+D22+F22)/G22)</f>
        <v/>
      </c>
    </row>
    <row r="23">
      <c r="A23" s="48" t="n">
        <v>2022</v>
      </c>
      <c r="B23" s="15">
        <f>SUMIFS('Resumo Pagamento'!$D$2:$D$308,'Resumo Pagamento'!$K$2:$K$308,A23,'Resumo Pagamento'!$I$2:$I$308,"*xtrato real*")</f>
        <v/>
      </c>
      <c r="C23" s="15">
        <f>SUMIFS('Resumo Pagamento'!$D$2:$D$308,'Resumo Pagamento'!$K$2:$K$308,A23,'Resumo Pagamento'!$I$2:$I$308,"2007*")</f>
        <v/>
      </c>
      <c r="D23" s="15">
        <f>SUMIFS('Resumo Pagamento'!$D$2:$D$308,'Resumo Pagamento'!$K$2:$K$308,A23,'Resumo Pagamento'!$I$2:$I$308,"Mantido*")</f>
        <v/>
      </c>
      <c r="E23" s="15">
        <f>SUMIFS('Resumo Pagamento'!$D$2:$D$308,'Resumo Pagamento'!$K$2:$K$308,A23,'Resumo Pagamento'!$I$2:$I$308,"Complementado (não existia na base)")</f>
        <v/>
      </c>
      <c r="F23" s="15">
        <f>SUMIFS('Resumo Pagamento'!$D$2:$D$308,'Resumo Pagamento'!$K$2:$K$308,A23,'Resumo Pagamento'!$I$2:$I$308,"*ESTIMADO")</f>
        <v/>
      </c>
      <c r="G23" s="15">
        <f>SUM(B23:F23)</f>
        <v/>
      </c>
      <c r="H23" s="51">
        <f>IF(G23=0,"",(C23+D23+F23)/G23)</f>
        <v/>
      </c>
    </row>
    <row r="24">
      <c r="A24" s="48" t="n">
        <v>2023</v>
      </c>
      <c r="B24" s="15">
        <f>SUMIFS('Resumo Pagamento'!$D$2:$D$308,'Resumo Pagamento'!$K$2:$K$308,A24,'Resumo Pagamento'!$I$2:$I$308,"*xtrato real*")</f>
        <v/>
      </c>
      <c r="C24" s="15">
        <f>SUMIFS('Resumo Pagamento'!$D$2:$D$308,'Resumo Pagamento'!$K$2:$K$308,A24,'Resumo Pagamento'!$I$2:$I$308,"2007*")</f>
        <v/>
      </c>
      <c r="D24" s="15">
        <f>SUMIFS('Resumo Pagamento'!$D$2:$D$308,'Resumo Pagamento'!$K$2:$K$308,A24,'Resumo Pagamento'!$I$2:$I$308,"Mantido*")</f>
        <v/>
      </c>
      <c r="E24" s="15">
        <f>SUMIFS('Resumo Pagamento'!$D$2:$D$308,'Resumo Pagamento'!$K$2:$K$308,A24,'Resumo Pagamento'!$I$2:$I$308,"Complementado (não existia na base)")</f>
        <v/>
      </c>
      <c r="F24" s="15">
        <f>SUMIFS('Resumo Pagamento'!$D$2:$D$308,'Resumo Pagamento'!$K$2:$K$308,A24,'Resumo Pagamento'!$I$2:$I$308,"*ESTIMADO")</f>
        <v/>
      </c>
      <c r="G24" s="15">
        <f>SUM(B24:F24)</f>
        <v/>
      </c>
      <c r="H24" s="51">
        <f>IF(G24=0,"",(C24+D24+F24)/G24)</f>
        <v/>
      </c>
    </row>
    <row r="25">
      <c r="A25" s="48" t="n">
        <v>2024</v>
      </c>
      <c r="B25" s="15">
        <f>SUMIFS('Resumo Pagamento'!$D$2:$D$308,'Resumo Pagamento'!$K$2:$K$308,A25,'Resumo Pagamento'!$I$2:$I$308,"*xtrato real*")</f>
        <v/>
      </c>
      <c r="C25" s="15">
        <f>SUMIFS('Resumo Pagamento'!$D$2:$D$308,'Resumo Pagamento'!$K$2:$K$308,A25,'Resumo Pagamento'!$I$2:$I$308,"2007*")</f>
        <v/>
      </c>
      <c r="D25" s="15">
        <f>SUMIFS('Resumo Pagamento'!$D$2:$D$308,'Resumo Pagamento'!$K$2:$K$308,A25,'Resumo Pagamento'!$I$2:$I$308,"Mantido*")</f>
        <v/>
      </c>
      <c r="E25" s="15">
        <f>SUMIFS('Resumo Pagamento'!$D$2:$D$308,'Resumo Pagamento'!$K$2:$K$308,A25,'Resumo Pagamento'!$I$2:$I$308,"Complementado (não existia na base)")</f>
        <v/>
      </c>
      <c r="F25" s="15">
        <f>SUMIFS('Resumo Pagamento'!$D$2:$D$308,'Resumo Pagamento'!$K$2:$K$308,A25,'Resumo Pagamento'!$I$2:$I$308,"*ESTIMADO")</f>
        <v/>
      </c>
      <c r="G25" s="15">
        <f>SUM(B25:F25)</f>
        <v/>
      </c>
      <c r="H25" s="51">
        <f>IF(G25=0,"",(C25+D25+F25)/G25)</f>
        <v/>
      </c>
    </row>
    <row r="26">
      <c r="A26" s="48" t="n">
        <v>2025</v>
      </c>
      <c r="B26" s="15">
        <f>SUMIFS('Resumo Pagamento'!$D$2:$D$308,'Resumo Pagamento'!$K$2:$K$308,A26,'Resumo Pagamento'!$I$2:$I$308,"*xtrato real*")</f>
        <v/>
      </c>
      <c r="C26" s="15">
        <f>SUMIFS('Resumo Pagamento'!$D$2:$D$308,'Resumo Pagamento'!$K$2:$K$308,A26,'Resumo Pagamento'!$I$2:$I$308,"2007*")</f>
        <v/>
      </c>
      <c r="D26" s="15">
        <f>SUMIFS('Resumo Pagamento'!$D$2:$D$308,'Resumo Pagamento'!$K$2:$K$308,A26,'Resumo Pagamento'!$I$2:$I$308,"Mantido*")</f>
        <v/>
      </c>
      <c r="E26" s="15">
        <f>SUMIFS('Resumo Pagamento'!$D$2:$D$308,'Resumo Pagamento'!$K$2:$K$308,A26,'Resumo Pagamento'!$I$2:$I$308,"Complementado (não existia na base)")</f>
        <v/>
      </c>
      <c r="F26" s="15">
        <f>SUMIFS('Resumo Pagamento'!$D$2:$D$308,'Resumo Pagamento'!$K$2:$K$308,A26,'Resumo Pagamento'!$I$2:$I$308,"*ESTIMADO")</f>
        <v/>
      </c>
      <c r="G26" s="15">
        <f>SUM(B26:F26)</f>
        <v/>
      </c>
      <c r="H26" s="51">
        <f>IF(G26=0,"",(C26+D26+F26)/G26)</f>
        <v/>
      </c>
    </row>
    <row r="27">
      <c r="A27" s="48" t="n">
        <v>2026</v>
      </c>
      <c r="B27" s="15">
        <f>SUMIFS('Resumo Pagamento'!$D$2:$D$308,'Resumo Pagamento'!$K$2:$K$308,A27,'Resumo Pagamento'!$I$2:$I$308,"*xtrato real*")</f>
        <v/>
      </c>
      <c r="C27" s="15">
        <f>SUMIFS('Resumo Pagamento'!$D$2:$D$308,'Resumo Pagamento'!$K$2:$K$308,A27,'Resumo Pagamento'!$I$2:$I$308,"2007*")</f>
        <v/>
      </c>
      <c r="D27" s="15">
        <f>SUMIFS('Resumo Pagamento'!$D$2:$D$308,'Resumo Pagamento'!$K$2:$K$308,A27,'Resumo Pagamento'!$I$2:$I$308,"Mantido*")</f>
        <v/>
      </c>
      <c r="E27" s="15">
        <f>SUMIFS('Resumo Pagamento'!$D$2:$D$308,'Resumo Pagamento'!$K$2:$K$308,A27,'Resumo Pagamento'!$I$2:$I$308,"Complementado (não existia na base)")</f>
        <v/>
      </c>
      <c r="F27" s="15">
        <f>SUMIFS('Resumo Pagamento'!$D$2:$D$308,'Resumo Pagamento'!$K$2:$K$308,A27,'Resumo Pagamento'!$I$2:$I$308,"*ESTIMADO")</f>
        <v/>
      </c>
      <c r="G27" s="15">
        <f>SUM(B27:F27)</f>
        <v/>
      </c>
      <c r="H27" s="51">
        <f>IF(G27=0,"",(C27+D27+F27)/G27)</f>
        <v/>
      </c>
    </row>
    <row r="28">
      <c r="A28" s="36" t="inlineStr">
        <is>
          <t>TOTAL</t>
        </is>
      </c>
      <c r="B28" s="37">
        <f>SUM(B2:B27)</f>
        <v/>
      </c>
      <c r="C28" s="37">
        <f>SUM(C2:C27)</f>
        <v/>
      </c>
      <c r="D28" s="37">
        <f>SUM(D2:D27)</f>
        <v/>
      </c>
      <c r="E28" s="37">
        <f>SUM(E2:E27)</f>
        <v/>
      </c>
      <c r="F28" s="37">
        <f>SUM(F2:F27)</f>
        <v/>
      </c>
      <c r="G28" s="37">
        <f>SUM(G2:G27)</f>
        <v/>
      </c>
      <c r="H28" s="52">
        <f>IF(G28=0,"",(C28+D28+F28)/G28)</f>
        <v/>
      </c>
    </row>
    <row r="30">
      <c r="A30" s="53" t="inlineStr">
        <is>
          <t>Complementado - real: extrato Tenda (fev/2012 a fev/2013) e contas a pagar (jul/2017 em diante). Complementado - ESTIMADO: mar/2013 a jun/2017 (média com variação). Mantido da base manual: 2001 a jan/2005 e nov/2010 a jan/2012 (valores da planilha original, aparentemente estimados).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</cols>
  <sheetData>
    <row r="1" ht="34" customHeight="1">
      <c r="A1" s="50" t="inlineStr">
        <is>
          <t>Ano do pagamento</t>
        </is>
      </c>
      <c r="B1" s="50" t="inlineStr">
        <is>
          <t>Base original (R$)</t>
        </is>
      </c>
      <c r="C1" s="50" t="inlineStr">
        <is>
          <t>Final - coluna D (R$)</t>
        </is>
      </c>
      <c r="D1" s="50" t="inlineStr">
        <is>
          <t>Diferença (Final − Original)</t>
        </is>
      </c>
      <c r="E1" s="50" t="inlineStr">
        <is>
          <t>Meses com extrato real</t>
        </is>
      </c>
      <c r="F1" s="50" t="inlineStr">
        <is>
          <t>Meses mantidos da base</t>
        </is>
      </c>
      <c r="G1" s="50" t="inlineStr">
        <is>
          <t>Meses complementados</t>
        </is>
      </c>
    </row>
    <row r="2">
      <c r="A2" s="48" t="n">
        <v>2001</v>
      </c>
      <c r="B2" s="15">
        <f>SUMIFS('Resumo Pagamento'!$F$2:$F$308,'Resumo Pagamento'!$K$2:$K$308,A2)</f>
        <v/>
      </c>
      <c r="C2" s="15">
        <f>SUMIFS('Resumo Pagamento'!$D$2:$D$308,'Resumo Pagamento'!$K$2:$K$308,A2)</f>
        <v/>
      </c>
      <c r="D2" s="15">
        <f>C2-B2</f>
        <v/>
      </c>
      <c r="E2" s="54">
        <f>COUNTIFS('Resumo Pagamento'!$K$2:$K$308,A2,'Resumo Pagamento'!$I$2:$I$308,"*xtrato real*")</f>
        <v/>
      </c>
      <c r="F2" s="54">
        <f>COUNTIFS('Resumo Pagamento'!$K$2:$K$308,A2,'Resumo Pagamento'!$I$2:$I$308,"Mantido*")</f>
        <v/>
      </c>
      <c r="G2" s="54">
        <f>COUNTIFS('Resumo Pagamento'!$K$2:$K$308,A2,'Resumo Pagamento'!$I$2:$I$308,"Complementado*")</f>
        <v/>
      </c>
    </row>
    <row r="3">
      <c r="A3" s="48" t="n">
        <v>2002</v>
      </c>
      <c r="B3" s="15">
        <f>SUMIFS('Resumo Pagamento'!$F$2:$F$308,'Resumo Pagamento'!$K$2:$K$308,A3)</f>
        <v/>
      </c>
      <c r="C3" s="15">
        <f>SUMIFS('Resumo Pagamento'!$D$2:$D$308,'Resumo Pagamento'!$K$2:$K$308,A3)</f>
        <v/>
      </c>
      <c r="D3" s="15">
        <f>C3-B3</f>
        <v/>
      </c>
      <c r="E3" s="54">
        <f>COUNTIFS('Resumo Pagamento'!$K$2:$K$308,A3,'Resumo Pagamento'!$I$2:$I$308,"*xtrato real*")</f>
        <v/>
      </c>
      <c r="F3" s="54">
        <f>COUNTIFS('Resumo Pagamento'!$K$2:$K$308,A3,'Resumo Pagamento'!$I$2:$I$308,"Mantido*")</f>
        <v/>
      </c>
      <c r="G3" s="54">
        <f>COUNTIFS('Resumo Pagamento'!$K$2:$K$308,A3,'Resumo Pagamento'!$I$2:$I$308,"Complementado*")</f>
        <v/>
      </c>
    </row>
    <row r="4">
      <c r="A4" s="48" t="n">
        <v>2003</v>
      </c>
      <c r="B4" s="15">
        <f>SUMIFS('Resumo Pagamento'!$F$2:$F$308,'Resumo Pagamento'!$K$2:$K$308,A4)</f>
        <v/>
      </c>
      <c r="C4" s="15">
        <f>SUMIFS('Resumo Pagamento'!$D$2:$D$308,'Resumo Pagamento'!$K$2:$K$308,A4)</f>
        <v/>
      </c>
      <c r="D4" s="15">
        <f>C4-B4</f>
        <v/>
      </c>
      <c r="E4" s="54">
        <f>COUNTIFS('Resumo Pagamento'!$K$2:$K$308,A4,'Resumo Pagamento'!$I$2:$I$308,"*xtrato real*")</f>
        <v/>
      </c>
      <c r="F4" s="54">
        <f>COUNTIFS('Resumo Pagamento'!$K$2:$K$308,A4,'Resumo Pagamento'!$I$2:$I$308,"Mantido*")</f>
        <v/>
      </c>
      <c r="G4" s="54">
        <f>COUNTIFS('Resumo Pagamento'!$K$2:$K$308,A4,'Resumo Pagamento'!$I$2:$I$308,"Complementado*")</f>
        <v/>
      </c>
    </row>
    <row r="5">
      <c r="A5" s="48" t="n">
        <v>2004</v>
      </c>
      <c r="B5" s="15">
        <f>SUMIFS('Resumo Pagamento'!$F$2:$F$308,'Resumo Pagamento'!$K$2:$K$308,A5)</f>
        <v/>
      </c>
      <c r="C5" s="15">
        <f>SUMIFS('Resumo Pagamento'!$D$2:$D$308,'Resumo Pagamento'!$K$2:$K$308,A5)</f>
        <v/>
      </c>
      <c r="D5" s="15">
        <f>C5-B5</f>
        <v/>
      </c>
      <c r="E5" s="54">
        <f>COUNTIFS('Resumo Pagamento'!$K$2:$K$308,A5,'Resumo Pagamento'!$I$2:$I$308,"*xtrato real*")</f>
        <v/>
      </c>
      <c r="F5" s="54">
        <f>COUNTIFS('Resumo Pagamento'!$K$2:$K$308,A5,'Resumo Pagamento'!$I$2:$I$308,"Mantido*")</f>
        <v/>
      </c>
      <c r="G5" s="54">
        <f>COUNTIFS('Resumo Pagamento'!$K$2:$K$308,A5,'Resumo Pagamento'!$I$2:$I$308,"Complementado*")</f>
        <v/>
      </c>
    </row>
    <row r="6">
      <c r="A6" s="48" t="n">
        <v>2005</v>
      </c>
      <c r="B6" s="15">
        <f>SUMIFS('Resumo Pagamento'!$F$2:$F$308,'Resumo Pagamento'!$K$2:$K$308,A6)</f>
        <v/>
      </c>
      <c r="C6" s="15">
        <f>SUMIFS('Resumo Pagamento'!$D$2:$D$308,'Resumo Pagamento'!$K$2:$K$308,A6)</f>
        <v/>
      </c>
      <c r="D6" s="15">
        <f>C6-B6</f>
        <v/>
      </c>
      <c r="E6" s="54">
        <f>COUNTIFS('Resumo Pagamento'!$K$2:$K$308,A6,'Resumo Pagamento'!$I$2:$I$308,"*xtrato real*")</f>
        <v/>
      </c>
      <c r="F6" s="54">
        <f>COUNTIFS('Resumo Pagamento'!$K$2:$K$308,A6,'Resumo Pagamento'!$I$2:$I$308,"Mantido*")</f>
        <v/>
      </c>
      <c r="G6" s="54">
        <f>COUNTIFS('Resumo Pagamento'!$K$2:$K$308,A6,'Resumo Pagamento'!$I$2:$I$308,"Complementado*")</f>
        <v/>
      </c>
    </row>
    <row r="7">
      <c r="A7" s="48" t="n">
        <v>2006</v>
      </c>
      <c r="B7" s="15">
        <f>SUMIFS('Resumo Pagamento'!$F$2:$F$308,'Resumo Pagamento'!$K$2:$K$308,A7)</f>
        <v/>
      </c>
      <c r="C7" s="15">
        <f>SUMIFS('Resumo Pagamento'!$D$2:$D$308,'Resumo Pagamento'!$K$2:$K$308,A7)</f>
        <v/>
      </c>
      <c r="D7" s="15">
        <f>C7-B7</f>
        <v/>
      </c>
      <c r="E7" s="54">
        <f>COUNTIFS('Resumo Pagamento'!$K$2:$K$308,A7,'Resumo Pagamento'!$I$2:$I$308,"*xtrato real*")</f>
        <v/>
      </c>
      <c r="F7" s="54">
        <f>COUNTIFS('Resumo Pagamento'!$K$2:$K$308,A7,'Resumo Pagamento'!$I$2:$I$308,"Mantido*")</f>
        <v/>
      </c>
      <c r="G7" s="54">
        <f>COUNTIFS('Resumo Pagamento'!$K$2:$K$308,A7,'Resumo Pagamento'!$I$2:$I$308,"Complementado*")</f>
        <v/>
      </c>
    </row>
    <row r="8">
      <c r="A8" s="48" t="n">
        <v>2007</v>
      </c>
      <c r="B8" s="15">
        <f>SUMIFS('Resumo Pagamento'!$F$2:$F$308,'Resumo Pagamento'!$K$2:$K$308,A8)</f>
        <v/>
      </c>
      <c r="C8" s="15">
        <f>SUMIFS('Resumo Pagamento'!$D$2:$D$308,'Resumo Pagamento'!$K$2:$K$308,A8)</f>
        <v/>
      </c>
      <c r="D8" s="15">
        <f>C8-B8</f>
        <v/>
      </c>
      <c r="E8" s="54">
        <f>COUNTIFS('Resumo Pagamento'!$K$2:$K$308,A8,'Resumo Pagamento'!$I$2:$I$308,"*xtrato real*")</f>
        <v/>
      </c>
      <c r="F8" s="54">
        <f>COUNTIFS('Resumo Pagamento'!$K$2:$K$308,A8,'Resumo Pagamento'!$I$2:$I$308,"Mantido*")</f>
        <v/>
      </c>
      <c r="G8" s="54">
        <f>COUNTIFS('Resumo Pagamento'!$K$2:$K$308,A8,'Resumo Pagamento'!$I$2:$I$308,"Complementado*")</f>
        <v/>
      </c>
    </row>
    <row r="9">
      <c r="A9" s="48" t="n">
        <v>2008</v>
      </c>
      <c r="B9" s="15">
        <f>SUMIFS('Resumo Pagamento'!$F$2:$F$308,'Resumo Pagamento'!$K$2:$K$308,A9)</f>
        <v/>
      </c>
      <c r="C9" s="15">
        <f>SUMIFS('Resumo Pagamento'!$D$2:$D$308,'Resumo Pagamento'!$K$2:$K$308,A9)</f>
        <v/>
      </c>
      <c r="D9" s="15">
        <f>C9-B9</f>
        <v/>
      </c>
      <c r="E9" s="54">
        <f>COUNTIFS('Resumo Pagamento'!$K$2:$K$308,A9,'Resumo Pagamento'!$I$2:$I$308,"*xtrato real*")</f>
        <v/>
      </c>
      <c r="F9" s="54">
        <f>COUNTIFS('Resumo Pagamento'!$K$2:$K$308,A9,'Resumo Pagamento'!$I$2:$I$308,"Mantido*")</f>
        <v/>
      </c>
      <c r="G9" s="54">
        <f>COUNTIFS('Resumo Pagamento'!$K$2:$K$308,A9,'Resumo Pagamento'!$I$2:$I$308,"Complementado*")</f>
        <v/>
      </c>
    </row>
    <row r="10">
      <c r="A10" s="48" t="n">
        <v>2009</v>
      </c>
      <c r="B10" s="15">
        <f>SUMIFS('Resumo Pagamento'!$F$2:$F$308,'Resumo Pagamento'!$K$2:$K$308,A10)</f>
        <v/>
      </c>
      <c r="C10" s="15">
        <f>SUMIFS('Resumo Pagamento'!$D$2:$D$308,'Resumo Pagamento'!$K$2:$K$308,A10)</f>
        <v/>
      </c>
      <c r="D10" s="15">
        <f>C10-B10</f>
        <v/>
      </c>
      <c r="E10" s="54">
        <f>COUNTIFS('Resumo Pagamento'!$K$2:$K$308,A10,'Resumo Pagamento'!$I$2:$I$308,"*xtrato real*")</f>
        <v/>
      </c>
      <c r="F10" s="54">
        <f>COUNTIFS('Resumo Pagamento'!$K$2:$K$308,A10,'Resumo Pagamento'!$I$2:$I$308,"Mantido*")</f>
        <v/>
      </c>
      <c r="G10" s="54">
        <f>COUNTIFS('Resumo Pagamento'!$K$2:$K$308,A10,'Resumo Pagamento'!$I$2:$I$308,"Complementado*")</f>
        <v/>
      </c>
    </row>
    <row r="11">
      <c r="A11" s="48" t="n">
        <v>2010</v>
      </c>
      <c r="B11" s="15">
        <f>SUMIFS('Resumo Pagamento'!$F$2:$F$308,'Resumo Pagamento'!$K$2:$K$308,A11)</f>
        <v/>
      </c>
      <c r="C11" s="15">
        <f>SUMIFS('Resumo Pagamento'!$D$2:$D$308,'Resumo Pagamento'!$K$2:$K$308,A11)</f>
        <v/>
      </c>
      <c r="D11" s="15">
        <f>C11-B11</f>
        <v/>
      </c>
      <c r="E11" s="54">
        <f>COUNTIFS('Resumo Pagamento'!$K$2:$K$308,A11,'Resumo Pagamento'!$I$2:$I$308,"*xtrato real*")</f>
        <v/>
      </c>
      <c r="F11" s="54">
        <f>COUNTIFS('Resumo Pagamento'!$K$2:$K$308,A11,'Resumo Pagamento'!$I$2:$I$308,"Mantido*")</f>
        <v/>
      </c>
      <c r="G11" s="54">
        <f>COUNTIFS('Resumo Pagamento'!$K$2:$K$308,A11,'Resumo Pagamento'!$I$2:$I$308,"Complementado*")</f>
        <v/>
      </c>
    </row>
    <row r="12">
      <c r="A12" s="48" t="n">
        <v>2011</v>
      </c>
      <c r="B12" s="15">
        <f>SUMIFS('Resumo Pagamento'!$F$2:$F$308,'Resumo Pagamento'!$K$2:$K$308,A12)</f>
        <v/>
      </c>
      <c r="C12" s="15">
        <f>SUMIFS('Resumo Pagamento'!$D$2:$D$308,'Resumo Pagamento'!$K$2:$K$308,A12)</f>
        <v/>
      </c>
      <c r="D12" s="15">
        <f>C12-B12</f>
        <v/>
      </c>
      <c r="E12" s="54">
        <f>COUNTIFS('Resumo Pagamento'!$K$2:$K$308,A12,'Resumo Pagamento'!$I$2:$I$308,"*xtrato real*")</f>
        <v/>
      </c>
      <c r="F12" s="54">
        <f>COUNTIFS('Resumo Pagamento'!$K$2:$K$308,A12,'Resumo Pagamento'!$I$2:$I$308,"Mantido*")</f>
        <v/>
      </c>
      <c r="G12" s="54">
        <f>COUNTIFS('Resumo Pagamento'!$K$2:$K$308,A12,'Resumo Pagamento'!$I$2:$I$308,"Complementado*")</f>
        <v/>
      </c>
    </row>
    <row r="13">
      <c r="A13" s="48" t="n">
        <v>2012</v>
      </c>
      <c r="B13" s="15">
        <f>SUMIFS('Resumo Pagamento'!$F$2:$F$308,'Resumo Pagamento'!$K$2:$K$308,A13)</f>
        <v/>
      </c>
      <c r="C13" s="15">
        <f>SUMIFS('Resumo Pagamento'!$D$2:$D$308,'Resumo Pagamento'!$K$2:$K$308,A13)</f>
        <v/>
      </c>
      <c r="D13" s="15">
        <f>C13-B13</f>
        <v/>
      </c>
      <c r="E13" s="54">
        <f>COUNTIFS('Resumo Pagamento'!$K$2:$K$308,A13,'Resumo Pagamento'!$I$2:$I$308,"*xtrato real*")</f>
        <v/>
      </c>
      <c r="F13" s="54">
        <f>COUNTIFS('Resumo Pagamento'!$K$2:$K$308,A13,'Resumo Pagamento'!$I$2:$I$308,"Mantido*")</f>
        <v/>
      </c>
      <c r="G13" s="54">
        <f>COUNTIFS('Resumo Pagamento'!$K$2:$K$308,A13,'Resumo Pagamento'!$I$2:$I$308,"Complementado*")</f>
        <v/>
      </c>
    </row>
    <row r="14">
      <c r="A14" s="48" t="n">
        <v>2013</v>
      </c>
      <c r="B14" s="15">
        <f>SUMIFS('Resumo Pagamento'!$F$2:$F$308,'Resumo Pagamento'!$K$2:$K$308,A14)</f>
        <v/>
      </c>
      <c r="C14" s="15">
        <f>SUMIFS('Resumo Pagamento'!$D$2:$D$308,'Resumo Pagamento'!$K$2:$K$308,A14)</f>
        <v/>
      </c>
      <c r="D14" s="15">
        <f>C14-B14</f>
        <v/>
      </c>
      <c r="E14" s="54">
        <f>COUNTIFS('Resumo Pagamento'!$K$2:$K$308,A14,'Resumo Pagamento'!$I$2:$I$308,"*xtrato real*")</f>
        <v/>
      </c>
      <c r="F14" s="54">
        <f>COUNTIFS('Resumo Pagamento'!$K$2:$K$308,A14,'Resumo Pagamento'!$I$2:$I$308,"Mantido*")</f>
        <v/>
      </c>
      <c r="G14" s="54">
        <f>COUNTIFS('Resumo Pagamento'!$K$2:$K$308,A14,'Resumo Pagamento'!$I$2:$I$308,"Complementado*")</f>
        <v/>
      </c>
    </row>
    <row r="15">
      <c r="A15" s="48" t="n">
        <v>2014</v>
      </c>
      <c r="B15" s="15">
        <f>SUMIFS('Resumo Pagamento'!$F$2:$F$308,'Resumo Pagamento'!$K$2:$K$308,A15)</f>
        <v/>
      </c>
      <c r="C15" s="15">
        <f>SUMIFS('Resumo Pagamento'!$D$2:$D$308,'Resumo Pagamento'!$K$2:$K$308,A15)</f>
        <v/>
      </c>
      <c r="D15" s="15">
        <f>C15-B15</f>
        <v/>
      </c>
      <c r="E15" s="54">
        <f>COUNTIFS('Resumo Pagamento'!$K$2:$K$308,A15,'Resumo Pagamento'!$I$2:$I$308,"*xtrato real*")</f>
        <v/>
      </c>
      <c r="F15" s="54">
        <f>COUNTIFS('Resumo Pagamento'!$K$2:$K$308,A15,'Resumo Pagamento'!$I$2:$I$308,"Mantido*")</f>
        <v/>
      </c>
      <c r="G15" s="54">
        <f>COUNTIFS('Resumo Pagamento'!$K$2:$K$308,A15,'Resumo Pagamento'!$I$2:$I$308,"Complementado*")</f>
        <v/>
      </c>
    </row>
    <row r="16">
      <c r="A16" s="48" t="n">
        <v>2015</v>
      </c>
      <c r="B16" s="15">
        <f>SUMIFS('Resumo Pagamento'!$F$2:$F$308,'Resumo Pagamento'!$K$2:$K$308,A16)</f>
        <v/>
      </c>
      <c r="C16" s="15">
        <f>SUMIFS('Resumo Pagamento'!$D$2:$D$308,'Resumo Pagamento'!$K$2:$K$308,A16)</f>
        <v/>
      </c>
      <c r="D16" s="15">
        <f>C16-B16</f>
        <v/>
      </c>
      <c r="E16" s="54">
        <f>COUNTIFS('Resumo Pagamento'!$K$2:$K$308,A16,'Resumo Pagamento'!$I$2:$I$308,"*xtrato real*")</f>
        <v/>
      </c>
      <c r="F16" s="54">
        <f>COUNTIFS('Resumo Pagamento'!$K$2:$K$308,A16,'Resumo Pagamento'!$I$2:$I$308,"Mantido*")</f>
        <v/>
      </c>
      <c r="G16" s="54">
        <f>COUNTIFS('Resumo Pagamento'!$K$2:$K$308,A16,'Resumo Pagamento'!$I$2:$I$308,"Complementado*")</f>
        <v/>
      </c>
    </row>
    <row r="17">
      <c r="A17" s="48" t="n">
        <v>2016</v>
      </c>
      <c r="B17" s="15">
        <f>SUMIFS('Resumo Pagamento'!$F$2:$F$308,'Resumo Pagamento'!$K$2:$K$308,A17)</f>
        <v/>
      </c>
      <c r="C17" s="15">
        <f>SUMIFS('Resumo Pagamento'!$D$2:$D$308,'Resumo Pagamento'!$K$2:$K$308,A17)</f>
        <v/>
      </c>
      <c r="D17" s="15">
        <f>C17-B17</f>
        <v/>
      </c>
      <c r="E17" s="54">
        <f>COUNTIFS('Resumo Pagamento'!$K$2:$K$308,A17,'Resumo Pagamento'!$I$2:$I$308,"*xtrato real*")</f>
        <v/>
      </c>
      <c r="F17" s="54">
        <f>COUNTIFS('Resumo Pagamento'!$K$2:$K$308,A17,'Resumo Pagamento'!$I$2:$I$308,"Mantido*")</f>
        <v/>
      </c>
      <c r="G17" s="54">
        <f>COUNTIFS('Resumo Pagamento'!$K$2:$K$308,A17,'Resumo Pagamento'!$I$2:$I$308,"Complementado*")</f>
        <v/>
      </c>
    </row>
    <row r="18">
      <c r="A18" s="48" t="n">
        <v>2017</v>
      </c>
      <c r="B18" s="15">
        <f>SUMIFS('Resumo Pagamento'!$F$2:$F$308,'Resumo Pagamento'!$K$2:$K$308,A18)</f>
        <v/>
      </c>
      <c r="C18" s="15">
        <f>SUMIFS('Resumo Pagamento'!$D$2:$D$308,'Resumo Pagamento'!$K$2:$K$308,A18)</f>
        <v/>
      </c>
      <c r="D18" s="15">
        <f>C18-B18</f>
        <v/>
      </c>
      <c r="E18" s="54">
        <f>COUNTIFS('Resumo Pagamento'!$K$2:$K$308,A18,'Resumo Pagamento'!$I$2:$I$308,"*xtrato real*")</f>
        <v/>
      </c>
      <c r="F18" s="54">
        <f>COUNTIFS('Resumo Pagamento'!$K$2:$K$308,A18,'Resumo Pagamento'!$I$2:$I$308,"Mantido*")</f>
        <v/>
      </c>
      <c r="G18" s="54">
        <f>COUNTIFS('Resumo Pagamento'!$K$2:$K$308,A18,'Resumo Pagamento'!$I$2:$I$308,"Complementado*")</f>
        <v/>
      </c>
    </row>
    <row r="19">
      <c r="A19" s="48" t="n">
        <v>2018</v>
      </c>
      <c r="B19" s="15">
        <f>SUMIFS('Resumo Pagamento'!$F$2:$F$308,'Resumo Pagamento'!$K$2:$K$308,A19)</f>
        <v/>
      </c>
      <c r="C19" s="15">
        <f>SUMIFS('Resumo Pagamento'!$D$2:$D$308,'Resumo Pagamento'!$K$2:$K$308,A19)</f>
        <v/>
      </c>
      <c r="D19" s="15">
        <f>C19-B19</f>
        <v/>
      </c>
      <c r="E19" s="54">
        <f>COUNTIFS('Resumo Pagamento'!$K$2:$K$308,A19,'Resumo Pagamento'!$I$2:$I$308,"*xtrato real*")</f>
        <v/>
      </c>
      <c r="F19" s="54">
        <f>COUNTIFS('Resumo Pagamento'!$K$2:$K$308,A19,'Resumo Pagamento'!$I$2:$I$308,"Mantido*")</f>
        <v/>
      </c>
      <c r="G19" s="54">
        <f>COUNTIFS('Resumo Pagamento'!$K$2:$K$308,A19,'Resumo Pagamento'!$I$2:$I$308,"Complementado*")</f>
        <v/>
      </c>
    </row>
    <row r="20">
      <c r="A20" s="48" t="n">
        <v>2019</v>
      </c>
      <c r="B20" s="15">
        <f>SUMIFS('Resumo Pagamento'!$F$2:$F$308,'Resumo Pagamento'!$K$2:$K$308,A20)</f>
        <v/>
      </c>
      <c r="C20" s="15">
        <f>SUMIFS('Resumo Pagamento'!$D$2:$D$308,'Resumo Pagamento'!$K$2:$K$308,A20)</f>
        <v/>
      </c>
      <c r="D20" s="15">
        <f>C20-B20</f>
        <v/>
      </c>
      <c r="E20" s="54">
        <f>COUNTIFS('Resumo Pagamento'!$K$2:$K$308,A20,'Resumo Pagamento'!$I$2:$I$308,"*xtrato real*")</f>
        <v/>
      </c>
      <c r="F20" s="54">
        <f>COUNTIFS('Resumo Pagamento'!$K$2:$K$308,A20,'Resumo Pagamento'!$I$2:$I$308,"Mantido*")</f>
        <v/>
      </c>
      <c r="G20" s="54">
        <f>COUNTIFS('Resumo Pagamento'!$K$2:$K$308,A20,'Resumo Pagamento'!$I$2:$I$308,"Complementado*")</f>
        <v/>
      </c>
    </row>
    <row r="21">
      <c r="A21" s="48" t="n">
        <v>2020</v>
      </c>
      <c r="B21" s="15">
        <f>SUMIFS('Resumo Pagamento'!$F$2:$F$308,'Resumo Pagamento'!$K$2:$K$308,A21)</f>
        <v/>
      </c>
      <c r="C21" s="15">
        <f>SUMIFS('Resumo Pagamento'!$D$2:$D$308,'Resumo Pagamento'!$K$2:$K$308,A21)</f>
        <v/>
      </c>
      <c r="D21" s="15">
        <f>C21-B21</f>
        <v/>
      </c>
      <c r="E21" s="54">
        <f>COUNTIFS('Resumo Pagamento'!$K$2:$K$308,A21,'Resumo Pagamento'!$I$2:$I$308,"*xtrato real*")</f>
        <v/>
      </c>
      <c r="F21" s="54">
        <f>COUNTIFS('Resumo Pagamento'!$K$2:$K$308,A21,'Resumo Pagamento'!$I$2:$I$308,"Mantido*")</f>
        <v/>
      </c>
      <c r="G21" s="54">
        <f>COUNTIFS('Resumo Pagamento'!$K$2:$K$308,A21,'Resumo Pagamento'!$I$2:$I$308,"Complementado*")</f>
        <v/>
      </c>
    </row>
    <row r="22">
      <c r="A22" s="48" t="n">
        <v>2021</v>
      </c>
      <c r="B22" s="15">
        <f>SUMIFS('Resumo Pagamento'!$F$2:$F$308,'Resumo Pagamento'!$K$2:$K$308,A22)</f>
        <v/>
      </c>
      <c r="C22" s="15">
        <f>SUMIFS('Resumo Pagamento'!$D$2:$D$308,'Resumo Pagamento'!$K$2:$K$308,A22)</f>
        <v/>
      </c>
      <c r="D22" s="15">
        <f>C22-B22</f>
        <v/>
      </c>
      <c r="E22" s="54">
        <f>COUNTIFS('Resumo Pagamento'!$K$2:$K$308,A22,'Resumo Pagamento'!$I$2:$I$308,"*xtrato real*")</f>
        <v/>
      </c>
      <c r="F22" s="54">
        <f>COUNTIFS('Resumo Pagamento'!$K$2:$K$308,A22,'Resumo Pagamento'!$I$2:$I$308,"Mantido*")</f>
        <v/>
      </c>
      <c r="G22" s="54">
        <f>COUNTIFS('Resumo Pagamento'!$K$2:$K$308,A22,'Resumo Pagamento'!$I$2:$I$308,"Complementado*")</f>
        <v/>
      </c>
    </row>
    <row r="23">
      <c r="A23" s="48" t="n">
        <v>2022</v>
      </c>
      <c r="B23" s="15">
        <f>SUMIFS('Resumo Pagamento'!$F$2:$F$308,'Resumo Pagamento'!$K$2:$K$308,A23)</f>
        <v/>
      </c>
      <c r="C23" s="15">
        <f>SUMIFS('Resumo Pagamento'!$D$2:$D$308,'Resumo Pagamento'!$K$2:$K$308,A23)</f>
        <v/>
      </c>
      <c r="D23" s="15">
        <f>C23-B23</f>
        <v/>
      </c>
      <c r="E23" s="54">
        <f>COUNTIFS('Resumo Pagamento'!$K$2:$K$308,A23,'Resumo Pagamento'!$I$2:$I$308,"*xtrato real*")</f>
        <v/>
      </c>
      <c r="F23" s="54">
        <f>COUNTIFS('Resumo Pagamento'!$K$2:$K$308,A23,'Resumo Pagamento'!$I$2:$I$308,"Mantido*")</f>
        <v/>
      </c>
      <c r="G23" s="54">
        <f>COUNTIFS('Resumo Pagamento'!$K$2:$K$308,A23,'Resumo Pagamento'!$I$2:$I$308,"Complementado*")</f>
        <v/>
      </c>
    </row>
    <row r="24">
      <c r="A24" s="48" t="n">
        <v>2023</v>
      </c>
      <c r="B24" s="15">
        <f>SUMIFS('Resumo Pagamento'!$F$2:$F$308,'Resumo Pagamento'!$K$2:$K$308,A24)</f>
        <v/>
      </c>
      <c r="C24" s="15">
        <f>SUMIFS('Resumo Pagamento'!$D$2:$D$308,'Resumo Pagamento'!$K$2:$K$308,A24)</f>
        <v/>
      </c>
      <c r="D24" s="15">
        <f>C24-B24</f>
        <v/>
      </c>
      <c r="E24" s="54">
        <f>COUNTIFS('Resumo Pagamento'!$K$2:$K$308,A24,'Resumo Pagamento'!$I$2:$I$308,"*xtrato real*")</f>
        <v/>
      </c>
      <c r="F24" s="54">
        <f>COUNTIFS('Resumo Pagamento'!$K$2:$K$308,A24,'Resumo Pagamento'!$I$2:$I$308,"Mantido*")</f>
        <v/>
      </c>
      <c r="G24" s="54">
        <f>COUNTIFS('Resumo Pagamento'!$K$2:$K$308,A24,'Resumo Pagamento'!$I$2:$I$308,"Complementado*")</f>
        <v/>
      </c>
    </row>
    <row r="25">
      <c r="A25" s="48" t="n">
        <v>2024</v>
      </c>
      <c r="B25" s="15">
        <f>SUMIFS('Resumo Pagamento'!$F$2:$F$308,'Resumo Pagamento'!$K$2:$K$308,A25)</f>
        <v/>
      </c>
      <c r="C25" s="15">
        <f>SUMIFS('Resumo Pagamento'!$D$2:$D$308,'Resumo Pagamento'!$K$2:$K$308,A25)</f>
        <v/>
      </c>
      <c r="D25" s="15">
        <f>C25-B25</f>
        <v/>
      </c>
      <c r="E25" s="54">
        <f>COUNTIFS('Resumo Pagamento'!$K$2:$K$308,A25,'Resumo Pagamento'!$I$2:$I$308,"*xtrato real*")</f>
        <v/>
      </c>
      <c r="F25" s="54">
        <f>COUNTIFS('Resumo Pagamento'!$K$2:$K$308,A25,'Resumo Pagamento'!$I$2:$I$308,"Mantido*")</f>
        <v/>
      </c>
      <c r="G25" s="54">
        <f>COUNTIFS('Resumo Pagamento'!$K$2:$K$308,A25,'Resumo Pagamento'!$I$2:$I$308,"Complementado*")</f>
        <v/>
      </c>
    </row>
    <row r="26">
      <c r="A26" s="48" t="n">
        <v>2025</v>
      </c>
      <c r="B26" s="15">
        <f>SUMIFS('Resumo Pagamento'!$F$2:$F$308,'Resumo Pagamento'!$K$2:$K$308,A26)</f>
        <v/>
      </c>
      <c r="C26" s="15">
        <f>SUMIFS('Resumo Pagamento'!$D$2:$D$308,'Resumo Pagamento'!$K$2:$K$308,A26)</f>
        <v/>
      </c>
      <c r="D26" s="15">
        <f>C26-B26</f>
        <v/>
      </c>
      <c r="E26" s="54">
        <f>COUNTIFS('Resumo Pagamento'!$K$2:$K$308,A26,'Resumo Pagamento'!$I$2:$I$308,"*xtrato real*")</f>
        <v/>
      </c>
      <c r="F26" s="54">
        <f>COUNTIFS('Resumo Pagamento'!$K$2:$K$308,A26,'Resumo Pagamento'!$I$2:$I$308,"Mantido*")</f>
        <v/>
      </c>
      <c r="G26" s="54">
        <f>COUNTIFS('Resumo Pagamento'!$K$2:$K$308,A26,'Resumo Pagamento'!$I$2:$I$308,"Complementado*")</f>
        <v/>
      </c>
    </row>
    <row r="27">
      <c r="A27" s="48" t="n">
        <v>2026</v>
      </c>
      <c r="B27" s="15">
        <f>SUMIFS('Resumo Pagamento'!$F$2:$F$308,'Resumo Pagamento'!$K$2:$K$308,A27)</f>
        <v/>
      </c>
      <c r="C27" s="15">
        <f>SUMIFS('Resumo Pagamento'!$D$2:$D$308,'Resumo Pagamento'!$K$2:$K$308,A27)</f>
        <v/>
      </c>
      <c r="D27" s="15">
        <f>C27-B27</f>
        <v/>
      </c>
      <c r="E27" s="54">
        <f>COUNTIFS('Resumo Pagamento'!$K$2:$K$308,A27,'Resumo Pagamento'!$I$2:$I$308,"*xtrato real*")</f>
        <v/>
      </c>
      <c r="F27" s="54">
        <f>COUNTIFS('Resumo Pagamento'!$K$2:$K$308,A27,'Resumo Pagamento'!$I$2:$I$308,"Mantido*")</f>
        <v/>
      </c>
      <c r="G27" s="54">
        <f>COUNTIFS('Resumo Pagamento'!$K$2:$K$308,A27,'Resumo Pagamento'!$I$2:$I$308,"Complementado*")</f>
        <v/>
      </c>
    </row>
    <row r="28">
      <c r="A28" s="36" t="inlineStr">
        <is>
          <t>TOTAL</t>
        </is>
      </c>
      <c r="B28" s="37">
        <f>SUM(B2:B27)</f>
        <v/>
      </c>
      <c r="C28" s="37">
        <f>SUM(C2:C27)</f>
        <v/>
      </c>
      <c r="D28" s="37">
        <f>SUM(D2:D27)</f>
        <v/>
      </c>
      <c r="E28" s="48">
        <f>SUM(E2:E27)</f>
        <v/>
      </c>
      <c r="F28" s="48">
        <f>SUM(F2:F27)</f>
        <v/>
      </c>
      <c r="G28" s="48">
        <f>SUM(G2:G27)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70" customWidth="1" min="3" max="3"/>
    <col width="22" customWidth="1" min="4" max="4"/>
  </cols>
  <sheetData>
    <row r="1">
      <c r="A1" s="43" t="inlineStr">
        <is>
          <t>IPCA - índice mensal usado na correção (fonte: IBGE)</t>
        </is>
      </c>
    </row>
    <row r="2">
      <c r="A2" s="53" t="inlineStr">
        <is>
          <t>Coluna B (amarela) é editável: cole a série oficial mensal do IPCA (BCB-SGS 433 / IBGE SIDRA 1737) para substituir as aproximações. Tudo recalcula sozinho.</t>
        </is>
      </c>
    </row>
    <row r="4">
      <c r="A4" s="55" t="inlineStr">
        <is>
          <t>Mês</t>
        </is>
      </c>
      <c r="B4" s="55" t="inlineStr">
        <is>
          <t>IPCA do mês (%)</t>
        </is>
      </c>
      <c r="C4" s="55" t="inlineStr">
        <is>
          <t>Fonte</t>
        </is>
      </c>
      <c r="D4" s="55" t="inlineStr">
        <is>
          <t>Índice acumulado (dez/2000 = 1)</t>
        </is>
      </c>
    </row>
    <row r="5">
      <c r="A5" s="16" t="n">
        <v>36861</v>
      </c>
      <c r="B5" s="56" t="n"/>
      <c r="C5" s="13" t="inlineStr">
        <is>
          <t>Base</t>
        </is>
      </c>
      <c r="D5" s="57" t="n">
        <v>1</v>
      </c>
    </row>
    <row r="6">
      <c r="A6" s="16" t="n">
        <v>36892</v>
      </c>
      <c r="B6" s="58" t="n">
        <v>0.61774</v>
      </c>
      <c r="C6" s="13" t="inlineStr">
        <is>
          <t>Aproximação: IPCA anual 7.67% (IBGE) distribuído igualmente nos 12 meses</t>
        </is>
      </c>
      <c r="D6" s="57">
        <f>D5*(1+B6/100)</f>
        <v/>
      </c>
    </row>
    <row r="7">
      <c r="A7" s="16" t="n">
        <v>36923</v>
      </c>
      <c r="B7" s="58" t="n">
        <v>0.61774</v>
      </c>
      <c r="C7" s="13" t="inlineStr">
        <is>
          <t>Aproximação: IPCA anual 7.67% (IBGE) distribuído igualmente nos 12 meses</t>
        </is>
      </c>
      <c r="D7" s="57">
        <f>D6*(1+B7/100)</f>
        <v/>
      </c>
    </row>
    <row r="8">
      <c r="A8" s="16" t="n">
        <v>36951</v>
      </c>
      <c r="B8" s="58" t="n">
        <v>0.61774</v>
      </c>
      <c r="C8" s="13" t="inlineStr">
        <is>
          <t>Aproximação: IPCA anual 7.67% (IBGE) distribuído igualmente nos 12 meses</t>
        </is>
      </c>
      <c r="D8" s="57">
        <f>D7*(1+B8/100)</f>
        <v/>
      </c>
    </row>
    <row r="9">
      <c r="A9" s="16" t="n">
        <v>36982</v>
      </c>
      <c r="B9" s="58" t="n">
        <v>0.61774</v>
      </c>
      <c r="C9" s="13" t="inlineStr">
        <is>
          <t>Aproximação: IPCA anual 7.67% (IBGE) distribuído igualmente nos 12 meses</t>
        </is>
      </c>
      <c r="D9" s="57">
        <f>D8*(1+B9/100)</f>
        <v/>
      </c>
    </row>
    <row r="10">
      <c r="A10" s="16" t="n">
        <v>37012</v>
      </c>
      <c r="B10" s="58" t="n">
        <v>0.61774</v>
      </c>
      <c r="C10" s="13" t="inlineStr">
        <is>
          <t>Aproximação: IPCA anual 7.67% (IBGE) distribuído igualmente nos 12 meses</t>
        </is>
      </c>
      <c r="D10" s="57">
        <f>D9*(1+B10/100)</f>
        <v/>
      </c>
    </row>
    <row r="11">
      <c r="A11" s="16" t="n">
        <v>37043</v>
      </c>
      <c r="B11" s="58" t="n">
        <v>0.61774</v>
      </c>
      <c r="C11" s="13" t="inlineStr">
        <is>
          <t>Aproximação: IPCA anual 7.67% (IBGE) distribuído igualmente nos 12 meses</t>
        </is>
      </c>
      <c r="D11" s="57">
        <f>D10*(1+B11/100)</f>
        <v/>
      </c>
    </row>
    <row r="12">
      <c r="A12" s="16" t="n">
        <v>37073</v>
      </c>
      <c r="B12" s="58" t="n">
        <v>0.61774</v>
      </c>
      <c r="C12" s="13" t="inlineStr">
        <is>
          <t>Aproximação: IPCA anual 7.67% (IBGE) distribuído igualmente nos 12 meses</t>
        </is>
      </c>
      <c r="D12" s="57">
        <f>D11*(1+B12/100)</f>
        <v/>
      </c>
    </row>
    <row r="13">
      <c r="A13" s="16" t="n">
        <v>37104</v>
      </c>
      <c r="B13" s="58" t="n">
        <v>0.61774</v>
      </c>
      <c r="C13" s="13" t="inlineStr">
        <is>
          <t>Aproximação: IPCA anual 7.67% (IBGE) distribuído igualmente nos 12 meses</t>
        </is>
      </c>
      <c r="D13" s="57">
        <f>D12*(1+B13/100)</f>
        <v/>
      </c>
    </row>
    <row r="14">
      <c r="A14" s="16" t="n">
        <v>37135</v>
      </c>
      <c r="B14" s="58" t="n">
        <v>0.61774</v>
      </c>
      <c r="C14" s="13" t="inlineStr">
        <is>
          <t>Aproximação: IPCA anual 7.67% (IBGE) distribuído igualmente nos 12 meses</t>
        </is>
      </c>
      <c r="D14" s="57">
        <f>D13*(1+B14/100)</f>
        <v/>
      </c>
    </row>
    <row r="15">
      <c r="A15" s="16" t="n">
        <v>37165</v>
      </c>
      <c r="B15" s="58" t="n">
        <v>0.61774</v>
      </c>
      <c r="C15" s="13" t="inlineStr">
        <is>
          <t>Aproximação: IPCA anual 7.67% (IBGE) distribuído igualmente nos 12 meses</t>
        </is>
      </c>
      <c r="D15" s="57">
        <f>D14*(1+B15/100)</f>
        <v/>
      </c>
    </row>
    <row r="16">
      <c r="A16" s="16" t="n">
        <v>37196</v>
      </c>
      <c r="B16" s="58" t="n">
        <v>0.61774</v>
      </c>
      <c r="C16" s="13" t="inlineStr">
        <is>
          <t>Aproximação: IPCA anual 7.67% (IBGE) distribuído igualmente nos 12 meses</t>
        </is>
      </c>
      <c r="D16" s="57">
        <f>D15*(1+B16/100)</f>
        <v/>
      </c>
    </row>
    <row r="17">
      <c r="A17" s="16" t="n">
        <v>37226</v>
      </c>
      <c r="B17" s="58" t="n">
        <v>0.61774</v>
      </c>
      <c r="C17" s="13" t="inlineStr">
        <is>
          <t>Aproximação: IPCA anual 7.67% (IBGE) distribuído igualmente nos 12 meses</t>
        </is>
      </c>
      <c r="D17" s="57">
        <f>D16*(1+B17/100)</f>
        <v/>
      </c>
    </row>
    <row r="18">
      <c r="A18" s="16" t="n">
        <v>37257</v>
      </c>
      <c r="B18" s="58" t="n">
        <v>0.988602</v>
      </c>
      <c r="C18" s="13" t="inlineStr">
        <is>
          <t>Aproximação: IPCA anual 12.53% (IBGE) distribuído igualmente nos 12 meses</t>
        </is>
      </c>
      <c r="D18" s="57">
        <f>D17*(1+B18/100)</f>
        <v/>
      </c>
    </row>
    <row r="19">
      <c r="A19" s="16" t="n">
        <v>37288</v>
      </c>
      <c r="B19" s="58" t="n">
        <v>0.988602</v>
      </c>
      <c r="C19" s="13" t="inlineStr">
        <is>
          <t>Aproximação: IPCA anual 12.53% (IBGE) distribuído igualmente nos 12 meses</t>
        </is>
      </c>
      <c r="D19" s="57">
        <f>D18*(1+B19/100)</f>
        <v/>
      </c>
    </row>
    <row r="20">
      <c r="A20" s="16" t="n">
        <v>37316</v>
      </c>
      <c r="B20" s="58" t="n">
        <v>0.988602</v>
      </c>
      <c r="C20" s="13" t="inlineStr">
        <is>
          <t>Aproximação: IPCA anual 12.53% (IBGE) distribuído igualmente nos 12 meses</t>
        </is>
      </c>
      <c r="D20" s="57">
        <f>D19*(1+B20/100)</f>
        <v/>
      </c>
    </row>
    <row r="21">
      <c r="A21" s="16" t="n">
        <v>37347</v>
      </c>
      <c r="B21" s="58" t="n">
        <v>0.988602</v>
      </c>
      <c r="C21" s="13" t="inlineStr">
        <is>
          <t>Aproximação: IPCA anual 12.53% (IBGE) distribuído igualmente nos 12 meses</t>
        </is>
      </c>
      <c r="D21" s="57">
        <f>D20*(1+B21/100)</f>
        <v/>
      </c>
    </row>
    <row r="22">
      <c r="A22" s="16" t="n">
        <v>37377</v>
      </c>
      <c r="B22" s="58" t="n">
        <v>0.988602</v>
      </c>
      <c r="C22" s="13" t="inlineStr">
        <is>
          <t>Aproximação: IPCA anual 12.53% (IBGE) distribuído igualmente nos 12 meses</t>
        </is>
      </c>
      <c r="D22" s="57">
        <f>D21*(1+B22/100)</f>
        <v/>
      </c>
    </row>
    <row r="23">
      <c r="A23" s="16" t="n">
        <v>37408</v>
      </c>
      <c r="B23" s="58" t="n">
        <v>0.988602</v>
      </c>
      <c r="C23" s="13" t="inlineStr">
        <is>
          <t>Aproximação: IPCA anual 12.53% (IBGE) distribuído igualmente nos 12 meses</t>
        </is>
      </c>
      <c r="D23" s="57">
        <f>D22*(1+B23/100)</f>
        <v/>
      </c>
    </row>
    <row r="24">
      <c r="A24" s="16" t="n">
        <v>37438</v>
      </c>
      <c r="B24" s="58" t="n">
        <v>0.988602</v>
      </c>
      <c r="C24" s="13" t="inlineStr">
        <is>
          <t>Aproximação: IPCA anual 12.53% (IBGE) distribuído igualmente nos 12 meses</t>
        </is>
      </c>
      <c r="D24" s="57">
        <f>D23*(1+B24/100)</f>
        <v/>
      </c>
    </row>
    <row r="25">
      <c r="A25" s="16" t="n">
        <v>37469</v>
      </c>
      <c r="B25" s="58" t="n">
        <v>0.988602</v>
      </c>
      <c r="C25" s="13" t="inlineStr">
        <is>
          <t>Aproximação: IPCA anual 12.53% (IBGE) distribuído igualmente nos 12 meses</t>
        </is>
      </c>
      <c r="D25" s="57">
        <f>D24*(1+B25/100)</f>
        <v/>
      </c>
    </row>
    <row r="26">
      <c r="A26" s="16" t="n">
        <v>37500</v>
      </c>
      <c r="B26" s="58" t="n">
        <v>0.988602</v>
      </c>
      <c r="C26" s="13" t="inlineStr">
        <is>
          <t>Aproximação: IPCA anual 12.53% (IBGE) distribuído igualmente nos 12 meses</t>
        </is>
      </c>
      <c r="D26" s="57">
        <f>D25*(1+B26/100)</f>
        <v/>
      </c>
    </row>
    <row r="27">
      <c r="A27" s="16" t="n">
        <v>37530</v>
      </c>
      <c r="B27" s="58" t="n">
        <v>0.988602</v>
      </c>
      <c r="C27" s="13" t="inlineStr">
        <is>
          <t>Aproximação: IPCA anual 12.53% (IBGE) distribuído igualmente nos 12 meses</t>
        </is>
      </c>
      <c r="D27" s="57">
        <f>D26*(1+B27/100)</f>
        <v/>
      </c>
    </row>
    <row r="28">
      <c r="A28" s="16" t="n">
        <v>37561</v>
      </c>
      <c r="B28" s="58" t="n">
        <v>0.988602</v>
      </c>
      <c r="C28" s="13" t="inlineStr">
        <is>
          <t>Aproximação: IPCA anual 12.53% (IBGE) distribuído igualmente nos 12 meses</t>
        </is>
      </c>
      <c r="D28" s="57">
        <f>D27*(1+B28/100)</f>
        <v/>
      </c>
    </row>
    <row r="29">
      <c r="A29" s="16" t="n">
        <v>37591</v>
      </c>
      <c r="B29" s="58" t="n">
        <v>0.988602</v>
      </c>
      <c r="C29" s="13" t="inlineStr">
        <is>
          <t>Aproximação: IPCA anual 12.53% (IBGE) distribuído igualmente nos 12 meses</t>
        </is>
      </c>
      <c r="D29" s="57">
        <f>D28*(1+B29/100)</f>
        <v/>
      </c>
    </row>
    <row r="30">
      <c r="A30" s="16" t="n">
        <v>37622</v>
      </c>
      <c r="B30" s="58" t="n">
        <v>0.743804</v>
      </c>
      <c r="C30" s="13" t="inlineStr">
        <is>
          <t>Aproximação: IPCA anual 9.30% (IBGE) distribuído igualmente nos 12 meses</t>
        </is>
      </c>
      <c r="D30" s="57">
        <f>D29*(1+B30/100)</f>
        <v/>
      </c>
    </row>
    <row r="31">
      <c r="A31" s="16" t="n">
        <v>37653</v>
      </c>
      <c r="B31" s="58" t="n">
        <v>0.743804</v>
      </c>
      <c r="C31" s="13" t="inlineStr">
        <is>
          <t>Aproximação: IPCA anual 9.30% (IBGE) distribuído igualmente nos 12 meses</t>
        </is>
      </c>
      <c r="D31" s="57">
        <f>D30*(1+B31/100)</f>
        <v/>
      </c>
    </row>
    <row r="32">
      <c r="A32" s="16" t="n">
        <v>37681</v>
      </c>
      <c r="B32" s="58" t="n">
        <v>0.743804</v>
      </c>
      <c r="C32" s="13" t="inlineStr">
        <is>
          <t>Aproximação: IPCA anual 9.30% (IBGE) distribuído igualmente nos 12 meses</t>
        </is>
      </c>
      <c r="D32" s="57">
        <f>D31*(1+B32/100)</f>
        <v/>
      </c>
    </row>
    <row r="33">
      <c r="A33" s="16" t="n">
        <v>37712</v>
      </c>
      <c r="B33" s="58" t="n">
        <v>0.743804</v>
      </c>
      <c r="C33" s="13" t="inlineStr">
        <is>
          <t>Aproximação: IPCA anual 9.30% (IBGE) distribuído igualmente nos 12 meses</t>
        </is>
      </c>
      <c r="D33" s="57">
        <f>D32*(1+B33/100)</f>
        <v/>
      </c>
    </row>
    <row r="34">
      <c r="A34" s="16" t="n">
        <v>37742</v>
      </c>
      <c r="B34" s="58" t="n">
        <v>0.743804</v>
      </c>
      <c r="C34" s="13" t="inlineStr">
        <is>
          <t>Aproximação: IPCA anual 9.30% (IBGE) distribuído igualmente nos 12 meses</t>
        </is>
      </c>
      <c r="D34" s="57">
        <f>D33*(1+B34/100)</f>
        <v/>
      </c>
    </row>
    <row r="35">
      <c r="A35" s="16" t="n">
        <v>37773</v>
      </c>
      <c r="B35" s="58" t="n">
        <v>0.743804</v>
      </c>
      <c r="C35" s="13" t="inlineStr">
        <is>
          <t>Aproximação: IPCA anual 9.30% (IBGE) distribuído igualmente nos 12 meses</t>
        </is>
      </c>
      <c r="D35" s="57">
        <f>D34*(1+B35/100)</f>
        <v/>
      </c>
    </row>
    <row r="36">
      <c r="A36" s="16" t="n">
        <v>37803</v>
      </c>
      <c r="B36" s="58" t="n">
        <v>0.743804</v>
      </c>
      <c r="C36" s="13" t="inlineStr">
        <is>
          <t>Aproximação: IPCA anual 9.30% (IBGE) distribuído igualmente nos 12 meses</t>
        </is>
      </c>
      <c r="D36" s="57">
        <f>D35*(1+B36/100)</f>
        <v/>
      </c>
    </row>
    <row r="37">
      <c r="A37" s="16" t="n">
        <v>37834</v>
      </c>
      <c r="B37" s="58" t="n">
        <v>0.743804</v>
      </c>
      <c r="C37" s="13" t="inlineStr">
        <is>
          <t>Aproximação: IPCA anual 9.30% (IBGE) distribuído igualmente nos 12 meses</t>
        </is>
      </c>
      <c r="D37" s="57">
        <f>D36*(1+B37/100)</f>
        <v/>
      </c>
    </row>
    <row r="38">
      <c r="A38" s="16" t="n">
        <v>37865</v>
      </c>
      <c r="B38" s="58" t="n">
        <v>0.743804</v>
      </c>
      <c r="C38" s="13" t="inlineStr">
        <is>
          <t>Aproximação: IPCA anual 9.30% (IBGE) distribuído igualmente nos 12 meses</t>
        </is>
      </c>
      <c r="D38" s="57">
        <f>D37*(1+B38/100)</f>
        <v/>
      </c>
    </row>
    <row r="39">
      <c r="A39" s="16" t="n">
        <v>37895</v>
      </c>
      <c r="B39" s="58" t="n">
        <v>0.743804</v>
      </c>
      <c r="C39" s="13" t="inlineStr">
        <is>
          <t>Aproximação: IPCA anual 9.30% (IBGE) distribuído igualmente nos 12 meses</t>
        </is>
      </c>
      <c r="D39" s="57">
        <f>D38*(1+B39/100)</f>
        <v/>
      </c>
    </row>
    <row r="40">
      <c r="A40" s="16" t="n">
        <v>37926</v>
      </c>
      <c r="B40" s="58" t="n">
        <v>0.743804</v>
      </c>
      <c r="C40" s="13" t="inlineStr">
        <is>
          <t>Aproximação: IPCA anual 9.30% (IBGE) distribuído igualmente nos 12 meses</t>
        </is>
      </c>
      <c r="D40" s="57">
        <f>D39*(1+B40/100)</f>
        <v/>
      </c>
    </row>
    <row r="41">
      <c r="A41" s="16" t="n">
        <v>37956</v>
      </c>
      <c r="B41" s="58" t="n">
        <v>0.743804</v>
      </c>
      <c r="C41" s="13" t="inlineStr">
        <is>
          <t>Aproximação: IPCA anual 9.30% (IBGE) distribuído igualmente nos 12 meses</t>
        </is>
      </c>
      <c r="D41" s="57">
        <f>D40*(1+B41/100)</f>
        <v/>
      </c>
    </row>
    <row r="42">
      <c r="A42" s="16" t="n">
        <v>37987</v>
      </c>
      <c r="B42" s="58" t="n">
        <v>0.612287</v>
      </c>
      <c r="C42" s="13" t="inlineStr">
        <is>
          <t>Aproximação: IPCA anual 7.60% (IBGE) distribuído igualmente nos 12 meses</t>
        </is>
      </c>
      <c r="D42" s="57">
        <f>D41*(1+B42/100)</f>
        <v/>
      </c>
    </row>
    <row r="43">
      <c r="A43" s="16" t="n">
        <v>38018</v>
      </c>
      <c r="B43" s="58" t="n">
        <v>0.612287</v>
      </c>
      <c r="C43" s="13" t="inlineStr">
        <is>
          <t>Aproximação: IPCA anual 7.60% (IBGE) distribuído igualmente nos 12 meses</t>
        </is>
      </c>
      <c r="D43" s="57">
        <f>D42*(1+B43/100)</f>
        <v/>
      </c>
    </row>
    <row r="44">
      <c r="A44" s="16" t="n">
        <v>38047</v>
      </c>
      <c r="B44" s="58" t="n">
        <v>0.612287</v>
      </c>
      <c r="C44" s="13" t="inlineStr">
        <is>
          <t>Aproximação: IPCA anual 7.60% (IBGE) distribuído igualmente nos 12 meses</t>
        </is>
      </c>
      <c r="D44" s="57">
        <f>D43*(1+B44/100)</f>
        <v/>
      </c>
    </row>
    <row r="45">
      <c r="A45" s="16" t="n">
        <v>38078</v>
      </c>
      <c r="B45" s="58" t="n">
        <v>0.612287</v>
      </c>
      <c r="C45" s="13" t="inlineStr">
        <is>
          <t>Aproximação: IPCA anual 7.60% (IBGE) distribuído igualmente nos 12 meses</t>
        </is>
      </c>
      <c r="D45" s="57">
        <f>D44*(1+B45/100)</f>
        <v/>
      </c>
    </row>
    <row r="46">
      <c r="A46" s="16" t="n">
        <v>38108</v>
      </c>
      <c r="B46" s="58" t="n">
        <v>0.612287</v>
      </c>
      <c r="C46" s="13" t="inlineStr">
        <is>
          <t>Aproximação: IPCA anual 7.60% (IBGE) distribuído igualmente nos 12 meses</t>
        </is>
      </c>
      <c r="D46" s="57">
        <f>D45*(1+B46/100)</f>
        <v/>
      </c>
    </row>
    <row r="47">
      <c r="A47" s="16" t="n">
        <v>38139</v>
      </c>
      <c r="B47" s="58" t="n">
        <v>0.612287</v>
      </c>
      <c r="C47" s="13" t="inlineStr">
        <is>
          <t>Aproximação: IPCA anual 7.60% (IBGE) distribuído igualmente nos 12 meses</t>
        </is>
      </c>
      <c r="D47" s="57">
        <f>D46*(1+B47/100)</f>
        <v/>
      </c>
    </row>
    <row r="48">
      <c r="A48" s="16" t="n">
        <v>38169</v>
      </c>
      <c r="B48" s="58" t="n">
        <v>0.612287</v>
      </c>
      <c r="C48" s="13" t="inlineStr">
        <is>
          <t>Aproximação: IPCA anual 7.60% (IBGE) distribuído igualmente nos 12 meses</t>
        </is>
      </c>
      <c r="D48" s="57">
        <f>D47*(1+B48/100)</f>
        <v/>
      </c>
    </row>
    <row r="49">
      <c r="A49" s="16" t="n">
        <v>38200</v>
      </c>
      <c r="B49" s="58" t="n">
        <v>0.612287</v>
      </c>
      <c r="C49" s="13" t="inlineStr">
        <is>
          <t>Aproximação: IPCA anual 7.60% (IBGE) distribuído igualmente nos 12 meses</t>
        </is>
      </c>
      <c r="D49" s="57">
        <f>D48*(1+B49/100)</f>
        <v/>
      </c>
    </row>
    <row r="50">
      <c r="A50" s="16" t="n">
        <v>38231</v>
      </c>
      <c r="B50" s="58" t="n">
        <v>0.612287</v>
      </c>
      <c r="C50" s="13" t="inlineStr">
        <is>
          <t>Aproximação: IPCA anual 7.60% (IBGE) distribuído igualmente nos 12 meses</t>
        </is>
      </c>
      <c r="D50" s="57">
        <f>D49*(1+B50/100)</f>
        <v/>
      </c>
    </row>
    <row r="51">
      <c r="A51" s="16" t="n">
        <v>38261</v>
      </c>
      <c r="B51" s="58" t="n">
        <v>0.612287</v>
      </c>
      <c r="C51" s="13" t="inlineStr">
        <is>
          <t>Aproximação: IPCA anual 7.60% (IBGE) distribuído igualmente nos 12 meses</t>
        </is>
      </c>
      <c r="D51" s="57">
        <f>D50*(1+B51/100)</f>
        <v/>
      </c>
    </row>
    <row r="52">
      <c r="A52" s="16" t="n">
        <v>38292</v>
      </c>
      <c r="B52" s="58" t="n">
        <v>0.612287</v>
      </c>
      <c r="C52" s="13" t="inlineStr">
        <is>
          <t>Aproximação: IPCA anual 7.60% (IBGE) distribuído igualmente nos 12 meses</t>
        </is>
      </c>
      <c r="D52" s="57">
        <f>D51*(1+B52/100)</f>
        <v/>
      </c>
    </row>
    <row r="53">
      <c r="A53" s="16" t="n">
        <v>38322</v>
      </c>
      <c r="B53" s="58" t="n">
        <v>0.612287</v>
      </c>
      <c r="C53" s="13" t="inlineStr">
        <is>
          <t>Aproximação: IPCA anual 7.60% (IBGE) distribuído igualmente nos 12 meses</t>
        </is>
      </c>
      <c r="D53" s="57">
        <f>D52*(1+B53/100)</f>
        <v/>
      </c>
    </row>
    <row r="54">
      <c r="A54" s="16" t="n">
        <v>38353</v>
      </c>
      <c r="B54" s="58" t="n">
        <v>0.462232</v>
      </c>
      <c r="C54" s="13" t="inlineStr">
        <is>
          <t>Aproximação: IPCA anual 5.69% (IBGE) distribuído igualmente nos 12 meses</t>
        </is>
      </c>
      <c r="D54" s="57">
        <f>D53*(1+B54/100)</f>
        <v/>
      </c>
    </row>
    <row r="55">
      <c r="A55" s="16" t="n">
        <v>38384</v>
      </c>
      <c r="B55" s="58" t="n">
        <v>0.462232</v>
      </c>
      <c r="C55" s="13" t="inlineStr">
        <is>
          <t>Aproximação: IPCA anual 5.69% (IBGE) distribuído igualmente nos 12 meses</t>
        </is>
      </c>
      <c r="D55" s="57">
        <f>D54*(1+B55/100)</f>
        <v/>
      </c>
    </row>
    <row r="56">
      <c r="A56" s="16" t="n">
        <v>38412</v>
      </c>
      <c r="B56" s="58" t="n">
        <v>0.462232</v>
      </c>
      <c r="C56" s="13" t="inlineStr">
        <is>
          <t>Aproximação: IPCA anual 5.69% (IBGE) distribuído igualmente nos 12 meses</t>
        </is>
      </c>
      <c r="D56" s="57">
        <f>D55*(1+B56/100)</f>
        <v/>
      </c>
    </row>
    <row r="57">
      <c r="A57" s="16" t="n">
        <v>38443</v>
      </c>
      <c r="B57" s="58" t="n">
        <v>0.462232</v>
      </c>
      <c r="C57" s="13" t="inlineStr">
        <is>
          <t>Aproximação: IPCA anual 5.69% (IBGE) distribuído igualmente nos 12 meses</t>
        </is>
      </c>
      <c r="D57" s="57">
        <f>D56*(1+B57/100)</f>
        <v/>
      </c>
    </row>
    <row r="58">
      <c r="A58" s="16" t="n">
        <v>38473</v>
      </c>
      <c r="B58" s="58" t="n">
        <v>0.462232</v>
      </c>
      <c r="C58" s="13" t="inlineStr">
        <is>
          <t>Aproximação: IPCA anual 5.69% (IBGE) distribuído igualmente nos 12 meses</t>
        </is>
      </c>
      <c r="D58" s="57">
        <f>D57*(1+B58/100)</f>
        <v/>
      </c>
    </row>
    <row r="59">
      <c r="A59" s="16" t="n">
        <v>38504</v>
      </c>
      <c r="B59" s="58" t="n">
        <v>0.462232</v>
      </c>
      <c r="C59" s="13" t="inlineStr">
        <is>
          <t>Aproximação: IPCA anual 5.69% (IBGE) distribuído igualmente nos 12 meses</t>
        </is>
      </c>
      <c r="D59" s="57">
        <f>D58*(1+B59/100)</f>
        <v/>
      </c>
    </row>
    <row r="60">
      <c r="A60" s="16" t="n">
        <v>38534</v>
      </c>
      <c r="B60" s="58" t="n">
        <v>0.462232</v>
      </c>
      <c r="C60" s="13" t="inlineStr">
        <is>
          <t>Aproximação: IPCA anual 5.69% (IBGE) distribuído igualmente nos 12 meses</t>
        </is>
      </c>
      <c r="D60" s="57">
        <f>D59*(1+B60/100)</f>
        <v/>
      </c>
    </row>
    <row r="61">
      <c r="A61" s="16" t="n">
        <v>38565</v>
      </c>
      <c r="B61" s="58" t="n">
        <v>0.462232</v>
      </c>
      <c r="C61" s="13" t="inlineStr">
        <is>
          <t>Aproximação: IPCA anual 5.69% (IBGE) distribuído igualmente nos 12 meses</t>
        </is>
      </c>
      <c r="D61" s="57">
        <f>D60*(1+B61/100)</f>
        <v/>
      </c>
    </row>
    <row r="62">
      <c r="A62" s="16" t="n">
        <v>38596</v>
      </c>
      <c r="B62" s="58" t="n">
        <v>0.462232</v>
      </c>
      <c r="C62" s="13" t="inlineStr">
        <is>
          <t>Aproximação: IPCA anual 5.69% (IBGE) distribuído igualmente nos 12 meses</t>
        </is>
      </c>
      <c r="D62" s="57">
        <f>D61*(1+B62/100)</f>
        <v/>
      </c>
    </row>
    <row r="63">
      <c r="A63" s="16" t="n">
        <v>38626</v>
      </c>
      <c r="B63" s="58" t="n">
        <v>0.462232</v>
      </c>
      <c r="C63" s="13" t="inlineStr">
        <is>
          <t>Aproximação: IPCA anual 5.69% (IBGE) distribuído igualmente nos 12 meses</t>
        </is>
      </c>
      <c r="D63" s="57">
        <f>D62*(1+B63/100)</f>
        <v/>
      </c>
    </row>
    <row r="64">
      <c r="A64" s="16" t="n">
        <v>38657</v>
      </c>
      <c r="B64" s="58" t="n">
        <v>0.462232</v>
      </c>
      <c r="C64" s="13" t="inlineStr">
        <is>
          <t>Aproximação: IPCA anual 5.69% (IBGE) distribuído igualmente nos 12 meses</t>
        </is>
      </c>
      <c r="D64" s="57">
        <f>D63*(1+B64/100)</f>
        <v/>
      </c>
    </row>
    <row r="65">
      <c r="A65" s="16" t="n">
        <v>38687</v>
      </c>
      <c r="B65" s="58" t="n">
        <v>0.462232</v>
      </c>
      <c r="C65" s="13" t="inlineStr">
        <is>
          <t>Aproximação: IPCA anual 5.69% (IBGE) distribuído igualmente nos 12 meses</t>
        </is>
      </c>
      <c r="D65" s="57">
        <f>D64*(1+B65/100)</f>
        <v/>
      </c>
    </row>
    <row r="66">
      <c r="A66" s="16" t="n">
        <v>38718</v>
      </c>
      <c r="B66" s="58" t="n">
        <v>0.257975</v>
      </c>
      <c r="C66" s="13" t="inlineStr">
        <is>
          <t>Aproximação: IPCA anual 3.14% (IBGE) distribuído igualmente nos 12 meses</t>
        </is>
      </c>
      <c r="D66" s="57">
        <f>D65*(1+B66/100)</f>
        <v/>
      </c>
    </row>
    <row r="67">
      <c r="A67" s="16" t="n">
        <v>38749</v>
      </c>
      <c r="B67" s="58" t="n">
        <v>0.257975</v>
      </c>
      <c r="C67" s="13" t="inlineStr">
        <is>
          <t>Aproximação: IPCA anual 3.14% (IBGE) distribuído igualmente nos 12 meses</t>
        </is>
      </c>
      <c r="D67" s="57">
        <f>D66*(1+B67/100)</f>
        <v/>
      </c>
    </row>
    <row r="68">
      <c r="A68" s="16" t="n">
        <v>38777</v>
      </c>
      <c r="B68" s="58" t="n">
        <v>0.257975</v>
      </c>
      <c r="C68" s="13" t="inlineStr">
        <is>
          <t>Aproximação: IPCA anual 3.14% (IBGE) distribuído igualmente nos 12 meses</t>
        </is>
      </c>
      <c r="D68" s="57">
        <f>D67*(1+B68/100)</f>
        <v/>
      </c>
    </row>
    <row r="69">
      <c r="A69" s="16" t="n">
        <v>38808</v>
      </c>
      <c r="B69" s="58" t="n">
        <v>0.257975</v>
      </c>
      <c r="C69" s="13" t="inlineStr">
        <is>
          <t>Aproximação: IPCA anual 3.14% (IBGE) distribuído igualmente nos 12 meses</t>
        </is>
      </c>
      <c r="D69" s="57">
        <f>D68*(1+B69/100)</f>
        <v/>
      </c>
    </row>
    <row r="70">
      <c r="A70" s="16" t="n">
        <v>38838</v>
      </c>
      <c r="B70" s="58" t="n">
        <v>0.257975</v>
      </c>
      <c r="C70" s="13" t="inlineStr">
        <is>
          <t>Aproximação: IPCA anual 3.14% (IBGE) distribuído igualmente nos 12 meses</t>
        </is>
      </c>
      <c r="D70" s="57">
        <f>D69*(1+B70/100)</f>
        <v/>
      </c>
    </row>
    <row r="71">
      <c r="A71" s="16" t="n">
        <v>38869</v>
      </c>
      <c r="B71" s="58" t="n">
        <v>0.257975</v>
      </c>
      <c r="C71" s="13" t="inlineStr">
        <is>
          <t>Aproximação: IPCA anual 3.14% (IBGE) distribuído igualmente nos 12 meses</t>
        </is>
      </c>
      <c r="D71" s="57">
        <f>D70*(1+B71/100)</f>
        <v/>
      </c>
    </row>
    <row r="72">
      <c r="A72" s="16" t="n">
        <v>38899</v>
      </c>
      <c r="B72" s="58" t="n">
        <v>0.257975</v>
      </c>
      <c r="C72" s="13" t="inlineStr">
        <is>
          <t>Aproximação: IPCA anual 3.14% (IBGE) distribuído igualmente nos 12 meses</t>
        </is>
      </c>
      <c r="D72" s="57">
        <f>D71*(1+B72/100)</f>
        <v/>
      </c>
    </row>
    <row r="73">
      <c r="A73" s="16" t="n">
        <v>38930</v>
      </c>
      <c r="B73" s="58" t="n">
        <v>0.257975</v>
      </c>
      <c r="C73" s="13" t="inlineStr">
        <is>
          <t>Aproximação: IPCA anual 3.14% (IBGE) distribuído igualmente nos 12 meses</t>
        </is>
      </c>
      <c r="D73" s="57">
        <f>D72*(1+B73/100)</f>
        <v/>
      </c>
    </row>
    <row r="74">
      <c r="A74" s="16" t="n">
        <v>38961</v>
      </c>
      <c r="B74" s="58" t="n">
        <v>0.257975</v>
      </c>
      <c r="C74" s="13" t="inlineStr">
        <is>
          <t>Aproximação: IPCA anual 3.14% (IBGE) distribuído igualmente nos 12 meses</t>
        </is>
      </c>
      <c r="D74" s="57">
        <f>D73*(1+B74/100)</f>
        <v/>
      </c>
    </row>
    <row r="75">
      <c r="A75" s="16" t="n">
        <v>38991</v>
      </c>
      <c r="B75" s="58" t="n">
        <v>0.257975</v>
      </c>
      <c r="C75" s="13" t="inlineStr">
        <is>
          <t>Aproximação: IPCA anual 3.14% (IBGE) distribuído igualmente nos 12 meses</t>
        </is>
      </c>
      <c r="D75" s="57">
        <f>D74*(1+B75/100)</f>
        <v/>
      </c>
    </row>
    <row r="76">
      <c r="A76" s="16" t="n">
        <v>39022</v>
      </c>
      <c r="B76" s="58" t="n">
        <v>0.257975</v>
      </c>
      <c r="C76" s="13" t="inlineStr">
        <is>
          <t>Aproximação: IPCA anual 3.14% (IBGE) distribuído igualmente nos 12 meses</t>
        </is>
      </c>
      <c r="D76" s="57">
        <f>D75*(1+B76/100)</f>
        <v/>
      </c>
    </row>
    <row r="77">
      <c r="A77" s="16" t="n">
        <v>39052</v>
      </c>
      <c r="B77" s="58" t="n">
        <v>0.257975</v>
      </c>
      <c r="C77" s="13" t="inlineStr">
        <is>
          <t>Aproximação: IPCA anual 3.14% (IBGE) distribuído igualmente nos 12 meses</t>
        </is>
      </c>
      <c r="D77" s="57">
        <f>D76*(1+B77/100)</f>
        <v/>
      </c>
    </row>
    <row r="78">
      <c r="A78" s="16" t="n">
        <v>39083</v>
      </c>
      <c r="B78" s="58" t="n">
        <v>0.364279</v>
      </c>
      <c r="C78" s="13" t="inlineStr">
        <is>
          <t>Aproximação: IPCA anual 4.46% (IBGE) distribuído igualmente nos 12 meses</t>
        </is>
      </c>
      <c r="D78" s="57">
        <f>D77*(1+B78/100)</f>
        <v/>
      </c>
    </row>
    <row r="79">
      <c r="A79" s="16" t="n">
        <v>39114</v>
      </c>
      <c r="B79" s="58" t="n">
        <v>0.364279</v>
      </c>
      <c r="C79" s="13" t="inlineStr">
        <is>
          <t>Aproximação: IPCA anual 4.46% (IBGE) distribuído igualmente nos 12 meses</t>
        </is>
      </c>
      <c r="D79" s="57">
        <f>D78*(1+B79/100)</f>
        <v/>
      </c>
    </row>
    <row r="80">
      <c r="A80" s="16" t="n">
        <v>39142</v>
      </c>
      <c r="B80" s="58" t="n">
        <v>0.364279</v>
      </c>
      <c r="C80" s="13" t="inlineStr">
        <is>
          <t>Aproximação: IPCA anual 4.46% (IBGE) distribuído igualmente nos 12 meses</t>
        </is>
      </c>
      <c r="D80" s="57">
        <f>D79*(1+B80/100)</f>
        <v/>
      </c>
    </row>
    <row r="81">
      <c r="A81" s="16" t="n">
        <v>39173</v>
      </c>
      <c r="B81" s="58" t="n">
        <v>0.364279</v>
      </c>
      <c r="C81" s="13" t="inlineStr">
        <is>
          <t>Aproximação: IPCA anual 4.46% (IBGE) distribuído igualmente nos 12 meses</t>
        </is>
      </c>
      <c r="D81" s="57">
        <f>D80*(1+B81/100)</f>
        <v/>
      </c>
    </row>
    <row r="82">
      <c r="A82" s="16" t="n">
        <v>39203</v>
      </c>
      <c r="B82" s="58" t="n">
        <v>0.364279</v>
      </c>
      <c r="C82" s="13" t="inlineStr">
        <is>
          <t>Aproximação: IPCA anual 4.46% (IBGE) distribuído igualmente nos 12 meses</t>
        </is>
      </c>
      <c r="D82" s="57">
        <f>D81*(1+B82/100)</f>
        <v/>
      </c>
    </row>
    <row r="83">
      <c r="A83" s="16" t="n">
        <v>39234</v>
      </c>
      <c r="B83" s="58" t="n">
        <v>0.364279</v>
      </c>
      <c r="C83" s="13" t="inlineStr">
        <is>
          <t>Aproximação: IPCA anual 4.46% (IBGE) distribuído igualmente nos 12 meses</t>
        </is>
      </c>
      <c r="D83" s="57">
        <f>D82*(1+B83/100)</f>
        <v/>
      </c>
    </row>
    <row r="84">
      <c r="A84" s="16" t="n">
        <v>39264</v>
      </c>
      <c r="B84" s="58" t="n">
        <v>0.364279</v>
      </c>
      <c r="C84" s="13" t="inlineStr">
        <is>
          <t>Aproximação: IPCA anual 4.46% (IBGE) distribuído igualmente nos 12 meses</t>
        </is>
      </c>
      <c r="D84" s="57">
        <f>D83*(1+B84/100)</f>
        <v/>
      </c>
    </row>
    <row r="85">
      <c r="A85" s="16" t="n">
        <v>39295</v>
      </c>
      <c r="B85" s="58" t="n">
        <v>0.364279</v>
      </c>
      <c r="C85" s="13" t="inlineStr">
        <is>
          <t>Aproximação: IPCA anual 4.46% (IBGE) distribuído igualmente nos 12 meses</t>
        </is>
      </c>
      <c r="D85" s="57">
        <f>D84*(1+B85/100)</f>
        <v/>
      </c>
    </row>
    <row r="86">
      <c r="A86" s="16" t="n">
        <v>39326</v>
      </c>
      <c r="B86" s="58" t="n">
        <v>0.364279</v>
      </c>
      <c r="C86" s="13" t="inlineStr">
        <is>
          <t>Aproximação: IPCA anual 4.46% (IBGE) distribuído igualmente nos 12 meses</t>
        </is>
      </c>
      <c r="D86" s="57">
        <f>D85*(1+B86/100)</f>
        <v/>
      </c>
    </row>
    <row r="87">
      <c r="A87" s="16" t="n">
        <v>39356</v>
      </c>
      <c r="B87" s="58" t="n">
        <v>0.364279</v>
      </c>
      <c r="C87" s="13" t="inlineStr">
        <is>
          <t>Aproximação: IPCA anual 4.46% (IBGE) distribuído igualmente nos 12 meses</t>
        </is>
      </c>
      <c r="D87" s="57">
        <f>D86*(1+B87/100)</f>
        <v/>
      </c>
    </row>
    <row r="88">
      <c r="A88" s="16" t="n">
        <v>39387</v>
      </c>
      <c r="B88" s="58" t="n">
        <v>0.364279</v>
      </c>
      <c r="C88" s="13" t="inlineStr">
        <is>
          <t>Aproximação: IPCA anual 4.46% (IBGE) distribuído igualmente nos 12 meses</t>
        </is>
      </c>
      <c r="D88" s="57">
        <f>D87*(1+B88/100)</f>
        <v/>
      </c>
    </row>
    <row r="89">
      <c r="A89" s="16" t="n">
        <v>39417</v>
      </c>
      <c r="B89" s="58" t="n">
        <v>0.364279</v>
      </c>
      <c r="C89" s="13" t="inlineStr">
        <is>
          <t>Aproximação: IPCA anual 4.46% (IBGE) distribuído igualmente nos 12 meses</t>
        </is>
      </c>
      <c r="D89" s="57">
        <f>D88*(1+B89/100)</f>
        <v/>
      </c>
    </row>
    <row r="90">
      <c r="A90" s="16" t="n">
        <v>39448</v>
      </c>
      <c r="B90" s="58" t="n">
        <v>0.478852</v>
      </c>
      <c r="C90" s="13" t="inlineStr">
        <is>
          <t>Aproximação: IPCA anual 5.90% (IBGE) distribuído igualmente nos 12 meses</t>
        </is>
      </c>
      <c r="D90" s="57">
        <f>D89*(1+B90/100)</f>
        <v/>
      </c>
    </row>
    <row r="91">
      <c r="A91" s="16" t="n">
        <v>39479</v>
      </c>
      <c r="B91" s="58" t="n">
        <v>0.478852</v>
      </c>
      <c r="C91" s="13" t="inlineStr">
        <is>
          <t>Aproximação: IPCA anual 5.90% (IBGE) distribuído igualmente nos 12 meses</t>
        </is>
      </c>
      <c r="D91" s="57">
        <f>D90*(1+B91/100)</f>
        <v/>
      </c>
    </row>
    <row r="92">
      <c r="A92" s="16" t="n">
        <v>39508</v>
      </c>
      <c r="B92" s="58" t="n">
        <v>0.478852</v>
      </c>
      <c r="C92" s="13" t="inlineStr">
        <is>
          <t>Aproximação: IPCA anual 5.90% (IBGE) distribuído igualmente nos 12 meses</t>
        </is>
      </c>
      <c r="D92" s="57">
        <f>D91*(1+B92/100)</f>
        <v/>
      </c>
    </row>
    <row r="93">
      <c r="A93" s="16" t="n">
        <v>39539</v>
      </c>
      <c r="B93" s="58" t="n">
        <v>0.478852</v>
      </c>
      <c r="C93" s="13" t="inlineStr">
        <is>
          <t>Aproximação: IPCA anual 5.90% (IBGE) distribuído igualmente nos 12 meses</t>
        </is>
      </c>
      <c r="D93" s="57">
        <f>D92*(1+B93/100)</f>
        <v/>
      </c>
    </row>
    <row r="94">
      <c r="A94" s="16" t="n">
        <v>39569</v>
      </c>
      <c r="B94" s="58" t="n">
        <v>0.478852</v>
      </c>
      <c r="C94" s="13" t="inlineStr">
        <is>
          <t>Aproximação: IPCA anual 5.90% (IBGE) distribuído igualmente nos 12 meses</t>
        </is>
      </c>
      <c r="D94" s="57">
        <f>D93*(1+B94/100)</f>
        <v/>
      </c>
    </row>
    <row r="95">
      <c r="A95" s="16" t="n">
        <v>39600</v>
      </c>
      <c r="B95" s="58" t="n">
        <v>0.478852</v>
      </c>
      <c r="C95" s="13" t="inlineStr">
        <is>
          <t>Aproximação: IPCA anual 5.90% (IBGE) distribuído igualmente nos 12 meses</t>
        </is>
      </c>
      <c r="D95" s="57">
        <f>D94*(1+B95/100)</f>
        <v/>
      </c>
    </row>
    <row r="96">
      <c r="A96" s="16" t="n">
        <v>39630</v>
      </c>
      <c r="B96" s="58" t="n">
        <v>0.478852</v>
      </c>
      <c r="C96" s="13" t="inlineStr">
        <is>
          <t>Aproximação: IPCA anual 5.90% (IBGE) distribuído igualmente nos 12 meses</t>
        </is>
      </c>
      <c r="D96" s="57">
        <f>D95*(1+B96/100)</f>
        <v/>
      </c>
    </row>
    <row r="97">
      <c r="A97" s="16" t="n">
        <v>39661</v>
      </c>
      <c r="B97" s="58" t="n">
        <v>0.478852</v>
      </c>
      <c r="C97" s="13" t="inlineStr">
        <is>
          <t>Aproximação: IPCA anual 5.90% (IBGE) distribuído igualmente nos 12 meses</t>
        </is>
      </c>
      <c r="D97" s="57">
        <f>D96*(1+B97/100)</f>
        <v/>
      </c>
    </row>
    <row r="98">
      <c r="A98" s="16" t="n">
        <v>39692</v>
      </c>
      <c r="B98" s="58" t="n">
        <v>0.478852</v>
      </c>
      <c r="C98" s="13" t="inlineStr">
        <is>
          <t>Aproximação: IPCA anual 5.90% (IBGE) distribuído igualmente nos 12 meses</t>
        </is>
      </c>
      <c r="D98" s="57">
        <f>D97*(1+B98/100)</f>
        <v/>
      </c>
    </row>
    <row r="99">
      <c r="A99" s="16" t="n">
        <v>39722</v>
      </c>
      <c r="B99" s="58" t="n">
        <v>0.478852</v>
      </c>
      <c r="C99" s="13" t="inlineStr">
        <is>
          <t>Aproximação: IPCA anual 5.90% (IBGE) distribuído igualmente nos 12 meses</t>
        </is>
      </c>
      <c r="D99" s="57">
        <f>D98*(1+B99/100)</f>
        <v/>
      </c>
    </row>
    <row r="100">
      <c r="A100" s="16" t="n">
        <v>39753</v>
      </c>
      <c r="B100" s="58" t="n">
        <v>0.478852</v>
      </c>
      <c r="C100" s="13" t="inlineStr">
        <is>
          <t>Aproximação: IPCA anual 5.90% (IBGE) distribuído igualmente nos 12 meses</t>
        </is>
      </c>
      <c r="D100" s="57">
        <f>D99*(1+B100/100)</f>
        <v/>
      </c>
    </row>
    <row r="101">
      <c r="A101" s="16" t="n">
        <v>39783</v>
      </c>
      <c r="B101" s="58" t="n">
        <v>0.478852</v>
      </c>
      <c r="C101" s="13" t="inlineStr">
        <is>
          <t>Aproximação: IPCA anual 5.90% (IBGE) distribuído igualmente nos 12 meses</t>
        </is>
      </c>
      <c r="D101" s="57">
        <f>D100*(1+B101/100)</f>
        <v/>
      </c>
    </row>
    <row r="102">
      <c r="A102" s="16" t="n">
        <v>39814</v>
      </c>
      <c r="B102" s="58" t="n">
        <v>0.352261</v>
      </c>
      <c r="C102" s="13" t="inlineStr">
        <is>
          <t>Aproximação: IPCA anual 4.31% (IBGE) distribuído igualmente nos 12 meses</t>
        </is>
      </c>
      <c r="D102" s="57">
        <f>D101*(1+B102/100)</f>
        <v/>
      </c>
    </row>
    <row r="103">
      <c r="A103" s="16" t="n">
        <v>39845</v>
      </c>
      <c r="B103" s="58" t="n">
        <v>0.352261</v>
      </c>
      <c r="C103" s="13" t="inlineStr">
        <is>
          <t>Aproximação: IPCA anual 4.31% (IBGE) distribuído igualmente nos 12 meses</t>
        </is>
      </c>
      <c r="D103" s="57">
        <f>D102*(1+B103/100)</f>
        <v/>
      </c>
    </row>
    <row r="104">
      <c r="A104" s="16" t="n">
        <v>39873</v>
      </c>
      <c r="B104" s="58" t="n">
        <v>0.352261</v>
      </c>
      <c r="C104" s="13" t="inlineStr">
        <is>
          <t>Aproximação: IPCA anual 4.31% (IBGE) distribuído igualmente nos 12 meses</t>
        </is>
      </c>
      <c r="D104" s="57">
        <f>D103*(1+B104/100)</f>
        <v/>
      </c>
    </row>
    <row r="105">
      <c r="A105" s="16" t="n">
        <v>39904</v>
      </c>
      <c r="B105" s="58" t="n">
        <v>0.352261</v>
      </c>
      <c r="C105" s="13" t="inlineStr">
        <is>
          <t>Aproximação: IPCA anual 4.31% (IBGE) distribuído igualmente nos 12 meses</t>
        </is>
      </c>
      <c r="D105" s="57">
        <f>D104*(1+B105/100)</f>
        <v/>
      </c>
    </row>
    <row r="106">
      <c r="A106" s="16" t="n">
        <v>39934</v>
      </c>
      <c r="B106" s="58" t="n">
        <v>0.352261</v>
      </c>
      <c r="C106" s="13" t="inlineStr">
        <is>
          <t>Aproximação: IPCA anual 4.31% (IBGE) distribuído igualmente nos 12 meses</t>
        </is>
      </c>
      <c r="D106" s="57">
        <f>D105*(1+B106/100)</f>
        <v/>
      </c>
    </row>
    <row r="107">
      <c r="A107" s="16" t="n">
        <v>39965</v>
      </c>
      <c r="B107" s="58" t="n">
        <v>0.352261</v>
      </c>
      <c r="C107" s="13" t="inlineStr">
        <is>
          <t>Aproximação: IPCA anual 4.31% (IBGE) distribuído igualmente nos 12 meses</t>
        </is>
      </c>
      <c r="D107" s="57">
        <f>D106*(1+B107/100)</f>
        <v/>
      </c>
    </row>
    <row r="108">
      <c r="A108" s="16" t="n">
        <v>39995</v>
      </c>
      <c r="B108" s="58" t="n">
        <v>0.352261</v>
      </c>
      <c r="C108" s="13" t="inlineStr">
        <is>
          <t>Aproximação: IPCA anual 4.31% (IBGE) distribuído igualmente nos 12 meses</t>
        </is>
      </c>
      <c r="D108" s="57">
        <f>D107*(1+B108/100)</f>
        <v/>
      </c>
    </row>
    <row r="109">
      <c r="A109" s="16" t="n">
        <v>40026</v>
      </c>
      <c r="B109" s="58" t="n">
        <v>0.352261</v>
      </c>
      <c r="C109" s="13" t="inlineStr">
        <is>
          <t>Aproximação: IPCA anual 4.31% (IBGE) distribuído igualmente nos 12 meses</t>
        </is>
      </c>
      <c r="D109" s="57">
        <f>D108*(1+B109/100)</f>
        <v/>
      </c>
    </row>
    <row r="110">
      <c r="A110" s="16" t="n">
        <v>40057</v>
      </c>
      <c r="B110" s="58" t="n">
        <v>0.352261</v>
      </c>
      <c r="C110" s="13" t="inlineStr">
        <is>
          <t>Aproximação: IPCA anual 4.31% (IBGE) distribuído igualmente nos 12 meses</t>
        </is>
      </c>
      <c r="D110" s="57">
        <f>D109*(1+B110/100)</f>
        <v/>
      </c>
    </row>
    <row r="111">
      <c r="A111" s="16" t="n">
        <v>40087</v>
      </c>
      <c r="B111" s="58" t="n">
        <v>0.352261</v>
      </c>
      <c r="C111" s="13" t="inlineStr">
        <is>
          <t>Aproximação: IPCA anual 4.31% (IBGE) distribuído igualmente nos 12 meses</t>
        </is>
      </c>
      <c r="D111" s="57">
        <f>D110*(1+B111/100)</f>
        <v/>
      </c>
    </row>
    <row r="112">
      <c r="A112" s="16" t="n">
        <v>40118</v>
      </c>
      <c r="B112" s="58" t="n">
        <v>0.352261</v>
      </c>
      <c r="C112" s="13" t="inlineStr">
        <is>
          <t>Aproximação: IPCA anual 4.31% (IBGE) distribuído igualmente nos 12 meses</t>
        </is>
      </c>
      <c r="D112" s="57">
        <f>D111*(1+B112/100)</f>
        <v/>
      </c>
    </row>
    <row r="113">
      <c r="A113" s="16" t="n">
        <v>40148</v>
      </c>
      <c r="B113" s="58" t="n">
        <v>0.352261</v>
      </c>
      <c r="C113" s="13" t="inlineStr">
        <is>
          <t>Aproximação: IPCA anual 4.31% (IBGE) distribuído igualmente nos 12 meses</t>
        </is>
      </c>
      <c r="D113" s="57">
        <f>D112*(1+B113/100)</f>
        <v/>
      </c>
    </row>
    <row r="114">
      <c r="A114" s="16" t="n">
        <v>40179</v>
      </c>
      <c r="B114" s="58" t="n">
        <v>0.479642</v>
      </c>
      <c r="C114" s="13" t="inlineStr">
        <is>
          <t>Aproximação: IPCA anual 5.91% (IBGE) distribuído igualmente nos 12 meses</t>
        </is>
      </c>
      <c r="D114" s="57">
        <f>D113*(1+B114/100)</f>
        <v/>
      </c>
    </row>
    <row r="115">
      <c r="A115" s="16" t="n">
        <v>40210</v>
      </c>
      <c r="B115" s="58" t="n">
        <v>0.479642</v>
      </c>
      <c r="C115" s="13" t="inlineStr">
        <is>
          <t>Aproximação: IPCA anual 5.91% (IBGE) distribuído igualmente nos 12 meses</t>
        </is>
      </c>
      <c r="D115" s="57">
        <f>D114*(1+B115/100)</f>
        <v/>
      </c>
    </row>
    <row r="116">
      <c r="A116" s="16" t="n">
        <v>40238</v>
      </c>
      <c r="B116" s="58" t="n">
        <v>0.479642</v>
      </c>
      <c r="C116" s="13" t="inlineStr">
        <is>
          <t>Aproximação: IPCA anual 5.91% (IBGE) distribuído igualmente nos 12 meses</t>
        </is>
      </c>
      <c r="D116" s="57">
        <f>D115*(1+B116/100)</f>
        <v/>
      </c>
    </row>
    <row r="117">
      <c r="A117" s="16" t="n">
        <v>40269</v>
      </c>
      <c r="B117" s="58" t="n">
        <v>0.479642</v>
      </c>
      <c r="C117" s="13" t="inlineStr">
        <is>
          <t>Aproximação: IPCA anual 5.91% (IBGE) distribuído igualmente nos 12 meses</t>
        </is>
      </c>
      <c r="D117" s="57">
        <f>D116*(1+B117/100)</f>
        <v/>
      </c>
    </row>
    <row r="118">
      <c r="A118" s="16" t="n">
        <v>40299</v>
      </c>
      <c r="B118" s="58" t="n">
        <v>0.479642</v>
      </c>
      <c r="C118" s="13" t="inlineStr">
        <is>
          <t>Aproximação: IPCA anual 5.91% (IBGE) distribuído igualmente nos 12 meses</t>
        </is>
      </c>
      <c r="D118" s="57">
        <f>D117*(1+B118/100)</f>
        <v/>
      </c>
    </row>
    <row r="119">
      <c r="A119" s="16" t="n">
        <v>40330</v>
      </c>
      <c r="B119" s="58" t="n">
        <v>0.479642</v>
      </c>
      <c r="C119" s="13" t="inlineStr">
        <is>
          <t>Aproximação: IPCA anual 5.91% (IBGE) distribuído igualmente nos 12 meses</t>
        </is>
      </c>
      <c r="D119" s="57">
        <f>D118*(1+B119/100)</f>
        <v/>
      </c>
    </row>
    <row r="120">
      <c r="A120" s="16" t="n">
        <v>40360</v>
      </c>
      <c r="B120" s="58" t="n">
        <v>0.479642</v>
      </c>
      <c r="C120" s="13" t="inlineStr">
        <is>
          <t>Aproximação: IPCA anual 5.91% (IBGE) distribuído igualmente nos 12 meses</t>
        </is>
      </c>
      <c r="D120" s="57">
        <f>D119*(1+B120/100)</f>
        <v/>
      </c>
    </row>
    <row r="121">
      <c r="A121" s="16" t="n">
        <v>40391</v>
      </c>
      <c r="B121" s="58" t="n">
        <v>0.479642</v>
      </c>
      <c r="C121" s="13" t="inlineStr">
        <is>
          <t>Aproximação: IPCA anual 5.91% (IBGE) distribuído igualmente nos 12 meses</t>
        </is>
      </c>
      <c r="D121" s="57">
        <f>D120*(1+B121/100)</f>
        <v/>
      </c>
    </row>
    <row r="122">
      <c r="A122" s="16" t="n">
        <v>40422</v>
      </c>
      <c r="B122" s="58" t="n">
        <v>0.479642</v>
      </c>
      <c r="C122" s="13" t="inlineStr">
        <is>
          <t>Aproximação: IPCA anual 5.91% (IBGE) distribuído igualmente nos 12 meses</t>
        </is>
      </c>
      <c r="D122" s="57">
        <f>D121*(1+B122/100)</f>
        <v/>
      </c>
    </row>
    <row r="123">
      <c r="A123" s="16" t="n">
        <v>40452</v>
      </c>
      <c r="B123" s="58" t="n">
        <v>0.479642</v>
      </c>
      <c r="C123" s="13" t="inlineStr">
        <is>
          <t>Aproximação: IPCA anual 5.91% (IBGE) distribuído igualmente nos 12 meses</t>
        </is>
      </c>
      <c r="D123" s="57">
        <f>D122*(1+B123/100)</f>
        <v/>
      </c>
    </row>
    <row r="124">
      <c r="A124" s="16" t="n">
        <v>40483</v>
      </c>
      <c r="B124" s="58" t="n">
        <v>0.479642</v>
      </c>
      <c r="C124" s="13" t="inlineStr">
        <is>
          <t>Aproximação: IPCA anual 5.91% (IBGE) distribuído igualmente nos 12 meses</t>
        </is>
      </c>
      <c r="D124" s="57">
        <f>D123*(1+B124/100)</f>
        <v/>
      </c>
    </row>
    <row r="125">
      <c r="A125" s="16" t="n">
        <v>40513</v>
      </c>
      <c r="B125" s="58" t="n">
        <v>0.479642</v>
      </c>
      <c r="C125" s="13" t="inlineStr">
        <is>
          <t>Aproximação: IPCA anual 5.91% (IBGE) distribuído igualmente nos 12 meses</t>
        </is>
      </c>
      <c r="D125" s="57">
        <f>D124*(1+B125/100)</f>
        <v/>
      </c>
    </row>
    <row r="126">
      <c r="A126" s="16" t="n">
        <v>40544</v>
      </c>
      <c r="B126" s="58" t="n">
        <v>0.526169</v>
      </c>
      <c r="C126" s="13" t="inlineStr">
        <is>
          <t>Aproximação: IPCA anual 6.50% (IBGE) distribuído igualmente nos 12 meses</t>
        </is>
      </c>
      <c r="D126" s="57">
        <f>D125*(1+B126/100)</f>
        <v/>
      </c>
    </row>
    <row r="127">
      <c r="A127" s="16" t="n">
        <v>40575</v>
      </c>
      <c r="B127" s="58" t="n">
        <v>0.526169</v>
      </c>
      <c r="C127" s="13" t="inlineStr">
        <is>
          <t>Aproximação: IPCA anual 6.50% (IBGE) distribuído igualmente nos 12 meses</t>
        </is>
      </c>
      <c r="D127" s="57">
        <f>D126*(1+B127/100)</f>
        <v/>
      </c>
    </row>
    <row r="128">
      <c r="A128" s="16" t="n">
        <v>40603</v>
      </c>
      <c r="B128" s="58" t="n">
        <v>0.526169</v>
      </c>
      <c r="C128" s="13" t="inlineStr">
        <is>
          <t>Aproximação: IPCA anual 6.50% (IBGE) distribuído igualmente nos 12 meses</t>
        </is>
      </c>
      <c r="D128" s="57">
        <f>D127*(1+B128/100)</f>
        <v/>
      </c>
    </row>
    <row r="129">
      <c r="A129" s="16" t="n">
        <v>40634</v>
      </c>
      <c r="B129" s="58" t="n">
        <v>0.526169</v>
      </c>
      <c r="C129" s="13" t="inlineStr">
        <is>
          <t>Aproximação: IPCA anual 6.50% (IBGE) distribuído igualmente nos 12 meses</t>
        </is>
      </c>
      <c r="D129" s="57">
        <f>D128*(1+B129/100)</f>
        <v/>
      </c>
    </row>
    <row r="130">
      <c r="A130" s="16" t="n">
        <v>40664</v>
      </c>
      <c r="B130" s="58" t="n">
        <v>0.526169</v>
      </c>
      <c r="C130" s="13" t="inlineStr">
        <is>
          <t>Aproximação: IPCA anual 6.50% (IBGE) distribuído igualmente nos 12 meses</t>
        </is>
      </c>
      <c r="D130" s="57">
        <f>D129*(1+B130/100)</f>
        <v/>
      </c>
    </row>
    <row r="131">
      <c r="A131" s="16" t="n">
        <v>40695</v>
      </c>
      <c r="B131" s="58" t="n">
        <v>0.526169</v>
      </c>
      <c r="C131" s="13" t="inlineStr">
        <is>
          <t>Aproximação: IPCA anual 6.50% (IBGE) distribuído igualmente nos 12 meses</t>
        </is>
      </c>
      <c r="D131" s="57">
        <f>D130*(1+B131/100)</f>
        <v/>
      </c>
    </row>
    <row r="132">
      <c r="A132" s="16" t="n">
        <v>40725</v>
      </c>
      <c r="B132" s="58" t="n">
        <v>0.526169</v>
      </c>
      <c r="C132" s="13" t="inlineStr">
        <is>
          <t>Aproximação: IPCA anual 6.50% (IBGE) distribuído igualmente nos 12 meses</t>
        </is>
      </c>
      <c r="D132" s="57">
        <f>D131*(1+B132/100)</f>
        <v/>
      </c>
    </row>
    <row r="133">
      <c r="A133" s="16" t="n">
        <v>40756</v>
      </c>
      <c r="B133" s="58" t="n">
        <v>0.526169</v>
      </c>
      <c r="C133" s="13" t="inlineStr">
        <is>
          <t>Aproximação: IPCA anual 6.50% (IBGE) distribuído igualmente nos 12 meses</t>
        </is>
      </c>
      <c r="D133" s="57">
        <f>D132*(1+B133/100)</f>
        <v/>
      </c>
    </row>
    <row r="134">
      <c r="A134" s="16" t="n">
        <v>40787</v>
      </c>
      <c r="B134" s="58" t="n">
        <v>0.526169</v>
      </c>
      <c r="C134" s="13" t="inlineStr">
        <is>
          <t>Aproximação: IPCA anual 6.50% (IBGE) distribuído igualmente nos 12 meses</t>
        </is>
      </c>
      <c r="D134" s="57">
        <f>D133*(1+B134/100)</f>
        <v/>
      </c>
    </row>
    <row r="135">
      <c r="A135" s="16" t="n">
        <v>40817</v>
      </c>
      <c r="B135" s="58" t="n">
        <v>0.526169</v>
      </c>
      <c r="C135" s="13" t="inlineStr">
        <is>
          <t>Aproximação: IPCA anual 6.50% (IBGE) distribuído igualmente nos 12 meses</t>
        </is>
      </c>
      <c r="D135" s="57">
        <f>D134*(1+B135/100)</f>
        <v/>
      </c>
    </row>
    <row r="136">
      <c r="A136" s="16" t="n">
        <v>40848</v>
      </c>
      <c r="B136" s="58" t="n">
        <v>0.526169</v>
      </c>
      <c r="C136" s="13" t="inlineStr">
        <is>
          <t>Aproximação: IPCA anual 6.50% (IBGE) distribuído igualmente nos 12 meses</t>
        </is>
      </c>
      <c r="D136" s="57">
        <f>D135*(1+B136/100)</f>
        <v/>
      </c>
    </row>
    <row r="137">
      <c r="A137" s="16" t="n">
        <v>40878</v>
      </c>
      <c r="B137" s="58" t="n">
        <v>0.526169</v>
      </c>
      <c r="C137" s="13" t="inlineStr">
        <is>
          <t>Aproximação: IPCA anual 6.50% (IBGE) distribuído igualmente nos 12 meses</t>
        </is>
      </c>
      <c r="D137" s="57">
        <f>D136*(1+B137/100)</f>
        <v/>
      </c>
    </row>
    <row r="138">
      <c r="A138" s="16" t="n">
        <v>40909</v>
      </c>
      <c r="B138" s="58" t="n">
        <v>0.474106</v>
      </c>
      <c r="C138" s="13" t="inlineStr">
        <is>
          <t>Aproximação: IPCA anual 5.84% (IBGE) distribuído igualmente nos 12 meses</t>
        </is>
      </c>
      <c r="D138" s="57">
        <f>D137*(1+B138/100)</f>
        <v/>
      </c>
    </row>
    <row r="139">
      <c r="A139" s="16" t="n">
        <v>40940</v>
      </c>
      <c r="B139" s="58" t="n">
        <v>0.474106</v>
      </c>
      <c r="C139" s="13" t="inlineStr">
        <is>
          <t>Aproximação: IPCA anual 5.84% (IBGE) distribuído igualmente nos 12 meses</t>
        </is>
      </c>
      <c r="D139" s="57">
        <f>D138*(1+B139/100)</f>
        <v/>
      </c>
    </row>
    <row r="140">
      <c r="A140" s="16" t="n">
        <v>40969</v>
      </c>
      <c r="B140" s="58" t="n">
        <v>0.474106</v>
      </c>
      <c r="C140" s="13" t="inlineStr">
        <is>
          <t>Aproximação: IPCA anual 5.84% (IBGE) distribuído igualmente nos 12 meses</t>
        </is>
      </c>
      <c r="D140" s="57">
        <f>D139*(1+B140/100)</f>
        <v/>
      </c>
    </row>
    <row r="141">
      <c r="A141" s="16" t="n">
        <v>41000</v>
      </c>
      <c r="B141" s="58" t="n">
        <v>0.474106</v>
      </c>
      <c r="C141" s="13" t="inlineStr">
        <is>
          <t>Aproximação: IPCA anual 5.84% (IBGE) distribuído igualmente nos 12 meses</t>
        </is>
      </c>
      <c r="D141" s="57">
        <f>D140*(1+B141/100)</f>
        <v/>
      </c>
    </row>
    <row r="142">
      <c r="A142" s="16" t="n">
        <v>41030</v>
      </c>
      <c r="B142" s="58" t="n">
        <v>0.474106</v>
      </c>
      <c r="C142" s="13" t="inlineStr">
        <is>
          <t>Aproximação: IPCA anual 5.84% (IBGE) distribuído igualmente nos 12 meses</t>
        </is>
      </c>
      <c r="D142" s="57">
        <f>D141*(1+B142/100)</f>
        <v/>
      </c>
    </row>
    <row r="143">
      <c r="A143" s="16" t="n">
        <v>41061</v>
      </c>
      <c r="B143" s="58" t="n">
        <v>0.474106</v>
      </c>
      <c r="C143" s="13" t="inlineStr">
        <is>
          <t>Aproximação: IPCA anual 5.84% (IBGE) distribuído igualmente nos 12 meses</t>
        </is>
      </c>
      <c r="D143" s="57">
        <f>D142*(1+B143/100)</f>
        <v/>
      </c>
    </row>
    <row r="144">
      <c r="A144" s="16" t="n">
        <v>41091</v>
      </c>
      <c r="B144" s="58" t="n">
        <v>0.474106</v>
      </c>
      <c r="C144" s="13" t="inlineStr">
        <is>
          <t>Aproximação: IPCA anual 5.84% (IBGE) distribuído igualmente nos 12 meses</t>
        </is>
      </c>
      <c r="D144" s="57">
        <f>D143*(1+B144/100)</f>
        <v/>
      </c>
    </row>
    <row r="145">
      <c r="A145" s="16" t="n">
        <v>41122</v>
      </c>
      <c r="B145" s="58" t="n">
        <v>0.474106</v>
      </c>
      <c r="C145" s="13" t="inlineStr">
        <is>
          <t>Aproximação: IPCA anual 5.84% (IBGE) distribuído igualmente nos 12 meses</t>
        </is>
      </c>
      <c r="D145" s="57">
        <f>D144*(1+B145/100)</f>
        <v/>
      </c>
    </row>
    <row r="146">
      <c r="A146" s="16" t="n">
        <v>41153</v>
      </c>
      <c r="B146" s="58" t="n">
        <v>0.474106</v>
      </c>
      <c r="C146" s="13" t="inlineStr">
        <is>
          <t>Aproximação: IPCA anual 5.84% (IBGE) distribuído igualmente nos 12 meses</t>
        </is>
      </c>
      <c r="D146" s="57">
        <f>D145*(1+B146/100)</f>
        <v/>
      </c>
    </row>
    <row r="147">
      <c r="A147" s="16" t="n">
        <v>41183</v>
      </c>
      <c r="B147" s="58" t="n">
        <v>0.474106</v>
      </c>
      <c r="C147" s="13" t="inlineStr">
        <is>
          <t>Aproximação: IPCA anual 5.84% (IBGE) distribuído igualmente nos 12 meses</t>
        </is>
      </c>
      <c r="D147" s="57">
        <f>D146*(1+B147/100)</f>
        <v/>
      </c>
    </row>
    <row r="148">
      <c r="A148" s="16" t="n">
        <v>41214</v>
      </c>
      <c r="B148" s="58" t="n">
        <v>0.474106</v>
      </c>
      <c r="C148" s="13" t="inlineStr">
        <is>
          <t>Aproximação: IPCA anual 5.84% (IBGE) distribuído igualmente nos 12 meses</t>
        </is>
      </c>
      <c r="D148" s="57">
        <f>D147*(1+B148/100)</f>
        <v/>
      </c>
    </row>
    <row r="149">
      <c r="A149" s="16" t="n">
        <v>41244</v>
      </c>
      <c r="B149" s="58" t="n">
        <v>0.474106</v>
      </c>
      <c r="C149" s="13" t="inlineStr">
        <is>
          <t>Aproximação: IPCA anual 5.84% (IBGE) distribuído igualmente nos 12 meses</t>
        </is>
      </c>
      <c r="D149" s="57">
        <f>D148*(1+B149/100)</f>
        <v/>
      </c>
    </row>
    <row r="150">
      <c r="A150" s="16" t="n">
        <v>41275</v>
      </c>
      <c r="B150" s="58" t="n">
        <v>0.479642</v>
      </c>
      <c r="C150" s="13" t="inlineStr">
        <is>
          <t>Aproximação: IPCA anual 5.91% (IBGE) distribuído igualmente nos 12 meses</t>
        </is>
      </c>
      <c r="D150" s="57">
        <f>D149*(1+B150/100)</f>
        <v/>
      </c>
    </row>
    <row r="151">
      <c r="A151" s="16" t="n">
        <v>41306</v>
      </c>
      <c r="B151" s="58" t="n">
        <v>0.479642</v>
      </c>
      <c r="C151" s="13" t="inlineStr">
        <is>
          <t>Aproximação: IPCA anual 5.91% (IBGE) distribuído igualmente nos 12 meses</t>
        </is>
      </c>
      <c r="D151" s="57">
        <f>D150*(1+B151/100)</f>
        <v/>
      </c>
    </row>
    <row r="152">
      <c r="A152" s="16" t="n">
        <v>41334</v>
      </c>
      <c r="B152" s="58" t="n">
        <v>0.479642</v>
      </c>
      <c r="C152" s="13" t="inlineStr">
        <is>
          <t>Aproximação: IPCA anual 5.91% (IBGE) distribuído igualmente nos 12 meses</t>
        </is>
      </c>
      <c r="D152" s="57">
        <f>D151*(1+B152/100)</f>
        <v/>
      </c>
    </row>
    <row r="153">
      <c r="A153" s="16" t="n">
        <v>41365</v>
      </c>
      <c r="B153" s="58" t="n">
        <v>0.479642</v>
      </c>
      <c r="C153" s="13" t="inlineStr">
        <is>
          <t>Aproximação: IPCA anual 5.91% (IBGE) distribuído igualmente nos 12 meses</t>
        </is>
      </c>
      <c r="D153" s="57">
        <f>D152*(1+B153/100)</f>
        <v/>
      </c>
    </row>
    <row r="154">
      <c r="A154" s="16" t="n">
        <v>41395</v>
      </c>
      <c r="B154" s="58" t="n">
        <v>0.479642</v>
      </c>
      <c r="C154" s="13" t="inlineStr">
        <is>
          <t>Aproximação: IPCA anual 5.91% (IBGE) distribuído igualmente nos 12 meses</t>
        </is>
      </c>
      <c r="D154" s="57">
        <f>D153*(1+B154/100)</f>
        <v/>
      </c>
    </row>
    <row r="155">
      <c r="A155" s="16" t="n">
        <v>41426</v>
      </c>
      <c r="B155" s="58" t="n">
        <v>0.479642</v>
      </c>
      <c r="C155" s="13" t="inlineStr">
        <is>
          <t>Aproximação: IPCA anual 5.91% (IBGE) distribuído igualmente nos 12 meses</t>
        </is>
      </c>
      <c r="D155" s="57">
        <f>D154*(1+B155/100)</f>
        <v/>
      </c>
    </row>
    <row r="156">
      <c r="A156" s="16" t="n">
        <v>41456</v>
      </c>
      <c r="B156" s="58" t="n">
        <v>0.479642</v>
      </c>
      <c r="C156" s="13" t="inlineStr">
        <is>
          <t>Aproximação: IPCA anual 5.91% (IBGE) distribuído igualmente nos 12 meses</t>
        </is>
      </c>
      <c r="D156" s="57">
        <f>D155*(1+B156/100)</f>
        <v/>
      </c>
    </row>
    <row r="157">
      <c r="A157" s="16" t="n">
        <v>41487</v>
      </c>
      <c r="B157" s="58" t="n">
        <v>0.479642</v>
      </c>
      <c r="C157" s="13" t="inlineStr">
        <is>
          <t>Aproximação: IPCA anual 5.91% (IBGE) distribuído igualmente nos 12 meses</t>
        </is>
      </c>
      <c r="D157" s="57">
        <f>D156*(1+B157/100)</f>
        <v/>
      </c>
    </row>
    <row r="158">
      <c r="A158" s="16" t="n">
        <v>41518</v>
      </c>
      <c r="B158" s="58" t="n">
        <v>0.479642</v>
      </c>
      <c r="C158" s="13" t="inlineStr">
        <is>
          <t>Aproximação: IPCA anual 5.91% (IBGE) distribuído igualmente nos 12 meses</t>
        </is>
      </c>
      <c r="D158" s="57">
        <f>D157*(1+B158/100)</f>
        <v/>
      </c>
    </row>
    <row r="159">
      <c r="A159" s="16" t="n">
        <v>41548</v>
      </c>
      <c r="B159" s="58" t="n">
        <v>0.479642</v>
      </c>
      <c r="C159" s="13" t="inlineStr">
        <is>
          <t>Aproximação: IPCA anual 5.91% (IBGE) distribuído igualmente nos 12 meses</t>
        </is>
      </c>
      <c r="D159" s="57">
        <f>D158*(1+B159/100)</f>
        <v/>
      </c>
    </row>
    <row r="160">
      <c r="A160" s="16" t="n">
        <v>41579</v>
      </c>
      <c r="B160" s="58" t="n">
        <v>0.479642</v>
      </c>
      <c r="C160" s="13" t="inlineStr">
        <is>
          <t>Aproximação: IPCA anual 5.91% (IBGE) distribuído igualmente nos 12 meses</t>
        </is>
      </c>
      <c r="D160" s="57">
        <f>D159*(1+B160/100)</f>
        <v/>
      </c>
    </row>
    <row r="161">
      <c r="A161" s="16" t="n">
        <v>41609</v>
      </c>
      <c r="B161" s="58" t="n">
        <v>0.479642</v>
      </c>
      <c r="C161" s="13" t="inlineStr">
        <is>
          <t>Aproximação: IPCA anual 5.91% (IBGE) distribuído igualmente nos 12 meses</t>
        </is>
      </c>
      <c r="D161" s="57">
        <f>D160*(1+B161/100)</f>
        <v/>
      </c>
    </row>
    <row r="162">
      <c r="A162" s="16" t="n">
        <v>41640</v>
      </c>
      <c r="B162" s="58" t="n">
        <v>0.519087</v>
      </c>
      <c r="C162" s="13" t="inlineStr">
        <is>
          <t>Aproximação: IPCA anual 6.41% (IBGE) distribuído igualmente nos 12 meses</t>
        </is>
      </c>
      <c r="D162" s="57">
        <f>D161*(1+B162/100)</f>
        <v/>
      </c>
    </row>
    <row r="163">
      <c r="A163" s="16" t="n">
        <v>41671</v>
      </c>
      <c r="B163" s="58" t="n">
        <v>0.519087</v>
      </c>
      <c r="C163" s="13" t="inlineStr">
        <is>
          <t>Aproximação: IPCA anual 6.41% (IBGE) distribuído igualmente nos 12 meses</t>
        </is>
      </c>
      <c r="D163" s="57">
        <f>D162*(1+B163/100)</f>
        <v/>
      </c>
    </row>
    <row r="164">
      <c r="A164" s="16" t="n">
        <v>41699</v>
      </c>
      <c r="B164" s="58" t="n">
        <v>0.519087</v>
      </c>
      <c r="C164" s="13" t="inlineStr">
        <is>
          <t>Aproximação: IPCA anual 6.41% (IBGE) distribuído igualmente nos 12 meses</t>
        </is>
      </c>
      <c r="D164" s="57">
        <f>D163*(1+B164/100)</f>
        <v/>
      </c>
    </row>
    <row r="165">
      <c r="A165" s="16" t="n">
        <v>41730</v>
      </c>
      <c r="B165" s="58" t="n">
        <v>0.519087</v>
      </c>
      <c r="C165" s="13" t="inlineStr">
        <is>
          <t>Aproximação: IPCA anual 6.41% (IBGE) distribuído igualmente nos 12 meses</t>
        </is>
      </c>
      <c r="D165" s="57">
        <f>D164*(1+B165/100)</f>
        <v/>
      </c>
    </row>
    <row r="166">
      <c r="A166" s="16" t="n">
        <v>41760</v>
      </c>
      <c r="B166" s="58" t="n">
        <v>0.519087</v>
      </c>
      <c r="C166" s="13" t="inlineStr">
        <is>
          <t>Aproximação: IPCA anual 6.41% (IBGE) distribuído igualmente nos 12 meses</t>
        </is>
      </c>
      <c r="D166" s="57">
        <f>D165*(1+B166/100)</f>
        <v/>
      </c>
    </row>
    <row r="167">
      <c r="A167" s="16" t="n">
        <v>41791</v>
      </c>
      <c r="B167" s="58" t="n">
        <v>0.519087</v>
      </c>
      <c r="C167" s="13" t="inlineStr">
        <is>
          <t>Aproximação: IPCA anual 6.41% (IBGE) distribuído igualmente nos 12 meses</t>
        </is>
      </c>
      <c r="D167" s="57">
        <f>D166*(1+B167/100)</f>
        <v/>
      </c>
    </row>
    <row r="168">
      <c r="A168" s="16" t="n">
        <v>41821</v>
      </c>
      <c r="B168" s="58" t="n">
        <v>0.519087</v>
      </c>
      <c r="C168" s="13" t="inlineStr">
        <is>
          <t>Aproximação: IPCA anual 6.41% (IBGE) distribuído igualmente nos 12 meses</t>
        </is>
      </c>
      <c r="D168" s="57">
        <f>D167*(1+B168/100)</f>
        <v/>
      </c>
    </row>
    <row r="169">
      <c r="A169" s="16" t="n">
        <v>41852</v>
      </c>
      <c r="B169" s="58" t="n">
        <v>0.519087</v>
      </c>
      <c r="C169" s="13" t="inlineStr">
        <is>
          <t>Aproximação: IPCA anual 6.41% (IBGE) distribuído igualmente nos 12 meses</t>
        </is>
      </c>
      <c r="D169" s="57">
        <f>D168*(1+B169/100)</f>
        <v/>
      </c>
    </row>
    <row r="170">
      <c r="A170" s="16" t="n">
        <v>41883</v>
      </c>
      <c r="B170" s="58" t="n">
        <v>0.519087</v>
      </c>
      <c r="C170" s="13" t="inlineStr">
        <is>
          <t>Aproximação: IPCA anual 6.41% (IBGE) distribuído igualmente nos 12 meses</t>
        </is>
      </c>
      <c r="D170" s="57">
        <f>D169*(1+B170/100)</f>
        <v/>
      </c>
    </row>
    <row r="171">
      <c r="A171" s="16" t="n">
        <v>41913</v>
      </c>
      <c r="B171" s="58" t="n">
        <v>0.519087</v>
      </c>
      <c r="C171" s="13" t="inlineStr">
        <is>
          <t>Aproximação: IPCA anual 6.41% (IBGE) distribuído igualmente nos 12 meses</t>
        </is>
      </c>
      <c r="D171" s="57">
        <f>D170*(1+B171/100)</f>
        <v/>
      </c>
    </row>
    <row r="172">
      <c r="A172" s="16" t="n">
        <v>41944</v>
      </c>
      <c r="B172" s="58" t="n">
        <v>0.519087</v>
      </c>
      <c r="C172" s="13" t="inlineStr">
        <is>
          <t>Aproximação: IPCA anual 6.41% (IBGE) distribuído igualmente nos 12 meses</t>
        </is>
      </c>
      <c r="D172" s="57">
        <f>D171*(1+B172/100)</f>
        <v/>
      </c>
    </row>
    <row r="173">
      <c r="A173" s="16" t="n">
        <v>41974</v>
      </c>
      <c r="B173" s="58" t="n">
        <v>0.519087</v>
      </c>
      <c r="C173" s="13" t="inlineStr">
        <is>
          <t>Aproximação: IPCA anual 6.41% (IBGE) distribuído igualmente nos 12 meses</t>
        </is>
      </c>
      <c r="D173" s="57">
        <f>D172*(1+B173/100)</f>
        <v/>
      </c>
    </row>
    <row r="174">
      <c r="A174" s="16" t="n">
        <v>42005</v>
      </c>
      <c r="B174" s="58" t="n">
        <v>0.848434</v>
      </c>
      <c r="C174" s="13" t="inlineStr">
        <is>
          <t>Aproximação: IPCA anual 10.67% (IBGE) distribuído igualmente nos 12 meses</t>
        </is>
      </c>
      <c r="D174" s="57">
        <f>D173*(1+B174/100)</f>
        <v/>
      </c>
    </row>
    <row r="175">
      <c r="A175" s="16" t="n">
        <v>42036</v>
      </c>
      <c r="B175" s="58" t="n">
        <v>0.848434</v>
      </c>
      <c r="C175" s="13" t="inlineStr">
        <is>
          <t>Aproximação: IPCA anual 10.67% (IBGE) distribuído igualmente nos 12 meses</t>
        </is>
      </c>
      <c r="D175" s="57">
        <f>D174*(1+B175/100)</f>
        <v/>
      </c>
    </row>
    <row r="176">
      <c r="A176" s="16" t="n">
        <v>42064</v>
      </c>
      <c r="B176" s="58" t="n">
        <v>0.848434</v>
      </c>
      <c r="C176" s="13" t="inlineStr">
        <is>
          <t>Aproximação: IPCA anual 10.67% (IBGE) distribuído igualmente nos 12 meses</t>
        </is>
      </c>
      <c r="D176" s="57">
        <f>D175*(1+B176/100)</f>
        <v/>
      </c>
    </row>
    <row r="177">
      <c r="A177" s="16" t="n">
        <v>42095</v>
      </c>
      <c r="B177" s="58" t="n">
        <v>0.848434</v>
      </c>
      <c r="C177" s="13" t="inlineStr">
        <is>
          <t>Aproximação: IPCA anual 10.67% (IBGE) distribuído igualmente nos 12 meses</t>
        </is>
      </c>
      <c r="D177" s="57">
        <f>D176*(1+B177/100)</f>
        <v/>
      </c>
    </row>
    <row r="178">
      <c r="A178" s="16" t="n">
        <v>42125</v>
      </c>
      <c r="B178" s="58" t="n">
        <v>0.848434</v>
      </c>
      <c r="C178" s="13" t="inlineStr">
        <is>
          <t>Aproximação: IPCA anual 10.67% (IBGE) distribuído igualmente nos 12 meses</t>
        </is>
      </c>
      <c r="D178" s="57">
        <f>D177*(1+B178/100)</f>
        <v/>
      </c>
    </row>
    <row r="179">
      <c r="A179" s="16" t="n">
        <v>42156</v>
      </c>
      <c r="B179" s="58" t="n">
        <v>0.848434</v>
      </c>
      <c r="C179" s="13" t="inlineStr">
        <is>
          <t>Aproximação: IPCA anual 10.67% (IBGE) distribuído igualmente nos 12 meses</t>
        </is>
      </c>
      <c r="D179" s="57">
        <f>D178*(1+B179/100)</f>
        <v/>
      </c>
    </row>
    <row r="180">
      <c r="A180" s="16" t="n">
        <v>42186</v>
      </c>
      <c r="B180" s="58" t="n">
        <v>0.848434</v>
      </c>
      <c r="C180" s="13" t="inlineStr">
        <is>
          <t>Aproximação: IPCA anual 10.67% (IBGE) distribuído igualmente nos 12 meses</t>
        </is>
      </c>
      <c r="D180" s="57">
        <f>D179*(1+B180/100)</f>
        <v/>
      </c>
    </row>
    <row r="181">
      <c r="A181" s="16" t="n">
        <v>42217</v>
      </c>
      <c r="B181" s="58" t="n">
        <v>0.848434</v>
      </c>
      <c r="C181" s="13" t="inlineStr">
        <is>
          <t>Aproximação: IPCA anual 10.67% (IBGE) distribuído igualmente nos 12 meses</t>
        </is>
      </c>
      <c r="D181" s="57">
        <f>D180*(1+B181/100)</f>
        <v/>
      </c>
    </row>
    <row r="182">
      <c r="A182" s="16" t="n">
        <v>42248</v>
      </c>
      <c r="B182" s="58" t="n">
        <v>0.848434</v>
      </c>
      <c r="C182" s="13" t="inlineStr">
        <is>
          <t>Aproximação: IPCA anual 10.67% (IBGE) distribuído igualmente nos 12 meses</t>
        </is>
      </c>
      <c r="D182" s="57">
        <f>D181*(1+B182/100)</f>
        <v/>
      </c>
    </row>
    <row r="183">
      <c r="A183" s="16" t="n">
        <v>42278</v>
      </c>
      <c r="B183" s="58" t="n">
        <v>0.848434</v>
      </c>
      <c r="C183" s="13" t="inlineStr">
        <is>
          <t>Aproximação: IPCA anual 10.67% (IBGE) distribuído igualmente nos 12 meses</t>
        </is>
      </c>
      <c r="D183" s="57">
        <f>D182*(1+B183/100)</f>
        <v/>
      </c>
    </row>
    <row r="184">
      <c r="A184" s="16" t="n">
        <v>42309</v>
      </c>
      <c r="B184" s="58" t="n">
        <v>0.848434</v>
      </c>
      <c r="C184" s="13" t="inlineStr">
        <is>
          <t>Aproximação: IPCA anual 10.67% (IBGE) distribuído igualmente nos 12 meses</t>
        </is>
      </c>
      <c r="D184" s="57">
        <f>D183*(1+B184/100)</f>
        <v/>
      </c>
    </row>
    <row r="185">
      <c r="A185" s="16" t="n">
        <v>42339</v>
      </c>
      <c r="B185" s="58" t="n">
        <v>0.848434</v>
      </c>
      <c r="C185" s="13" t="inlineStr">
        <is>
          <t>Aproximação: IPCA anual 10.67% (IBGE) distribuído igualmente nos 12 meses</t>
        </is>
      </c>
      <c r="D185" s="57">
        <f>D184*(1+B185/100)</f>
        <v/>
      </c>
    </row>
    <row r="186">
      <c r="A186" s="16" t="n">
        <v>42370</v>
      </c>
      <c r="B186" s="58" t="n">
        <v>0.509636</v>
      </c>
      <c r="C186" s="13" t="inlineStr">
        <is>
          <t>Aproximação: IPCA anual 6.29% (IBGE) distribuído igualmente nos 12 meses</t>
        </is>
      </c>
      <c r="D186" s="57">
        <f>D185*(1+B186/100)</f>
        <v/>
      </c>
    </row>
    <row r="187">
      <c r="A187" s="16" t="n">
        <v>42401</v>
      </c>
      <c r="B187" s="58" t="n">
        <v>0.509636</v>
      </c>
      <c r="C187" s="13" t="inlineStr">
        <is>
          <t>Aproximação: IPCA anual 6.29% (IBGE) distribuído igualmente nos 12 meses</t>
        </is>
      </c>
      <c r="D187" s="57">
        <f>D186*(1+B187/100)</f>
        <v/>
      </c>
    </row>
    <row r="188">
      <c r="A188" s="16" t="n">
        <v>42430</v>
      </c>
      <c r="B188" s="58" t="n">
        <v>0.509636</v>
      </c>
      <c r="C188" s="13" t="inlineStr">
        <is>
          <t>Aproximação: IPCA anual 6.29% (IBGE) distribuído igualmente nos 12 meses</t>
        </is>
      </c>
      <c r="D188" s="57">
        <f>D187*(1+B188/100)</f>
        <v/>
      </c>
    </row>
    <row r="189">
      <c r="A189" s="16" t="n">
        <v>42461</v>
      </c>
      <c r="B189" s="58" t="n">
        <v>0.509636</v>
      </c>
      <c r="C189" s="13" t="inlineStr">
        <is>
          <t>Aproximação: IPCA anual 6.29% (IBGE) distribuído igualmente nos 12 meses</t>
        </is>
      </c>
      <c r="D189" s="57">
        <f>D188*(1+B189/100)</f>
        <v/>
      </c>
    </row>
    <row r="190">
      <c r="A190" s="16" t="n">
        <v>42491</v>
      </c>
      <c r="B190" s="58" t="n">
        <v>0.509636</v>
      </c>
      <c r="C190" s="13" t="inlineStr">
        <is>
          <t>Aproximação: IPCA anual 6.29% (IBGE) distribuído igualmente nos 12 meses</t>
        </is>
      </c>
      <c r="D190" s="57">
        <f>D189*(1+B190/100)</f>
        <v/>
      </c>
    </row>
    <row r="191">
      <c r="A191" s="16" t="n">
        <v>42522</v>
      </c>
      <c r="B191" s="58" t="n">
        <v>0.509636</v>
      </c>
      <c r="C191" s="13" t="inlineStr">
        <is>
          <t>Aproximação: IPCA anual 6.29% (IBGE) distribuído igualmente nos 12 meses</t>
        </is>
      </c>
      <c r="D191" s="57">
        <f>D190*(1+B191/100)</f>
        <v/>
      </c>
    </row>
    <row r="192">
      <c r="A192" s="16" t="n">
        <v>42552</v>
      </c>
      <c r="B192" s="58" t="n">
        <v>0.509636</v>
      </c>
      <c r="C192" s="13" t="inlineStr">
        <is>
          <t>Aproximação: IPCA anual 6.29% (IBGE) distribuído igualmente nos 12 meses</t>
        </is>
      </c>
      <c r="D192" s="57">
        <f>D191*(1+B192/100)</f>
        <v/>
      </c>
    </row>
    <row r="193">
      <c r="A193" s="16" t="n">
        <v>42583</v>
      </c>
      <c r="B193" s="58" t="n">
        <v>0.509636</v>
      </c>
      <c r="C193" s="13" t="inlineStr">
        <is>
          <t>Aproximação: IPCA anual 6.29% (IBGE) distribuído igualmente nos 12 meses</t>
        </is>
      </c>
      <c r="D193" s="57">
        <f>D192*(1+B193/100)</f>
        <v/>
      </c>
    </row>
    <row r="194">
      <c r="A194" s="16" t="n">
        <v>42614</v>
      </c>
      <c r="B194" s="58" t="n">
        <v>0.509636</v>
      </c>
      <c r="C194" s="13" t="inlineStr">
        <is>
          <t>Aproximação: IPCA anual 6.29% (IBGE) distribuído igualmente nos 12 meses</t>
        </is>
      </c>
      <c r="D194" s="57">
        <f>D193*(1+B194/100)</f>
        <v/>
      </c>
    </row>
    <row r="195">
      <c r="A195" s="16" t="n">
        <v>42644</v>
      </c>
      <c r="B195" s="58" t="n">
        <v>0.509636</v>
      </c>
      <c r="C195" s="13" t="inlineStr">
        <is>
          <t>Aproximação: IPCA anual 6.29% (IBGE) distribuído igualmente nos 12 meses</t>
        </is>
      </c>
      <c r="D195" s="57">
        <f>D194*(1+B195/100)</f>
        <v/>
      </c>
    </row>
    <row r="196">
      <c r="A196" s="16" t="n">
        <v>42675</v>
      </c>
      <c r="B196" s="58" t="n">
        <v>0.509636</v>
      </c>
      <c r="C196" s="13" t="inlineStr">
        <is>
          <t>Aproximação: IPCA anual 6.29% (IBGE) distribuído igualmente nos 12 meses</t>
        </is>
      </c>
      <c r="D196" s="57">
        <f>D195*(1+B196/100)</f>
        <v/>
      </c>
    </row>
    <row r="197">
      <c r="A197" s="16" t="n">
        <v>42705</v>
      </c>
      <c r="B197" s="58" t="n">
        <v>0.509636</v>
      </c>
      <c r="C197" s="13" t="inlineStr">
        <is>
          <t>Aproximação: IPCA anual 6.29% (IBGE) distribuído igualmente nos 12 meses</t>
        </is>
      </c>
      <c r="D197" s="57">
        <f>D196*(1+B197/100)</f>
        <v/>
      </c>
    </row>
    <row r="198">
      <c r="A198" s="16" t="n">
        <v>42736</v>
      </c>
      <c r="B198" s="58" t="n">
        <v>0.242571</v>
      </c>
      <c r="C198" s="13" t="inlineStr">
        <is>
          <t>Aproximação: IPCA anual 2.95% (IBGE) distribuído igualmente nos 12 meses</t>
        </is>
      </c>
      <c r="D198" s="57">
        <f>D197*(1+B198/100)</f>
        <v/>
      </c>
    </row>
    <row r="199">
      <c r="A199" s="16" t="n">
        <v>42767</v>
      </c>
      <c r="B199" s="58" t="n">
        <v>0.242571</v>
      </c>
      <c r="C199" s="13" t="inlineStr">
        <is>
          <t>Aproximação: IPCA anual 2.95% (IBGE) distribuído igualmente nos 12 meses</t>
        </is>
      </c>
      <c r="D199" s="57">
        <f>D198*(1+B199/100)</f>
        <v/>
      </c>
    </row>
    <row r="200">
      <c r="A200" s="16" t="n">
        <v>42795</v>
      </c>
      <c r="B200" s="58" t="n">
        <v>0.242571</v>
      </c>
      <c r="C200" s="13" t="inlineStr">
        <is>
          <t>Aproximação: IPCA anual 2.95% (IBGE) distribuído igualmente nos 12 meses</t>
        </is>
      </c>
      <c r="D200" s="57">
        <f>D199*(1+B200/100)</f>
        <v/>
      </c>
    </row>
    <row r="201">
      <c r="A201" s="16" t="n">
        <v>42826</v>
      </c>
      <c r="B201" s="58" t="n">
        <v>0.242571</v>
      </c>
      <c r="C201" s="13" t="inlineStr">
        <is>
          <t>Aproximação: IPCA anual 2.95% (IBGE) distribuído igualmente nos 12 meses</t>
        </is>
      </c>
      <c r="D201" s="57">
        <f>D200*(1+B201/100)</f>
        <v/>
      </c>
    </row>
    <row r="202">
      <c r="A202" s="16" t="n">
        <v>42856</v>
      </c>
      <c r="B202" s="58" t="n">
        <v>0.242571</v>
      </c>
      <c r="C202" s="13" t="inlineStr">
        <is>
          <t>Aproximação: IPCA anual 2.95% (IBGE) distribuído igualmente nos 12 meses</t>
        </is>
      </c>
      <c r="D202" s="57">
        <f>D201*(1+B202/100)</f>
        <v/>
      </c>
    </row>
    <row r="203">
      <c r="A203" s="16" t="n">
        <v>42887</v>
      </c>
      <c r="B203" s="58" t="n">
        <v>0.242571</v>
      </c>
      <c r="C203" s="13" t="inlineStr">
        <is>
          <t>Aproximação: IPCA anual 2.95% (IBGE) distribuído igualmente nos 12 meses</t>
        </is>
      </c>
      <c r="D203" s="57">
        <f>D202*(1+B203/100)</f>
        <v/>
      </c>
    </row>
    <row r="204">
      <c r="A204" s="16" t="n">
        <v>42917</v>
      </c>
      <c r="B204" s="58" t="n">
        <v>0.242571</v>
      </c>
      <c r="C204" s="13" t="inlineStr">
        <is>
          <t>Aproximação: IPCA anual 2.95% (IBGE) distribuído igualmente nos 12 meses</t>
        </is>
      </c>
      <c r="D204" s="57">
        <f>D203*(1+B204/100)</f>
        <v/>
      </c>
    </row>
    <row r="205">
      <c r="A205" s="16" t="n">
        <v>42948</v>
      </c>
      <c r="B205" s="58" t="n">
        <v>0.242571</v>
      </c>
      <c r="C205" s="13" t="inlineStr">
        <is>
          <t>Aproximação: IPCA anual 2.95% (IBGE) distribuído igualmente nos 12 meses</t>
        </is>
      </c>
      <c r="D205" s="57">
        <f>D204*(1+B205/100)</f>
        <v/>
      </c>
    </row>
    <row r="206">
      <c r="A206" s="16" t="n">
        <v>42979</v>
      </c>
      <c r="B206" s="58" t="n">
        <v>0.242571</v>
      </c>
      <c r="C206" s="13" t="inlineStr">
        <is>
          <t>Aproximação: IPCA anual 2.95% (IBGE) distribuído igualmente nos 12 meses</t>
        </is>
      </c>
      <c r="D206" s="57">
        <f>D205*(1+B206/100)</f>
        <v/>
      </c>
    </row>
    <row r="207">
      <c r="A207" s="16" t="n">
        <v>43009</v>
      </c>
      <c r="B207" s="58" t="n">
        <v>0.242571</v>
      </c>
      <c r="C207" s="13" t="inlineStr">
        <is>
          <t>Aproximação: IPCA anual 2.95% (IBGE) distribuído igualmente nos 12 meses</t>
        </is>
      </c>
      <c r="D207" s="57">
        <f>D206*(1+B207/100)</f>
        <v/>
      </c>
    </row>
    <row r="208">
      <c r="A208" s="16" t="n">
        <v>43040</v>
      </c>
      <c r="B208" s="58" t="n">
        <v>0.242571</v>
      </c>
      <c r="C208" s="13" t="inlineStr">
        <is>
          <t>Aproximação: IPCA anual 2.95% (IBGE) distribuído igualmente nos 12 meses</t>
        </is>
      </c>
      <c r="D208" s="57">
        <f>D207*(1+B208/100)</f>
        <v/>
      </c>
    </row>
    <row r="209">
      <c r="A209" s="16" t="n">
        <v>43070</v>
      </c>
      <c r="B209" s="58" t="n">
        <v>0.242571</v>
      </c>
      <c r="C209" s="13" t="inlineStr">
        <is>
          <t>Aproximação: IPCA anual 2.95% (IBGE) distribuído igualmente nos 12 meses</t>
        </is>
      </c>
      <c r="D209" s="57">
        <f>D208*(1+B209/100)</f>
        <v/>
      </c>
    </row>
    <row r="210">
      <c r="A210" s="16" t="n">
        <v>43101</v>
      </c>
      <c r="B210" s="58" t="n">
        <v>0.307254</v>
      </c>
      <c r="C210" s="13" t="inlineStr">
        <is>
          <t>Aproximação: IPCA anual 3.75% (IBGE) distribuído igualmente nos 12 meses</t>
        </is>
      </c>
      <c r="D210" s="57">
        <f>D209*(1+B210/100)</f>
        <v/>
      </c>
    </row>
    <row r="211">
      <c r="A211" s="16" t="n">
        <v>43132</v>
      </c>
      <c r="B211" s="58" t="n">
        <v>0.307254</v>
      </c>
      <c r="C211" s="13" t="inlineStr">
        <is>
          <t>Aproximação: IPCA anual 3.75% (IBGE) distribuído igualmente nos 12 meses</t>
        </is>
      </c>
      <c r="D211" s="57">
        <f>D210*(1+B211/100)</f>
        <v/>
      </c>
    </row>
    <row r="212">
      <c r="A212" s="16" t="n">
        <v>43160</v>
      </c>
      <c r="B212" s="58" t="n">
        <v>0.307254</v>
      </c>
      <c r="C212" s="13" t="inlineStr">
        <is>
          <t>Aproximação: IPCA anual 3.75% (IBGE) distribuído igualmente nos 12 meses</t>
        </is>
      </c>
      <c r="D212" s="57">
        <f>D211*(1+B212/100)</f>
        <v/>
      </c>
    </row>
    <row r="213">
      <c r="A213" s="16" t="n">
        <v>43191</v>
      </c>
      <c r="B213" s="58" t="n">
        <v>0.307254</v>
      </c>
      <c r="C213" s="13" t="inlineStr">
        <is>
          <t>Aproximação: IPCA anual 3.75% (IBGE) distribuído igualmente nos 12 meses</t>
        </is>
      </c>
      <c r="D213" s="57">
        <f>D212*(1+B213/100)</f>
        <v/>
      </c>
    </row>
    <row r="214">
      <c r="A214" s="16" t="n">
        <v>43221</v>
      </c>
      <c r="B214" s="58" t="n">
        <v>0.307254</v>
      </c>
      <c r="C214" s="13" t="inlineStr">
        <is>
          <t>Aproximação: IPCA anual 3.75% (IBGE) distribuído igualmente nos 12 meses</t>
        </is>
      </c>
      <c r="D214" s="57">
        <f>D213*(1+B214/100)</f>
        <v/>
      </c>
    </row>
    <row r="215">
      <c r="A215" s="16" t="n">
        <v>43252</v>
      </c>
      <c r="B215" s="58" t="n">
        <v>0.307254</v>
      </c>
      <c r="C215" s="13" t="inlineStr">
        <is>
          <t>Aproximação: IPCA anual 3.75% (IBGE) distribuído igualmente nos 12 meses</t>
        </is>
      </c>
      <c r="D215" s="57">
        <f>D214*(1+B215/100)</f>
        <v/>
      </c>
    </row>
    <row r="216">
      <c r="A216" s="16" t="n">
        <v>43282</v>
      </c>
      <c r="B216" s="58" t="n">
        <v>0.307254</v>
      </c>
      <c r="C216" s="13" t="inlineStr">
        <is>
          <t>Aproximação: IPCA anual 3.75% (IBGE) distribuído igualmente nos 12 meses</t>
        </is>
      </c>
      <c r="D216" s="57">
        <f>D215*(1+B216/100)</f>
        <v/>
      </c>
    </row>
    <row r="217">
      <c r="A217" s="16" t="n">
        <v>43313</v>
      </c>
      <c r="B217" s="58" t="n">
        <v>0.307254</v>
      </c>
      <c r="C217" s="13" t="inlineStr">
        <is>
          <t>Aproximação: IPCA anual 3.75% (IBGE) distribuído igualmente nos 12 meses</t>
        </is>
      </c>
      <c r="D217" s="57">
        <f>D216*(1+B217/100)</f>
        <v/>
      </c>
    </row>
    <row r="218">
      <c r="A218" s="16" t="n">
        <v>43344</v>
      </c>
      <c r="B218" s="58" t="n">
        <v>0.307254</v>
      </c>
      <c r="C218" s="13" t="inlineStr">
        <is>
          <t>Aproximação: IPCA anual 3.75% (IBGE) distribuído igualmente nos 12 meses</t>
        </is>
      </c>
      <c r="D218" s="57">
        <f>D217*(1+B218/100)</f>
        <v/>
      </c>
    </row>
    <row r="219">
      <c r="A219" s="16" t="n">
        <v>43374</v>
      </c>
      <c r="B219" s="58" t="n">
        <v>0.307254</v>
      </c>
      <c r="C219" s="13" t="inlineStr">
        <is>
          <t>Aproximação: IPCA anual 3.75% (IBGE) distribuído igualmente nos 12 meses</t>
        </is>
      </c>
      <c r="D219" s="57">
        <f>D218*(1+B219/100)</f>
        <v/>
      </c>
    </row>
    <row r="220">
      <c r="A220" s="16" t="n">
        <v>43405</v>
      </c>
      <c r="B220" s="58" t="n">
        <v>0.307254</v>
      </c>
      <c r="C220" s="13" t="inlineStr">
        <is>
          <t>Aproximação: IPCA anual 3.75% (IBGE) distribuído igualmente nos 12 meses</t>
        </is>
      </c>
      <c r="D220" s="57">
        <f>D219*(1+B220/100)</f>
        <v/>
      </c>
    </row>
    <row r="221">
      <c r="A221" s="16" t="n">
        <v>43435</v>
      </c>
      <c r="B221" s="58" t="n">
        <v>0.307254</v>
      </c>
      <c r="C221" s="13" t="inlineStr">
        <is>
          <t>Aproximação: IPCA anual 3.75% (IBGE) distribuído igualmente nos 12 meses</t>
        </is>
      </c>
      <c r="D221" s="57">
        <f>D220*(1+B221/100)</f>
        <v/>
      </c>
    </row>
    <row r="222">
      <c r="A222" s="16" t="n">
        <v>43466</v>
      </c>
      <c r="B222" s="58" t="n">
        <v>0.352261</v>
      </c>
      <c r="C222" s="13" t="inlineStr">
        <is>
          <t>Aproximação: IPCA anual 4.31% (IBGE) distribuído igualmente nos 12 meses</t>
        </is>
      </c>
      <c r="D222" s="57">
        <f>D221*(1+B222/100)</f>
        <v/>
      </c>
    </row>
    <row r="223">
      <c r="A223" s="16" t="n">
        <v>43497</v>
      </c>
      <c r="B223" s="58" t="n">
        <v>0.352261</v>
      </c>
      <c r="C223" s="13" t="inlineStr">
        <is>
          <t>Aproximação: IPCA anual 4.31% (IBGE) distribuído igualmente nos 12 meses</t>
        </is>
      </c>
      <c r="D223" s="57">
        <f>D222*(1+B223/100)</f>
        <v/>
      </c>
    </row>
    <row r="224">
      <c r="A224" s="16" t="n">
        <v>43525</v>
      </c>
      <c r="B224" s="58" t="n">
        <v>0.352261</v>
      </c>
      <c r="C224" s="13" t="inlineStr">
        <is>
          <t>Aproximação: IPCA anual 4.31% (IBGE) distribuído igualmente nos 12 meses</t>
        </is>
      </c>
      <c r="D224" s="57">
        <f>D223*(1+B224/100)</f>
        <v/>
      </c>
    </row>
    <row r="225">
      <c r="A225" s="16" t="n">
        <v>43556</v>
      </c>
      <c r="B225" s="58" t="n">
        <v>0.352261</v>
      </c>
      <c r="C225" s="13" t="inlineStr">
        <is>
          <t>Aproximação: IPCA anual 4.31% (IBGE) distribuído igualmente nos 12 meses</t>
        </is>
      </c>
      <c r="D225" s="57">
        <f>D224*(1+B225/100)</f>
        <v/>
      </c>
    </row>
    <row r="226">
      <c r="A226" s="16" t="n">
        <v>43586</v>
      </c>
      <c r="B226" s="58" t="n">
        <v>0.352261</v>
      </c>
      <c r="C226" s="13" t="inlineStr">
        <is>
          <t>Aproximação: IPCA anual 4.31% (IBGE) distribuído igualmente nos 12 meses</t>
        </is>
      </c>
      <c r="D226" s="57">
        <f>D225*(1+B226/100)</f>
        <v/>
      </c>
    </row>
    <row r="227">
      <c r="A227" s="16" t="n">
        <v>43617</v>
      </c>
      <c r="B227" s="58" t="n">
        <v>0.352261</v>
      </c>
      <c r="C227" s="13" t="inlineStr">
        <is>
          <t>Aproximação: IPCA anual 4.31% (IBGE) distribuído igualmente nos 12 meses</t>
        </is>
      </c>
      <c r="D227" s="57">
        <f>D226*(1+B227/100)</f>
        <v/>
      </c>
    </row>
    <row r="228">
      <c r="A228" s="16" t="n">
        <v>43647</v>
      </c>
      <c r="B228" s="58" t="n">
        <v>0.352261</v>
      </c>
      <c r="C228" s="13" t="inlineStr">
        <is>
          <t>Aproximação: IPCA anual 4.31% (IBGE) distribuído igualmente nos 12 meses</t>
        </is>
      </c>
      <c r="D228" s="57">
        <f>D227*(1+B228/100)</f>
        <v/>
      </c>
    </row>
    <row r="229">
      <c r="A229" s="16" t="n">
        <v>43678</v>
      </c>
      <c r="B229" s="58" t="n">
        <v>0.352261</v>
      </c>
      <c r="C229" s="13" t="inlineStr">
        <is>
          <t>Aproximação: IPCA anual 4.31% (IBGE) distribuído igualmente nos 12 meses</t>
        </is>
      </c>
      <c r="D229" s="57">
        <f>D228*(1+B229/100)</f>
        <v/>
      </c>
    </row>
    <row r="230">
      <c r="A230" s="16" t="n">
        <v>43709</v>
      </c>
      <c r="B230" s="58" t="n">
        <v>0.352261</v>
      </c>
      <c r="C230" s="13" t="inlineStr">
        <is>
          <t>Aproximação: IPCA anual 4.31% (IBGE) distribuído igualmente nos 12 meses</t>
        </is>
      </c>
      <c r="D230" s="57">
        <f>D229*(1+B230/100)</f>
        <v/>
      </c>
    </row>
    <row r="231">
      <c r="A231" s="16" t="n">
        <v>43739</v>
      </c>
      <c r="B231" s="58" t="n">
        <v>0.352261</v>
      </c>
      <c r="C231" s="13" t="inlineStr">
        <is>
          <t>Aproximação: IPCA anual 4.31% (IBGE) distribuído igualmente nos 12 meses</t>
        </is>
      </c>
      <c r="D231" s="57">
        <f>D230*(1+B231/100)</f>
        <v/>
      </c>
    </row>
    <row r="232">
      <c r="A232" s="16" t="n">
        <v>43770</v>
      </c>
      <c r="B232" s="58" t="n">
        <v>0.352261</v>
      </c>
      <c r="C232" s="13" t="inlineStr">
        <is>
          <t>Aproximação: IPCA anual 4.31% (IBGE) distribuído igualmente nos 12 meses</t>
        </is>
      </c>
      <c r="D232" s="57">
        <f>D231*(1+B232/100)</f>
        <v/>
      </c>
    </row>
    <row r="233">
      <c r="A233" s="16" t="n">
        <v>43800</v>
      </c>
      <c r="B233" s="58" t="n">
        <v>0.352261</v>
      </c>
      <c r="C233" s="13" t="inlineStr">
        <is>
          <t>Aproximação: IPCA anual 4.31% (IBGE) distribuído igualmente nos 12 meses</t>
        </is>
      </c>
      <c r="D233" s="57">
        <f>D232*(1+B233/100)</f>
        <v/>
      </c>
    </row>
    <row r="234">
      <c r="A234" s="16" t="n">
        <v>43831</v>
      </c>
      <c r="B234" s="58" t="n">
        <v>0.369082</v>
      </c>
      <c r="C234" s="13" t="inlineStr">
        <is>
          <t>Aproximação: IPCA anual 4.52% (IBGE) distribuído igualmente nos 12 meses</t>
        </is>
      </c>
      <c r="D234" s="57">
        <f>D233*(1+B234/100)</f>
        <v/>
      </c>
    </row>
    <row r="235">
      <c r="A235" s="16" t="n">
        <v>43862</v>
      </c>
      <c r="B235" s="58" t="n">
        <v>0.369082</v>
      </c>
      <c r="C235" s="13" t="inlineStr">
        <is>
          <t>Aproximação: IPCA anual 4.52% (IBGE) distribuído igualmente nos 12 meses</t>
        </is>
      </c>
      <c r="D235" s="57">
        <f>D234*(1+B235/100)</f>
        <v/>
      </c>
    </row>
    <row r="236">
      <c r="A236" s="16" t="n">
        <v>43891</v>
      </c>
      <c r="B236" s="58" t="n">
        <v>0.369082</v>
      </c>
      <c r="C236" s="13" t="inlineStr">
        <is>
          <t>Aproximação: IPCA anual 4.52% (IBGE) distribuído igualmente nos 12 meses</t>
        </is>
      </c>
      <c r="D236" s="57">
        <f>D235*(1+B236/100)</f>
        <v/>
      </c>
    </row>
    <row r="237">
      <c r="A237" s="16" t="n">
        <v>43922</v>
      </c>
      <c r="B237" s="58" t="n">
        <v>0.369082</v>
      </c>
      <c r="C237" s="13" t="inlineStr">
        <is>
          <t>Aproximação: IPCA anual 4.52% (IBGE) distribuído igualmente nos 12 meses</t>
        </is>
      </c>
      <c r="D237" s="57">
        <f>D236*(1+B237/100)</f>
        <v/>
      </c>
    </row>
    <row r="238">
      <c r="A238" s="16" t="n">
        <v>43952</v>
      </c>
      <c r="B238" s="58" t="n">
        <v>0.369082</v>
      </c>
      <c r="C238" s="13" t="inlineStr">
        <is>
          <t>Aproximação: IPCA anual 4.52% (IBGE) distribuído igualmente nos 12 meses</t>
        </is>
      </c>
      <c r="D238" s="57">
        <f>D237*(1+B238/100)</f>
        <v/>
      </c>
    </row>
    <row r="239">
      <c r="A239" s="16" t="n">
        <v>43983</v>
      </c>
      <c r="B239" s="58" t="n">
        <v>0.369082</v>
      </c>
      <c r="C239" s="13" t="inlineStr">
        <is>
          <t>Aproximação: IPCA anual 4.52% (IBGE) distribuído igualmente nos 12 meses</t>
        </is>
      </c>
      <c r="D239" s="57">
        <f>D238*(1+B239/100)</f>
        <v/>
      </c>
    </row>
    <row r="240">
      <c r="A240" s="16" t="n">
        <v>44013</v>
      </c>
      <c r="B240" s="58" t="n">
        <v>0.369082</v>
      </c>
      <c r="C240" s="13" t="inlineStr">
        <is>
          <t>Aproximação: IPCA anual 4.52% (IBGE) distribuído igualmente nos 12 meses</t>
        </is>
      </c>
      <c r="D240" s="57">
        <f>D239*(1+B240/100)</f>
        <v/>
      </c>
    </row>
    <row r="241">
      <c r="A241" s="16" t="n">
        <v>44044</v>
      </c>
      <c r="B241" s="58" t="n">
        <v>0.369082</v>
      </c>
      <c r="C241" s="13" t="inlineStr">
        <is>
          <t>Aproximação: IPCA anual 4.52% (IBGE) distribuído igualmente nos 12 meses</t>
        </is>
      </c>
      <c r="D241" s="57">
        <f>D240*(1+B241/100)</f>
        <v/>
      </c>
    </row>
    <row r="242">
      <c r="A242" s="16" t="n">
        <v>44075</v>
      </c>
      <c r="B242" s="58" t="n">
        <v>0.369082</v>
      </c>
      <c r="C242" s="13" t="inlineStr">
        <is>
          <t>Aproximação: IPCA anual 4.52% (IBGE) distribuído igualmente nos 12 meses</t>
        </is>
      </c>
      <c r="D242" s="57">
        <f>D241*(1+B242/100)</f>
        <v/>
      </c>
    </row>
    <row r="243">
      <c r="A243" s="16" t="n">
        <v>44105</v>
      </c>
      <c r="B243" s="58" t="n">
        <v>0.369082</v>
      </c>
      <c r="C243" s="13" t="inlineStr">
        <is>
          <t>Aproximação: IPCA anual 4.52% (IBGE) distribuído igualmente nos 12 meses</t>
        </is>
      </c>
      <c r="D243" s="57">
        <f>D242*(1+B243/100)</f>
        <v/>
      </c>
    </row>
    <row r="244">
      <c r="A244" s="16" t="n">
        <v>44136</v>
      </c>
      <c r="B244" s="58" t="n">
        <v>0.369082</v>
      </c>
      <c r="C244" s="13" t="inlineStr">
        <is>
          <t>Aproximação: IPCA anual 4.52% (IBGE) distribuído igualmente nos 12 meses</t>
        </is>
      </c>
      <c r="D244" s="57">
        <f>D243*(1+B244/100)</f>
        <v/>
      </c>
    </row>
    <row r="245">
      <c r="A245" s="16" t="n">
        <v>44166</v>
      </c>
      <c r="B245" s="58" t="n">
        <v>0.369082</v>
      </c>
      <c r="C245" s="13" t="inlineStr">
        <is>
          <t>Aproximação: IPCA anual 4.52% (IBGE) distribuído igualmente nos 12 meses</t>
        </is>
      </c>
      <c r="D245" s="57">
        <f>D244*(1+B245/100)</f>
        <v/>
      </c>
    </row>
    <row r="246">
      <c r="A246" s="16" t="n">
        <v>44197</v>
      </c>
      <c r="B246" s="58" t="n">
        <v>0.801995</v>
      </c>
      <c r="C246" s="13" t="inlineStr">
        <is>
          <t>Aproximação: IPCA anual 10.06% (IBGE) distribuído igualmente nos 12 meses</t>
        </is>
      </c>
      <c r="D246" s="57">
        <f>D245*(1+B246/100)</f>
        <v/>
      </c>
    </row>
    <row r="247">
      <c r="A247" s="16" t="n">
        <v>44228</v>
      </c>
      <c r="B247" s="58" t="n">
        <v>0.801995</v>
      </c>
      <c r="C247" s="13" t="inlineStr">
        <is>
          <t>Aproximação: IPCA anual 10.06% (IBGE) distribuído igualmente nos 12 meses</t>
        </is>
      </c>
      <c r="D247" s="57">
        <f>D246*(1+B247/100)</f>
        <v/>
      </c>
    </row>
    <row r="248">
      <c r="A248" s="16" t="n">
        <v>44256</v>
      </c>
      <c r="B248" s="58" t="n">
        <v>0.801995</v>
      </c>
      <c r="C248" s="13" t="inlineStr">
        <is>
          <t>Aproximação: IPCA anual 10.06% (IBGE) distribuído igualmente nos 12 meses</t>
        </is>
      </c>
      <c r="D248" s="57">
        <f>D247*(1+B248/100)</f>
        <v/>
      </c>
    </row>
    <row r="249">
      <c r="A249" s="16" t="n">
        <v>44287</v>
      </c>
      <c r="B249" s="58" t="n">
        <v>0.801995</v>
      </c>
      <c r="C249" s="13" t="inlineStr">
        <is>
          <t>Aproximação: IPCA anual 10.06% (IBGE) distribuído igualmente nos 12 meses</t>
        </is>
      </c>
      <c r="D249" s="57">
        <f>D248*(1+B249/100)</f>
        <v/>
      </c>
    </row>
    <row r="250">
      <c r="A250" s="16" t="n">
        <v>44317</v>
      </c>
      <c r="B250" s="58" t="n">
        <v>0.801995</v>
      </c>
      <c r="C250" s="13" t="inlineStr">
        <is>
          <t>Aproximação: IPCA anual 10.06% (IBGE) distribuído igualmente nos 12 meses</t>
        </is>
      </c>
      <c r="D250" s="57">
        <f>D249*(1+B250/100)</f>
        <v/>
      </c>
    </row>
    <row r="251">
      <c r="A251" s="16" t="n">
        <v>44348</v>
      </c>
      <c r="B251" s="58" t="n">
        <v>0.801995</v>
      </c>
      <c r="C251" s="13" t="inlineStr">
        <is>
          <t>Aproximação: IPCA anual 10.06% (IBGE) distribuído igualmente nos 12 meses</t>
        </is>
      </c>
      <c r="D251" s="57">
        <f>D250*(1+B251/100)</f>
        <v/>
      </c>
    </row>
    <row r="252">
      <c r="A252" s="16" t="n">
        <v>44378</v>
      </c>
      <c r="B252" s="58" t="n">
        <v>0.801995</v>
      </c>
      <c r="C252" s="13" t="inlineStr">
        <is>
          <t>Aproximação: IPCA anual 10.06% (IBGE) distribuído igualmente nos 12 meses</t>
        </is>
      </c>
      <c r="D252" s="57">
        <f>D251*(1+B252/100)</f>
        <v/>
      </c>
    </row>
    <row r="253">
      <c r="A253" s="16" t="n">
        <v>44409</v>
      </c>
      <c r="B253" s="58" t="n">
        <v>0.801995</v>
      </c>
      <c r="C253" s="13" t="inlineStr">
        <is>
          <t>Aproximação: IPCA anual 10.06% (IBGE) distribuído igualmente nos 12 meses</t>
        </is>
      </c>
      <c r="D253" s="57">
        <f>D252*(1+B253/100)</f>
        <v/>
      </c>
    </row>
    <row r="254">
      <c r="A254" s="16" t="n">
        <v>44440</v>
      </c>
      <c r="B254" s="58" t="n">
        <v>0.801995</v>
      </c>
      <c r="C254" s="13" t="inlineStr">
        <is>
          <t>Aproximação: IPCA anual 10.06% (IBGE) distribuído igualmente nos 12 meses</t>
        </is>
      </c>
      <c r="D254" s="57">
        <f>D253*(1+B254/100)</f>
        <v/>
      </c>
    </row>
    <row r="255">
      <c r="A255" s="16" t="n">
        <v>44470</v>
      </c>
      <c r="B255" s="58" t="n">
        <v>0.801995</v>
      </c>
      <c r="C255" s="13" t="inlineStr">
        <is>
          <t>Aproximação: IPCA anual 10.06% (IBGE) distribuído igualmente nos 12 meses</t>
        </is>
      </c>
      <c r="D255" s="57">
        <f>D254*(1+B255/100)</f>
        <v/>
      </c>
    </row>
    <row r="256">
      <c r="A256" s="16" t="n">
        <v>44501</v>
      </c>
      <c r="B256" s="58" t="n">
        <v>0.801995</v>
      </c>
      <c r="C256" s="13" t="inlineStr">
        <is>
          <t>Aproximação: IPCA anual 10.06% (IBGE) distribuído igualmente nos 12 meses</t>
        </is>
      </c>
      <c r="D256" s="57">
        <f>D255*(1+B256/100)</f>
        <v/>
      </c>
    </row>
    <row r="257">
      <c r="A257" s="16" t="n">
        <v>44531</v>
      </c>
      <c r="B257" s="58" t="n">
        <v>0.801995</v>
      </c>
      <c r="C257" s="13" t="inlineStr">
        <is>
          <t>Aproximação: IPCA anual 10.06% (IBGE) distribuído igualmente nos 12 meses</t>
        </is>
      </c>
      <c r="D257" s="57">
        <f>D256*(1+B257/100)</f>
        <v/>
      </c>
    </row>
    <row r="258">
      <c r="A258" s="16" t="n">
        <v>44562</v>
      </c>
      <c r="B258" s="58" t="n">
        <v>0.47015</v>
      </c>
      <c r="C258" s="13" t="inlineStr">
        <is>
          <t>Aproximação: IPCA anual 5.79% (IBGE) distribuído igualmente nos 12 meses</t>
        </is>
      </c>
      <c r="D258" s="57">
        <f>D257*(1+B258/100)</f>
        <v/>
      </c>
    </row>
    <row r="259">
      <c r="A259" s="16" t="n">
        <v>44593</v>
      </c>
      <c r="B259" s="58" t="n">
        <v>0.47015</v>
      </c>
      <c r="C259" s="13" t="inlineStr">
        <is>
          <t>Aproximação: IPCA anual 5.79% (IBGE) distribuído igualmente nos 12 meses</t>
        </is>
      </c>
      <c r="D259" s="57">
        <f>D258*(1+B259/100)</f>
        <v/>
      </c>
    </row>
    <row r="260">
      <c r="A260" s="16" t="n">
        <v>44621</v>
      </c>
      <c r="B260" s="58" t="n">
        <v>0.47015</v>
      </c>
      <c r="C260" s="13" t="inlineStr">
        <is>
          <t>Aproximação: IPCA anual 5.79% (IBGE) distribuído igualmente nos 12 meses</t>
        </is>
      </c>
      <c r="D260" s="57">
        <f>D259*(1+B260/100)</f>
        <v/>
      </c>
    </row>
    <row r="261">
      <c r="A261" s="16" t="n">
        <v>44652</v>
      </c>
      <c r="B261" s="58" t="n">
        <v>0.47015</v>
      </c>
      <c r="C261" s="13" t="inlineStr">
        <is>
          <t>Aproximação: IPCA anual 5.79% (IBGE) distribuído igualmente nos 12 meses</t>
        </is>
      </c>
      <c r="D261" s="57">
        <f>D260*(1+B261/100)</f>
        <v/>
      </c>
    </row>
    <row r="262">
      <c r="A262" s="16" t="n">
        <v>44682</v>
      </c>
      <c r="B262" s="58" t="n">
        <v>0.47015</v>
      </c>
      <c r="C262" s="13" t="inlineStr">
        <is>
          <t>Aproximação: IPCA anual 5.79% (IBGE) distribuído igualmente nos 12 meses</t>
        </is>
      </c>
      <c r="D262" s="57">
        <f>D261*(1+B262/100)</f>
        <v/>
      </c>
    </row>
    <row r="263">
      <c r="A263" s="16" t="n">
        <v>44713</v>
      </c>
      <c r="B263" s="58" t="n">
        <v>0.47015</v>
      </c>
      <c r="C263" s="13" t="inlineStr">
        <is>
          <t>Aproximação: IPCA anual 5.79% (IBGE) distribuído igualmente nos 12 meses</t>
        </is>
      </c>
      <c r="D263" s="57">
        <f>D262*(1+B263/100)</f>
        <v/>
      </c>
    </row>
    <row r="264">
      <c r="A264" s="16" t="n">
        <v>44743</v>
      </c>
      <c r="B264" s="58" t="n">
        <v>0.47015</v>
      </c>
      <c r="C264" s="13" t="inlineStr">
        <is>
          <t>Aproximação: IPCA anual 5.79% (IBGE) distribuído igualmente nos 12 meses</t>
        </is>
      </c>
      <c r="D264" s="57">
        <f>D263*(1+B264/100)</f>
        <v/>
      </c>
    </row>
    <row r="265">
      <c r="A265" s="16" t="n">
        <v>44774</v>
      </c>
      <c r="B265" s="58" t="n">
        <v>0.47015</v>
      </c>
      <c r="C265" s="13" t="inlineStr">
        <is>
          <t>Aproximação: IPCA anual 5.79% (IBGE) distribuído igualmente nos 12 meses</t>
        </is>
      </c>
      <c r="D265" s="57">
        <f>D264*(1+B265/100)</f>
        <v/>
      </c>
    </row>
    <row r="266">
      <c r="A266" s="16" t="n">
        <v>44805</v>
      </c>
      <c r="B266" s="58" t="n">
        <v>0.47015</v>
      </c>
      <c r="C266" s="13" t="inlineStr">
        <is>
          <t>Aproximação: IPCA anual 5.79% (IBGE) distribuído igualmente nos 12 meses</t>
        </is>
      </c>
      <c r="D266" s="57">
        <f>D265*(1+B266/100)</f>
        <v/>
      </c>
    </row>
    <row r="267">
      <c r="A267" s="16" t="n">
        <v>44835</v>
      </c>
      <c r="B267" s="58" t="n">
        <v>0.47015</v>
      </c>
      <c r="C267" s="13" t="inlineStr">
        <is>
          <t>Aproximação: IPCA anual 5.79% (IBGE) distribuído igualmente nos 12 meses</t>
        </is>
      </c>
      <c r="D267" s="57">
        <f>D266*(1+B267/100)</f>
        <v/>
      </c>
    </row>
    <row r="268">
      <c r="A268" s="16" t="n">
        <v>44866</v>
      </c>
      <c r="B268" s="58" t="n">
        <v>0.47015</v>
      </c>
      <c r="C268" s="13" t="inlineStr">
        <is>
          <t>Aproximação: IPCA anual 5.79% (IBGE) distribuído igualmente nos 12 meses</t>
        </is>
      </c>
      <c r="D268" s="57">
        <f>D267*(1+B268/100)</f>
        <v/>
      </c>
    </row>
    <row r="269">
      <c r="A269" s="16" t="n">
        <v>44896</v>
      </c>
      <c r="B269" s="58" t="n">
        <v>0.47015</v>
      </c>
      <c r="C269" s="13" t="inlineStr">
        <is>
          <t>Aproximação: IPCA anual 5.79% (IBGE) distribuído igualmente nos 12 meses</t>
        </is>
      </c>
      <c r="D269" s="57">
        <f>D268*(1+B269/100)</f>
        <v/>
      </c>
    </row>
    <row r="270">
      <c r="A270" s="16" t="n">
        <v>44927</v>
      </c>
      <c r="B270" s="58" t="n">
        <v>0.37708</v>
      </c>
      <c r="C270" s="13" t="inlineStr">
        <is>
          <t>Aproximação: IPCA anual 4.62% (IBGE) distribuído igualmente nos 12 meses</t>
        </is>
      </c>
      <c r="D270" s="57">
        <f>D269*(1+B270/100)</f>
        <v/>
      </c>
    </row>
    <row r="271">
      <c r="A271" s="16" t="n">
        <v>44958</v>
      </c>
      <c r="B271" s="58" t="n">
        <v>0.37708</v>
      </c>
      <c r="C271" s="13" t="inlineStr">
        <is>
          <t>Aproximação: IPCA anual 4.62% (IBGE) distribuído igualmente nos 12 meses</t>
        </is>
      </c>
      <c r="D271" s="57">
        <f>D270*(1+B271/100)</f>
        <v/>
      </c>
    </row>
    <row r="272">
      <c r="A272" s="16" t="n">
        <v>44986</v>
      </c>
      <c r="B272" s="58" t="n">
        <v>0.37708</v>
      </c>
      <c r="C272" s="13" t="inlineStr">
        <is>
          <t>Aproximação: IPCA anual 4.62% (IBGE) distribuído igualmente nos 12 meses</t>
        </is>
      </c>
      <c r="D272" s="57">
        <f>D271*(1+B272/100)</f>
        <v/>
      </c>
    </row>
    <row r="273">
      <c r="A273" s="16" t="n">
        <v>45017</v>
      </c>
      <c r="B273" s="58" t="n">
        <v>0.37708</v>
      </c>
      <c r="C273" s="13" t="inlineStr">
        <is>
          <t>Aproximação: IPCA anual 4.62% (IBGE) distribuído igualmente nos 12 meses</t>
        </is>
      </c>
      <c r="D273" s="57">
        <f>D272*(1+B273/100)</f>
        <v/>
      </c>
    </row>
    <row r="274">
      <c r="A274" s="16" t="n">
        <v>45047</v>
      </c>
      <c r="B274" s="58" t="n">
        <v>0.37708</v>
      </c>
      <c r="C274" s="13" t="inlineStr">
        <is>
          <t>Aproximação: IPCA anual 4.62% (IBGE) distribuído igualmente nos 12 meses</t>
        </is>
      </c>
      <c r="D274" s="57">
        <f>D273*(1+B274/100)</f>
        <v/>
      </c>
    </row>
    <row r="275">
      <c r="A275" s="16" t="n">
        <v>45078</v>
      </c>
      <c r="B275" s="58" t="n">
        <v>0.37708</v>
      </c>
      <c r="C275" s="13" t="inlineStr">
        <is>
          <t>Aproximação: IPCA anual 4.62% (IBGE) distribuído igualmente nos 12 meses</t>
        </is>
      </c>
      <c r="D275" s="57">
        <f>D274*(1+B275/100)</f>
        <v/>
      </c>
    </row>
    <row r="276">
      <c r="A276" s="16" t="n">
        <v>45108</v>
      </c>
      <c r="B276" s="58" t="n">
        <v>0.37708</v>
      </c>
      <c r="C276" s="13" t="inlineStr">
        <is>
          <t>Aproximação: IPCA anual 4.62% (IBGE) distribuído igualmente nos 12 meses</t>
        </is>
      </c>
      <c r="D276" s="57">
        <f>D275*(1+B276/100)</f>
        <v/>
      </c>
    </row>
    <row r="277">
      <c r="A277" s="16" t="n">
        <v>45139</v>
      </c>
      <c r="B277" s="58" t="n">
        <v>0.37708</v>
      </c>
      <c r="C277" s="13" t="inlineStr">
        <is>
          <t>Aproximação: IPCA anual 4.62% (IBGE) distribuído igualmente nos 12 meses</t>
        </is>
      </c>
      <c r="D277" s="57">
        <f>D276*(1+B277/100)</f>
        <v/>
      </c>
    </row>
    <row r="278">
      <c r="A278" s="16" t="n">
        <v>45170</v>
      </c>
      <c r="B278" s="58" t="n">
        <v>0.37708</v>
      </c>
      <c r="C278" s="13" t="inlineStr">
        <is>
          <t>Aproximação: IPCA anual 4.62% (IBGE) distribuído igualmente nos 12 meses</t>
        </is>
      </c>
      <c r="D278" s="57">
        <f>D277*(1+B278/100)</f>
        <v/>
      </c>
    </row>
    <row r="279">
      <c r="A279" s="16" t="n">
        <v>45200</v>
      </c>
      <c r="B279" s="58" t="n">
        <v>0.37708</v>
      </c>
      <c r="C279" s="13" t="inlineStr">
        <is>
          <t>Aproximação: IPCA anual 4.62% (IBGE) distribuído igualmente nos 12 meses</t>
        </is>
      </c>
      <c r="D279" s="57">
        <f>D278*(1+B279/100)</f>
        <v/>
      </c>
    </row>
    <row r="280">
      <c r="A280" s="16" t="n">
        <v>45231</v>
      </c>
      <c r="B280" s="58" t="n">
        <v>0.37708</v>
      </c>
      <c r="C280" s="13" t="inlineStr">
        <is>
          <t>Aproximação: IPCA anual 4.62% (IBGE) distribuído igualmente nos 12 meses</t>
        </is>
      </c>
      <c r="D280" s="57">
        <f>D279*(1+B280/100)</f>
        <v/>
      </c>
    </row>
    <row r="281">
      <c r="A281" s="16" t="n">
        <v>45261</v>
      </c>
      <c r="B281" s="58" t="n">
        <v>0.37708</v>
      </c>
      <c r="C281" s="13" t="inlineStr">
        <is>
          <t>Aproximação: IPCA anual 4.62% (IBGE) distribuído igualmente nos 12 meses</t>
        </is>
      </c>
      <c r="D281" s="57">
        <f>D280*(1+B281/100)</f>
        <v/>
      </c>
    </row>
    <row r="282">
      <c r="A282" s="16" t="n">
        <v>45292</v>
      </c>
      <c r="B282" s="58" t="n">
        <v>0.393855</v>
      </c>
      <c r="C282" s="13" t="inlineStr">
        <is>
          <t>Aproximação: IPCA anual 4.83% (IBGE) distribuído igualmente nos 12 meses</t>
        </is>
      </c>
      <c r="D282" s="57">
        <f>D281*(1+B282/100)</f>
        <v/>
      </c>
    </row>
    <row r="283">
      <c r="A283" s="16" t="n">
        <v>45323</v>
      </c>
      <c r="B283" s="58" t="n">
        <v>0.393855</v>
      </c>
      <c r="C283" s="13" t="inlineStr">
        <is>
          <t>Aproximação: IPCA anual 4.83% (IBGE) distribuído igualmente nos 12 meses</t>
        </is>
      </c>
      <c r="D283" s="57">
        <f>D282*(1+B283/100)</f>
        <v/>
      </c>
    </row>
    <row r="284">
      <c r="A284" s="16" t="n">
        <v>45352</v>
      </c>
      <c r="B284" s="58" t="n">
        <v>0.393855</v>
      </c>
      <c r="C284" s="13" t="inlineStr">
        <is>
          <t>Aproximação: IPCA anual 4.83% (IBGE) distribuído igualmente nos 12 meses</t>
        </is>
      </c>
      <c r="D284" s="57">
        <f>D283*(1+B284/100)</f>
        <v/>
      </c>
    </row>
    <row r="285">
      <c r="A285" s="16" t="n">
        <v>45383</v>
      </c>
      <c r="B285" s="58" t="n">
        <v>0.393855</v>
      </c>
      <c r="C285" s="13" t="inlineStr">
        <is>
          <t>Aproximação: IPCA anual 4.83% (IBGE) distribuído igualmente nos 12 meses</t>
        </is>
      </c>
      <c r="D285" s="57">
        <f>D284*(1+B285/100)</f>
        <v/>
      </c>
    </row>
    <row r="286">
      <c r="A286" s="16" t="n">
        <v>45413</v>
      </c>
      <c r="B286" s="58" t="n">
        <v>0.393855</v>
      </c>
      <c r="C286" s="13" t="inlineStr">
        <is>
          <t>Aproximação: IPCA anual 4.83% (IBGE) distribuído igualmente nos 12 meses</t>
        </is>
      </c>
      <c r="D286" s="57">
        <f>D285*(1+B286/100)</f>
        <v/>
      </c>
    </row>
    <row r="287">
      <c r="A287" s="16" t="n">
        <v>45444</v>
      </c>
      <c r="B287" s="58" t="n">
        <v>0.393855</v>
      </c>
      <c r="C287" s="13" t="inlineStr">
        <is>
          <t>Aproximação: IPCA anual 4.83% (IBGE) distribuído igualmente nos 12 meses</t>
        </is>
      </c>
      <c r="D287" s="57">
        <f>D286*(1+B287/100)</f>
        <v/>
      </c>
    </row>
    <row r="288">
      <c r="A288" s="16" t="n">
        <v>45474</v>
      </c>
      <c r="B288" s="58" t="n">
        <v>0.393855</v>
      </c>
      <c r="C288" s="13" t="inlineStr">
        <is>
          <t>Aproximação: IPCA anual 4.83% (IBGE) distribuído igualmente nos 12 meses</t>
        </is>
      </c>
      <c r="D288" s="57">
        <f>D287*(1+B288/100)</f>
        <v/>
      </c>
    </row>
    <row r="289">
      <c r="A289" s="16" t="n">
        <v>45505</v>
      </c>
      <c r="B289" s="58" t="n">
        <v>0.393855</v>
      </c>
      <c r="C289" s="13" t="inlineStr">
        <is>
          <t>Aproximação: IPCA anual 4.83% (IBGE) distribuído igualmente nos 12 meses</t>
        </is>
      </c>
      <c r="D289" s="57">
        <f>D288*(1+B289/100)</f>
        <v/>
      </c>
    </row>
    <row r="290">
      <c r="A290" s="16" t="n">
        <v>45536</v>
      </c>
      <c r="B290" s="58" t="n">
        <v>0.393855</v>
      </c>
      <c r="C290" s="13" t="inlineStr">
        <is>
          <t>Aproximação: IPCA anual 4.83% (IBGE) distribuído igualmente nos 12 meses</t>
        </is>
      </c>
      <c r="D290" s="57">
        <f>D289*(1+B290/100)</f>
        <v/>
      </c>
    </row>
    <row r="291">
      <c r="A291" s="16" t="n">
        <v>45566</v>
      </c>
      <c r="B291" s="58" t="n">
        <v>0.393855</v>
      </c>
      <c r="C291" s="13" t="inlineStr">
        <is>
          <t>Aproximação: IPCA anual 4.83% (IBGE) distribuído igualmente nos 12 meses</t>
        </is>
      </c>
      <c r="D291" s="57">
        <f>D290*(1+B291/100)</f>
        <v/>
      </c>
    </row>
    <row r="292">
      <c r="A292" s="16" t="n">
        <v>45597</v>
      </c>
      <c r="B292" s="58" t="n">
        <v>0.393855</v>
      </c>
      <c r="C292" s="13" t="inlineStr">
        <is>
          <t>Aproximação: IPCA anual 4.83% (IBGE) distribuído igualmente nos 12 meses</t>
        </is>
      </c>
      <c r="D292" s="57">
        <f>D291*(1+B292/100)</f>
        <v/>
      </c>
    </row>
    <row r="293">
      <c r="A293" s="16" t="n">
        <v>45627</v>
      </c>
      <c r="B293" s="58" t="n">
        <v>0.393855</v>
      </c>
      <c r="C293" s="13" t="inlineStr">
        <is>
          <t>Aproximação: IPCA anual 4.83% (IBGE) distribuído igualmente nos 12 meses</t>
        </is>
      </c>
      <c r="D293" s="57">
        <f>D292*(1+B293/100)</f>
        <v/>
      </c>
    </row>
    <row r="294">
      <c r="A294" s="16" t="n">
        <v>45658</v>
      </c>
      <c r="B294" s="58" t="n">
        <v>0.348252</v>
      </c>
      <c r="C294" s="13" t="inlineStr">
        <is>
          <t>Aproximação: IPCA anual 4.26% (IBGE) distribuído igualmente nos 12 meses</t>
        </is>
      </c>
      <c r="D294" s="57">
        <f>D293*(1+B294/100)</f>
        <v/>
      </c>
    </row>
    <row r="295">
      <c r="A295" s="16" t="n">
        <v>45689</v>
      </c>
      <c r="B295" s="58" t="n">
        <v>0.348252</v>
      </c>
      <c r="C295" s="13" t="inlineStr">
        <is>
          <t>Aproximação: IPCA anual 4.26% (IBGE) distribuído igualmente nos 12 meses</t>
        </is>
      </c>
      <c r="D295" s="57">
        <f>D294*(1+B295/100)</f>
        <v/>
      </c>
    </row>
    <row r="296">
      <c r="A296" s="16" t="n">
        <v>45717</v>
      </c>
      <c r="B296" s="58" t="n">
        <v>0.348252</v>
      </c>
      <c r="C296" s="13" t="inlineStr">
        <is>
          <t>Aproximação: IPCA anual 4.26% (IBGE) distribuído igualmente nos 12 meses</t>
        </is>
      </c>
      <c r="D296" s="57">
        <f>D295*(1+B296/100)</f>
        <v/>
      </c>
    </row>
    <row r="297">
      <c r="A297" s="16" t="n">
        <v>45748</v>
      </c>
      <c r="B297" s="58" t="n">
        <v>0.348252</v>
      </c>
      <c r="C297" s="13" t="inlineStr">
        <is>
          <t>Aproximação: IPCA anual 4.26% (IBGE) distribuído igualmente nos 12 meses</t>
        </is>
      </c>
      <c r="D297" s="57">
        <f>D296*(1+B297/100)</f>
        <v/>
      </c>
    </row>
    <row r="298">
      <c r="A298" s="16" t="n">
        <v>45778</v>
      </c>
      <c r="B298" s="58" t="n">
        <v>0.348252</v>
      </c>
      <c r="C298" s="13" t="inlineStr">
        <is>
          <t>Aproximação: IPCA anual 4.26% (IBGE) distribuído igualmente nos 12 meses</t>
        </is>
      </c>
      <c r="D298" s="57">
        <f>D297*(1+B298/100)</f>
        <v/>
      </c>
    </row>
    <row r="299">
      <c r="A299" s="16" t="n">
        <v>45809</v>
      </c>
      <c r="B299" s="58" t="n">
        <v>0.348252</v>
      </c>
      <c r="C299" s="13" t="inlineStr">
        <is>
          <t>Aproximação: IPCA anual 4.26% (IBGE) distribuído igualmente nos 12 meses</t>
        </is>
      </c>
      <c r="D299" s="57">
        <f>D298*(1+B299/100)</f>
        <v/>
      </c>
    </row>
    <row r="300">
      <c r="A300" s="16" t="n">
        <v>45839</v>
      </c>
      <c r="B300" s="58" t="n">
        <v>0.348252</v>
      </c>
      <c r="C300" s="13" t="inlineStr">
        <is>
          <t>Aproximação: IPCA anual 4.26% (IBGE) distribuído igualmente nos 12 meses</t>
        </is>
      </c>
      <c r="D300" s="57">
        <f>D299*(1+B300/100)</f>
        <v/>
      </c>
    </row>
    <row r="301">
      <c r="A301" s="16" t="n">
        <v>45870</v>
      </c>
      <c r="B301" s="58" t="n">
        <v>0.348252</v>
      </c>
      <c r="C301" s="13" t="inlineStr">
        <is>
          <t>Aproximação: IPCA anual 4.26% (IBGE) distribuído igualmente nos 12 meses</t>
        </is>
      </c>
      <c r="D301" s="57">
        <f>D300*(1+B301/100)</f>
        <v/>
      </c>
    </row>
    <row r="302">
      <c r="A302" s="16" t="n">
        <v>45901</v>
      </c>
      <c r="B302" s="58" t="n">
        <v>0.348252</v>
      </c>
      <c r="C302" s="13" t="inlineStr">
        <is>
          <t>Aproximação: IPCA anual 4.26% (IBGE) distribuído igualmente nos 12 meses</t>
        </is>
      </c>
      <c r="D302" s="57">
        <f>D301*(1+B302/100)</f>
        <v/>
      </c>
    </row>
    <row r="303">
      <c r="A303" s="16" t="n">
        <v>45931</v>
      </c>
      <c r="B303" s="58" t="n">
        <v>0.348252</v>
      </c>
      <c r="C303" s="13" t="inlineStr">
        <is>
          <t>Aproximação: IPCA anual 4.26% (IBGE) distribuído igualmente nos 12 meses</t>
        </is>
      </c>
      <c r="D303" s="57">
        <f>D302*(1+B303/100)</f>
        <v/>
      </c>
    </row>
    <row r="304">
      <c r="A304" s="16" t="n">
        <v>45962</v>
      </c>
      <c r="B304" s="58" t="n">
        <v>0.348252</v>
      </c>
      <c r="C304" s="13" t="inlineStr">
        <is>
          <t>Aproximação: IPCA anual 4.26% (IBGE) distribuído igualmente nos 12 meses</t>
        </is>
      </c>
      <c r="D304" s="57">
        <f>D303*(1+B304/100)</f>
        <v/>
      </c>
    </row>
    <row r="305">
      <c r="A305" s="16" t="n">
        <v>45992</v>
      </c>
      <c r="B305" s="58" t="n">
        <v>0.348252</v>
      </c>
      <c r="C305" s="13" t="inlineStr">
        <is>
          <t>Aproximação: IPCA anual 4.26% (IBGE) distribuído igualmente nos 12 meses</t>
        </is>
      </c>
      <c r="D305" s="57">
        <f>D304*(1+B305/100)</f>
        <v/>
      </c>
    </row>
    <row r="306">
      <c r="A306" s="16" t="n">
        <v>46023</v>
      </c>
      <c r="B306" s="58" t="n">
        <v>0.33</v>
      </c>
      <c r="C306" s="13" t="inlineStr">
        <is>
          <t>IBGE - mensal oficial</t>
        </is>
      </c>
      <c r="D306" s="57">
        <f>D305*(1+B306/100)</f>
        <v/>
      </c>
    </row>
    <row r="307">
      <c r="A307" s="16" t="n">
        <v>46054</v>
      </c>
      <c r="B307" s="58" t="n">
        <v>0.7</v>
      </c>
      <c r="C307" s="13" t="inlineStr">
        <is>
          <t>IBGE - mensal oficial</t>
        </is>
      </c>
      <c r="D307" s="57">
        <f>D306*(1+B307/100)</f>
        <v/>
      </c>
    </row>
    <row r="308">
      <c r="A308" s="16" t="n">
        <v>46082</v>
      </c>
      <c r="B308" s="58" t="n">
        <v>0.88</v>
      </c>
      <c r="C308" s="13" t="inlineStr">
        <is>
          <t>IBGE - mensal oficial</t>
        </is>
      </c>
      <c r="D308" s="57">
        <f>D307*(1+B308/100)</f>
        <v/>
      </c>
    </row>
    <row r="309">
      <c r="A309" s="16" t="n">
        <v>46113</v>
      </c>
      <c r="B309" s="58" t="n">
        <v>0.67</v>
      </c>
      <c r="C309" s="13" t="inlineStr">
        <is>
          <t>IBGE - mensal oficial</t>
        </is>
      </c>
      <c r="D309" s="57">
        <f>D308*(1+B309/100)</f>
        <v/>
      </c>
    </row>
    <row r="310">
      <c r="A310" s="16" t="n">
        <v>46143</v>
      </c>
      <c r="B310" s="58" t="n">
        <v>0.58</v>
      </c>
      <c r="C310" s="13" t="inlineStr">
        <is>
          <t>IBGE - mensal oficial</t>
        </is>
      </c>
      <c r="D310" s="57">
        <f>D309*(1+B310/100)</f>
        <v/>
      </c>
    </row>
    <row r="311">
      <c r="A311" s="16" t="n">
        <v>46174</v>
      </c>
      <c r="B311" s="58" t="n">
        <v>0.16</v>
      </c>
      <c r="C311" s="13" t="inlineStr">
        <is>
          <t>IBGE - mensal oficial</t>
        </is>
      </c>
      <c r="D311" s="57">
        <f>D310*(1+B311/100)</f>
        <v/>
      </c>
    </row>
    <row r="312">
      <c r="A312" s="16" t="n">
        <v>46204</v>
      </c>
      <c r="B312" s="58" t="n">
        <v>0.07000000000000001</v>
      </c>
      <c r="C312" s="13" t="inlineStr">
        <is>
          <t>IBGE - mensal oficial</t>
        </is>
      </c>
      <c r="D312" s="57">
        <f>D311*(1+B312/100)</f>
        <v/>
      </c>
    </row>
    <row r="313">
      <c r="A313" s="16" t="n">
        <v>46235</v>
      </c>
      <c r="B313" s="58" t="n">
        <v>-0.32</v>
      </c>
      <c r="C313" s="13" t="inlineStr">
        <is>
          <t>IBGE - mensal oficial</t>
        </is>
      </c>
      <c r="D313" s="57">
        <f>D312*(1+B313/100)</f>
        <v/>
      </c>
    </row>
    <row r="315">
      <c r="A315" s="59" t="inlineStr">
        <is>
          <t>Conferência 2026 (IBGE): jan-abr acumulado 2,60%; jan-ago acumulado 3,11%. 2025 fechou em 4,26%.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0" t="inlineStr">
        <is>
          <t>COMO FOI FEITO</t>
        </is>
      </c>
    </row>
    <row r="2">
      <c r="A2" s="61" t="inlineStr">
        <is>
          <t>- Coluna D (FINAL) = extrato real sempre que existe. Valor original da base preservado na coluna F.</t>
        </is>
      </c>
    </row>
    <row r="3">
      <c r="A3" s="61" t="inlineStr">
        <is>
          <t>- Extratos reais usados (Conta Corrente dos Representantes, só linhas TENDA): MFRUGIS05, 06, 08, 09, 10 e FRUGIS5 (2012 e jan/2013). Soma de cada extrato confere com o "Saldo do Periodo" impresso. FRUGIS1/FRUGIS2 são cópias do FRUGIS5 (não duplicados). FRUGIS.XLS e MFRUGIS11 não têm Tenda.</t>
        </is>
      </c>
    </row>
    <row r="4">
      <c r="A4" s="61" t="inlineStr">
        <is>
          <t>- 2008 inclui o ajuste "DIF PERCENTUAL" (correção do % do Tenda); 2009 inclui a parte proporcional do "DIFERENCA".</t>
        </is>
      </c>
    </row>
    <row r="5">
      <c r="A5" s="61" t="inlineStr">
        <is>
          <t>- Regra: pagamento do dia 15 = comissão do mês anterior (confere com 15/12/2005, 15/12/2006 e 15/12/2008).</t>
        </is>
      </c>
    </row>
    <row r="6">
      <c r="A6" s="61" t="inlineStr">
        <is>
          <t>- 2007 (sem extrato): 2008 real ÷ (1 + IPCA 2008 = 5,90%).</t>
        </is>
      </c>
    </row>
    <row r="7">
      <c r="A7" s="61" t="inlineStr">
        <is>
          <t>- Mantidos da base (sem extrato): pagamentos de 2001 a jan/2005 e de nov/2010 a jan/2012.</t>
        </is>
      </c>
    </row>
    <row r="8">
      <c r="A8" s="61" t="inlineStr">
        <is>
          <t>- Complementado fev/2012 a ago/2026: extrato real até fev/2013; estimativa de mar/2013 a jun/2017 (média com variação); contas a pagar (pago à Frugis) a partir de jul/2017.</t>
        </is>
      </c>
    </row>
    <row r="9">
      <c r="A9" s="61" t="inlineStr">
        <is>
          <t>- Valores estimados não são dados reais: identificar como estimativa no distrato.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Miqueias Carvalho</dc:creator>
  <dcterms:created xsi:type="dcterms:W3CDTF">2026-09-29T19:32:26Z</dcterms:created>
  <dcterms:modified xsi:type="dcterms:W3CDTF">2026-09-30T03:37:51Z</dcterms:modified>
  <cp:lastModifiedBy>Miqueias Carvalho</cp:lastModifiedBy>
</cp:coreProperties>
</file>