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al" sheetId="1" state="visible" r:id="rId1"/>
    <sheet name="Origem dos Valores" sheetId="2" state="visible" r:id="rId2"/>
    <sheet name="Resumo Anual" sheetId="3" state="visible" r:id="rId3"/>
    <sheet name="Distrato" sheetId="4" state="visible" r:id="rId4"/>
    <sheet name="Estimativas" sheetId="5" state="visible" r:id="rId5"/>
    <sheet name="Lancamentos" sheetId="6" state="visible" r:id="rId6"/>
    <sheet name="ContaCorrente" sheetId="7" state="visible" r:id="rId7"/>
    <sheet name="Notas" sheetId="8" state="visible" r:id="rId8"/>
  </sheets>
  <definedNames>
    <definedName name="_xlnm._FilterDatabase" localSheetId="5" hidden="1">'Lancamentos'!$A$1:$L$2342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mm/yyyy"/>
    <numFmt numFmtId="167" formatCode="#,##0.00;[Red]-#,##0.00;&quot;-&quot;"/>
    <numFmt numFmtId="168" formatCode="0.0%"/>
    <numFmt numFmtId="169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</font>
    <font>
      <name val="Arial"/>
      <b val="1"/>
    </font>
    <font>
      <name val="Arial"/>
      <b val="1"/>
      <sz val="13"/>
    </font>
    <font>
      <name val="Arial"/>
      <i val="1"/>
      <color rgb="00595959"/>
    </font>
    <font>
      <name val="Arial"/>
      <color rgb="00008000"/>
    </font>
    <font>
      <name val="Arial"/>
      <i val="1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6" fontId="2" fillId="0" borderId="1" pivotButton="0" quotePrefix="0" xfId="0"/>
    <xf numFmtId="0" fontId="3" fillId="0" borderId="1" pivotButton="0" quotePrefix="0" xfId="0"/>
    <xf numFmtId="167" fontId="3" fillId="0" borderId="1" pivotButton="0" quotePrefix="0" xfId="0"/>
    <xf numFmtId="167" fontId="7" fillId="0" borderId="1" pivotButton="0" quotePrefix="0" xfId="0"/>
    <xf numFmtId="168" fontId="3" fillId="0" borderId="1" pivotButton="0" quotePrefix="0" xfId="0"/>
    <xf numFmtId="166" fontId="2" fillId="4" borderId="1" pivotButton="0" quotePrefix="0" xfId="0"/>
    <xf numFmtId="0" fontId="3" fillId="4" borderId="1" pivotButton="0" quotePrefix="0" xfId="0"/>
    <xf numFmtId="167" fontId="3" fillId="4" borderId="1" pivotButton="0" quotePrefix="0" xfId="0"/>
    <xf numFmtId="167" fontId="7" fillId="4" borderId="1" pivotButton="0" quotePrefix="0" xfId="0"/>
    <xf numFmtId="168" fontId="3" fillId="4" borderId="1" pivotButton="0" quotePrefix="0" xfId="0"/>
    <xf numFmtId="166" fontId="2" fillId="5" borderId="1" pivotButton="0" quotePrefix="0" xfId="0"/>
    <xf numFmtId="0" fontId="3" fillId="5" borderId="1" pivotButton="0" quotePrefix="0" xfId="0"/>
    <xf numFmtId="167" fontId="3" fillId="5" borderId="1" pivotButton="0" quotePrefix="0" xfId="0"/>
    <xf numFmtId="167" fontId="7" fillId="5" borderId="1" pivotButton="0" quotePrefix="0" xfId="0"/>
    <xf numFmtId="168" fontId="3" fillId="5" borderId="1" pivotButton="0" quotePrefix="0" xfId="0"/>
    <xf numFmtId="0" fontId="4" fillId="0" borderId="0" pivotButton="0" quotePrefix="0" xfId="0"/>
    <xf numFmtId="167" fontId="4" fillId="3" borderId="1" pivotButton="0" quotePrefix="0" xfId="0"/>
    <xf numFmtId="167" fontId="0" fillId="0" borderId="0" pivotButton="0" quotePrefix="0" xfId="0"/>
    <xf numFmtId="168" fontId="0" fillId="0" borderId="0" pivotButton="0" quotePrefix="0" xfId="0"/>
    <xf numFmtId="0" fontId="8" fillId="0" borderId="0" pivotButton="0" quotePrefix="0" xfId="0"/>
    <xf numFmtId="0" fontId="4" fillId="0" borderId="1" pivotButton="0" quotePrefix="0" xfId="0"/>
    <xf numFmtId="168" fontId="0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168" fontId="0" fillId="4" borderId="1" pivotButton="0" quotePrefix="0" xfId="0"/>
    <xf numFmtId="0" fontId="0" fillId="4" borderId="1" pivotButton="0" quotePrefix="0" xfId="0"/>
    <xf numFmtId="168" fontId="4" fillId="0" borderId="0" pivotButton="0" quotePrefix="0" xfId="0"/>
    <xf numFmtId="0" fontId="9" fillId="0" borderId="0" pivotButton="0" quotePrefix="0" xfId="0"/>
    <xf numFmtId="167" fontId="4" fillId="3" borderId="0" pivotButton="0" quotePrefix="0" xfId="0"/>
    <xf numFmtId="0" fontId="3" fillId="0" borderId="0" pivotButton="0" quotePrefix="0" xfId="0"/>
    <xf numFmtId="166" fontId="2" fillId="6" borderId="1" pivotButton="0" quotePrefix="0" xfId="0"/>
    <xf numFmtId="10" fontId="2" fillId="6" borderId="1" pivotButton="0" quotePrefix="0" xfId="0"/>
    <xf numFmtId="9" fontId="2" fillId="6" borderId="1" pivotButton="0" quotePrefix="0" xfId="0"/>
    <xf numFmtId="169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167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Claude</author>
  </authors>
  <commentList>
    <comment ref="C1" authorId="0" shapeId="0">
      <text>
        <t>Contas a pagar: mês anterior ao pagamento (ex.: pago 15/06/2026 = comissão de 05/2026, conferido com a planilha "Maio 2026" código 01.07.03). Tenda 2008-2010: mês da nota.</t>
      </text>
    </comment>
    <comment ref="J1" authorId="0" shapeId="0">
      <text>
        <t>Desconto = diferença entre o valor bruto e o pago (assistência médica, empréstimo etc.).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15" customWidth="1" min="4" max="4"/>
    <col width="12" customWidth="1" min="5" max="5"/>
    <col width="15" customWidth="1" min="6" max="6"/>
    <col width="14" customWidth="1" min="7" max="7"/>
    <col width="18" customWidth="1" min="8" max="8"/>
    <col width="13" customWidth="1" min="9" max="9"/>
    <col width="15" customWidth="1" min="10" max="10"/>
    <col width="16" customWidth="1" min="11" max="11"/>
    <col width="48" customWidth="1" min="12" max="12"/>
    <col width="20" customWidth="1" min="13" max="13"/>
    <col width="10" customWidth="1" min="14" max="14"/>
  </cols>
  <sheetData>
    <row r="1">
      <c r="A1" s="1" t="inlineStr">
        <is>
          <t>Comissão mês a mês - Mario Frugis / FRUGIS REPRESENTAÇÕES (Tenda)</t>
        </is>
      </c>
    </row>
    <row r="2">
      <c r="A2" s="2" t="inlineStr">
        <is>
          <t>Valores em R$. REAL = aba Lancamentos. ESTIMADO (laranja) = aba Estimativas. Distrato já pago fica fora.</t>
        </is>
      </c>
    </row>
    <row r="4" ht="32" customHeight="1">
      <c r="A4" s="3" t="inlineStr">
        <is>
          <t>Competência</t>
        </is>
      </c>
      <c r="B4" s="3" t="inlineStr">
        <is>
          <t>Ano</t>
        </is>
      </c>
      <c r="C4" s="3" t="inlineStr">
        <is>
          <t>Mês</t>
        </is>
      </c>
      <c r="D4" s="3" t="inlineStr">
        <is>
          <t>Comissão (real)</t>
        </is>
      </c>
      <c r="E4" s="3" t="inlineStr">
        <is>
          <t>Prêmio (real)</t>
        </is>
      </c>
      <c r="F4" s="3" t="inlineStr">
        <is>
          <t>Total real</t>
        </is>
      </c>
      <c r="G4" s="3" t="inlineStr">
        <is>
          <t>Estimado</t>
        </is>
      </c>
      <c r="H4" s="3" t="inlineStr">
        <is>
          <t>Total comissão (real + estimado)</t>
        </is>
      </c>
      <c r="I4" s="3" t="inlineStr">
        <is>
          <t>Descontos</t>
        </is>
      </c>
      <c r="J4" s="3" t="inlineStr">
        <is>
          <t>Líquido pago</t>
        </is>
      </c>
      <c r="K4" s="3" t="inlineStr">
        <is>
          <t>Distrato pago (fora da base)</t>
        </is>
      </c>
      <c r="L4" s="3" t="inlineStr">
        <is>
          <t>Situação</t>
        </is>
      </c>
      <c r="M4" s="3" t="inlineStr">
        <is>
          <t>Saldo conta corrente - TODOS os clientes (ref.)</t>
        </is>
      </c>
      <c r="N4" s="3" t="inlineStr">
        <is>
          <t>% Tenda no saldo</t>
        </is>
      </c>
    </row>
    <row r="5">
      <c r="A5" s="4" t="n">
        <v>38353</v>
      </c>
      <c r="B5" s="5">
        <f>YEAR(A5)</f>
        <v/>
      </c>
      <c r="C5" s="5">
        <f>MONTH(A5)</f>
        <v/>
      </c>
      <c r="D5" s="6">
        <f>SUMIFS(Lancamentos!$L$2:$L$2342,Lancamentos!$D$2:$D$2342,B5,Lancamentos!$E$2:$E$2342,C5)-E5</f>
        <v/>
      </c>
      <c r="E5" s="6">
        <f>SUMIFS(Lancamentos!$L$2:$L$2342,Lancamentos!$D$2:$D$2342,B5,Lancamentos!$E$2:$E$2342,C5,Lancamentos!$H$2:$H$2342,"PREMIO")</f>
        <v/>
      </c>
      <c r="F5" s="6">
        <f>D5+E5</f>
        <v/>
      </c>
      <c r="G5" s="7">
        <f>SUMIFS(Estimativas!$F:$F,Estimativas!$A:$A,A5)</f>
        <v/>
      </c>
      <c r="H5" s="6">
        <f>F5+G5</f>
        <v/>
      </c>
      <c r="I5" s="6">
        <f>SUMIFS(Lancamentos!$J$2:$J$2342,Lancamentos!$D$2:$D$2342,B5,Lancamentos!$E$2:$E$2342,C5,Lancamentos!$H$2:$H$2342,"&lt;&gt;DISTRATO")</f>
        <v/>
      </c>
      <c r="J5" s="6">
        <f>F5-I5</f>
        <v/>
      </c>
      <c r="K5" s="6">
        <f>SUMIFS(Lancamentos!$K$2:$K$2342,Lancamentos!$D$2:$D$2342,B5,Lancamentos!$E$2:$E$2342,C5,Lancamentos!$H$2:$H$2342,"DISTRATO")</f>
        <v/>
      </c>
      <c r="L5" s="5" t="inlineStr">
        <is>
          <t>Tenda (conta corrente)</t>
        </is>
      </c>
      <c r="M5" s="7">
        <f>IFERROR(INDEX(ContaCorrente!$D:$D,MATCH(A5,ContaCorrente!$A:$A,0)),"")</f>
        <v/>
      </c>
      <c r="N5" s="8">
        <f>IF(AND(ISNUMBER(M5),M5&lt;&gt;0),F5/M5,"")</f>
        <v/>
      </c>
    </row>
    <row r="6">
      <c r="A6" s="4" t="n">
        <v>38384</v>
      </c>
      <c r="B6" s="5">
        <f>YEAR(A6)</f>
        <v/>
      </c>
      <c r="C6" s="5">
        <f>MONTH(A6)</f>
        <v/>
      </c>
      <c r="D6" s="6">
        <f>SUMIFS(Lancamentos!$L$2:$L$2342,Lancamentos!$D$2:$D$2342,B6,Lancamentos!$E$2:$E$2342,C6)-E6</f>
        <v/>
      </c>
      <c r="E6" s="6">
        <f>SUMIFS(Lancamentos!$L$2:$L$2342,Lancamentos!$D$2:$D$2342,B6,Lancamentos!$E$2:$E$2342,C6,Lancamentos!$H$2:$H$2342,"PREMIO")</f>
        <v/>
      </c>
      <c r="F6" s="6">
        <f>D6+E6</f>
        <v/>
      </c>
      <c r="G6" s="7">
        <f>SUMIFS(Estimativas!$F:$F,Estimativas!$A:$A,A6)</f>
        <v/>
      </c>
      <c r="H6" s="6">
        <f>F6+G6</f>
        <v/>
      </c>
      <c r="I6" s="6">
        <f>SUMIFS(Lancamentos!$J$2:$J$2342,Lancamentos!$D$2:$D$2342,B6,Lancamentos!$E$2:$E$2342,C6,Lancamentos!$H$2:$H$2342,"&lt;&gt;DISTRATO")</f>
        <v/>
      </c>
      <c r="J6" s="6">
        <f>F6-I6</f>
        <v/>
      </c>
      <c r="K6" s="6">
        <f>SUMIFS(Lancamentos!$K$2:$K$2342,Lancamentos!$D$2:$D$2342,B6,Lancamentos!$E$2:$E$2342,C6,Lancamentos!$H$2:$H$2342,"DISTRATO")</f>
        <v/>
      </c>
      <c r="L6" s="5" t="inlineStr">
        <is>
          <t>Tenda (conta corrente)</t>
        </is>
      </c>
      <c r="M6" s="7">
        <f>IFERROR(INDEX(ContaCorrente!$D:$D,MATCH(A6,ContaCorrente!$A:$A,0)),"")</f>
        <v/>
      </c>
      <c r="N6" s="8">
        <f>IF(AND(ISNUMBER(M6),M6&lt;&gt;0),F6/M6,"")</f>
        <v/>
      </c>
    </row>
    <row r="7">
      <c r="A7" s="4" t="n">
        <v>38412</v>
      </c>
      <c r="B7" s="5">
        <f>YEAR(A7)</f>
        <v/>
      </c>
      <c r="C7" s="5">
        <f>MONTH(A7)</f>
        <v/>
      </c>
      <c r="D7" s="6">
        <f>SUMIFS(Lancamentos!$L$2:$L$2342,Lancamentos!$D$2:$D$2342,B7,Lancamentos!$E$2:$E$2342,C7)-E7</f>
        <v/>
      </c>
      <c r="E7" s="6">
        <f>SUMIFS(Lancamentos!$L$2:$L$2342,Lancamentos!$D$2:$D$2342,B7,Lancamentos!$E$2:$E$2342,C7,Lancamentos!$H$2:$H$2342,"PREMIO")</f>
        <v/>
      </c>
      <c r="F7" s="6">
        <f>D7+E7</f>
        <v/>
      </c>
      <c r="G7" s="7">
        <f>SUMIFS(Estimativas!$F:$F,Estimativas!$A:$A,A7)</f>
        <v/>
      </c>
      <c r="H7" s="6">
        <f>F7+G7</f>
        <v/>
      </c>
      <c r="I7" s="6">
        <f>SUMIFS(Lancamentos!$J$2:$J$2342,Lancamentos!$D$2:$D$2342,B7,Lancamentos!$E$2:$E$2342,C7,Lancamentos!$H$2:$H$2342,"&lt;&gt;DISTRATO")</f>
        <v/>
      </c>
      <c r="J7" s="6">
        <f>F7-I7</f>
        <v/>
      </c>
      <c r="K7" s="6">
        <f>SUMIFS(Lancamentos!$K$2:$K$2342,Lancamentos!$D$2:$D$2342,B7,Lancamentos!$E$2:$E$2342,C7,Lancamentos!$H$2:$H$2342,"DISTRATO")</f>
        <v/>
      </c>
      <c r="L7" s="5" t="inlineStr">
        <is>
          <t>Tenda (conta corrente)</t>
        </is>
      </c>
      <c r="M7" s="7">
        <f>IFERROR(INDEX(ContaCorrente!$D:$D,MATCH(A7,ContaCorrente!$A:$A,0)),"")</f>
        <v/>
      </c>
      <c r="N7" s="8">
        <f>IF(AND(ISNUMBER(M7),M7&lt;&gt;0),F7/M7,"")</f>
        <v/>
      </c>
    </row>
    <row r="8">
      <c r="A8" s="4" t="n">
        <v>38443</v>
      </c>
      <c r="B8" s="5">
        <f>YEAR(A8)</f>
        <v/>
      </c>
      <c r="C8" s="5">
        <f>MONTH(A8)</f>
        <v/>
      </c>
      <c r="D8" s="6">
        <f>SUMIFS(Lancamentos!$L$2:$L$2342,Lancamentos!$D$2:$D$2342,B8,Lancamentos!$E$2:$E$2342,C8)-E8</f>
        <v/>
      </c>
      <c r="E8" s="6">
        <f>SUMIFS(Lancamentos!$L$2:$L$2342,Lancamentos!$D$2:$D$2342,B8,Lancamentos!$E$2:$E$2342,C8,Lancamentos!$H$2:$H$2342,"PREMIO")</f>
        <v/>
      </c>
      <c r="F8" s="6">
        <f>D8+E8</f>
        <v/>
      </c>
      <c r="G8" s="7">
        <f>SUMIFS(Estimativas!$F:$F,Estimativas!$A:$A,A8)</f>
        <v/>
      </c>
      <c r="H8" s="6">
        <f>F8+G8</f>
        <v/>
      </c>
      <c r="I8" s="6">
        <f>SUMIFS(Lancamentos!$J$2:$J$2342,Lancamentos!$D$2:$D$2342,B8,Lancamentos!$E$2:$E$2342,C8,Lancamentos!$H$2:$H$2342,"&lt;&gt;DISTRATO")</f>
        <v/>
      </c>
      <c r="J8" s="6">
        <f>F8-I8</f>
        <v/>
      </c>
      <c r="K8" s="6">
        <f>SUMIFS(Lancamentos!$K$2:$K$2342,Lancamentos!$D$2:$D$2342,B8,Lancamentos!$E$2:$E$2342,C8,Lancamentos!$H$2:$H$2342,"DISTRATO")</f>
        <v/>
      </c>
      <c r="L8" s="5" t="inlineStr">
        <is>
          <t>Tenda (conta corrente)</t>
        </is>
      </c>
      <c r="M8" s="7">
        <f>IFERROR(INDEX(ContaCorrente!$D:$D,MATCH(A8,ContaCorrente!$A:$A,0)),"")</f>
        <v/>
      </c>
      <c r="N8" s="8">
        <f>IF(AND(ISNUMBER(M8),M8&lt;&gt;0),F8/M8,"")</f>
        <v/>
      </c>
    </row>
    <row r="9">
      <c r="A9" s="4" t="n">
        <v>38473</v>
      </c>
      <c r="B9" s="5">
        <f>YEAR(A9)</f>
        <v/>
      </c>
      <c r="C9" s="5">
        <f>MONTH(A9)</f>
        <v/>
      </c>
      <c r="D9" s="6">
        <f>SUMIFS(Lancamentos!$L$2:$L$2342,Lancamentos!$D$2:$D$2342,B9,Lancamentos!$E$2:$E$2342,C9)-E9</f>
        <v/>
      </c>
      <c r="E9" s="6">
        <f>SUMIFS(Lancamentos!$L$2:$L$2342,Lancamentos!$D$2:$D$2342,B9,Lancamentos!$E$2:$E$2342,C9,Lancamentos!$H$2:$H$2342,"PREMIO")</f>
        <v/>
      </c>
      <c r="F9" s="6">
        <f>D9+E9</f>
        <v/>
      </c>
      <c r="G9" s="7">
        <f>SUMIFS(Estimativas!$F:$F,Estimativas!$A:$A,A9)</f>
        <v/>
      </c>
      <c r="H9" s="6">
        <f>F9+G9</f>
        <v/>
      </c>
      <c r="I9" s="6">
        <f>SUMIFS(Lancamentos!$J$2:$J$2342,Lancamentos!$D$2:$D$2342,B9,Lancamentos!$E$2:$E$2342,C9,Lancamentos!$H$2:$H$2342,"&lt;&gt;DISTRATO")</f>
        <v/>
      </c>
      <c r="J9" s="6">
        <f>F9-I9</f>
        <v/>
      </c>
      <c r="K9" s="6">
        <f>SUMIFS(Lancamentos!$K$2:$K$2342,Lancamentos!$D$2:$D$2342,B9,Lancamentos!$E$2:$E$2342,C9,Lancamentos!$H$2:$H$2342,"DISTRATO")</f>
        <v/>
      </c>
      <c r="L9" s="5" t="inlineStr">
        <is>
          <t>Tenda (conta corrente)</t>
        </is>
      </c>
      <c r="M9" s="7">
        <f>IFERROR(INDEX(ContaCorrente!$D:$D,MATCH(A9,ContaCorrente!$A:$A,0)),"")</f>
        <v/>
      </c>
      <c r="N9" s="8">
        <f>IF(AND(ISNUMBER(M9),M9&lt;&gt;0),F9/M9,"")</f>
        <v/>
      </c>
    </row>
    <row r="10">
      <c r="A10" s="4" t="n">
        <v>38504</v>
      </c>
      <c r="B10" s="5">
        <f>YEAR(A10)</f>
        <v/>
      </c>
      <c r="C10" s="5">
        <f>MONTH(A10)</f>
        <v/>
      </c>
      <c r="D10" s="6">
        <f>SUMIFS(Lancamentos!$L$2:$L$2342,Lancamentos!$D$2:$D$2342,B10,Lancamentos!$E$2:$E$2342,C10)-E10</f>
        <v/>
      </c>
      <c r="E10" s="6">
        <f>SUMIFS(Lancamentos!$L$2:$L$2342,Lancamentos!$D$2:$D$2342,B10,Lancamentos!$E$2:$E$2342,C10,Lancamentos!$H$2:$H$2342,"PREMIO")</f>
        <v/>
      </c>
      <c r="F10" s="6">
        <f>D10+E10</f>
        <v/>
      </c>
      <c r="G10" s="7">
        <f>SUMIFS(Estimativas!$F:$F,Estimativas!$A:$A,A10)</f>
        <v/>
      </c>
      <c r="H10" s="6">
        <f>F10+G10</f>
        <v/>
      </c>
      <c r="I10" s="6">
        <f>SUMIFS(Lancamentos!$J$2:$J$2342,Lancamentos!$D$2:$D$2342,B10,Lancamentos!$E$2:$E$2342,C10,Lancamentos!$H$2:$H$2342,"&lt;&gt;DISTRATO")</f>
        <v/>
      </c>
      <c r="J10" s="6">
        <f>F10-I10</f>
        <v/>
      </c>
      <c r="K10" s="6">
        <f>SUMIFS(Lancamentos!$K$2:$K$2342,Lancamentos!$D$2:$D$2342,B10,Lancamentos!$E$2:$E$2342,C10,Lancamentos!$H$2:$H$2342,"DISTRATO")</f>
        <v/>
      </c>
      <c r="L10" s="5" t="inlineStr">
        <is>
          <t>Tenda (conta corrente)</t>
        </is>
      </c>
      <c r="M10" s="7">
        <f>IFERROR(INDEX(ContaCorrente!$D:$D,MATCH(A10,ContaCorrente!$A:$A,0)),"")</f>
        <v/>
      </c>
      <c r="N10" s="8">
        <f>IF(AND(ISNUMBER(M10),M10&lt;&gt;0),F10/M10,"")</f>
        <v/>
      </c>
    </row>
    <row r="11">
      <c r="A11" s="4" t="n">
        <v>38534</v>
      </c>
      <c r="B11" s="5">
        <f>YEAR(A11)</f>
        <v/>
      </c>
      <c r="C11" s="5">
        <f>MONTH(A11)</f>
        <v/>
      </c>
      <c r="D11" s="6">
        <f>SUMIFS(Lancamentos!$L$2:$L$2342,Lancamentos!$D$2:$D$2342,B11,Lancamentos!$E$2:$E$2342,C11)-E11</f>
        <v/>
      </c>
      <c r="E11" s="6">
        <f>SUMIFS(Lancamentos!$L$2:$L$2342,Lancamentos!$D$2:$D$2342,B11,Lancamentos!$E$2:$E$2342,C11,Lancamentos!$H$2:$H$2342,"PREMIO")</f>
        <v/>
      </c>
      <c r="F11" s="6">
        <f>D11+E11</f>
        <v/>
      </c>
      <c r="G11" s="7">
        <f>SUMIFS(Estimativas!$F:$F,Estimativas!$A:$A,A11)</f>
        <v/>
      </c>
      <c r="H11" s="6">
        <f>F11+G11</f>
        <v/>
      </c>
      <c r="I11" s="6">
        <f>SUMIFS(Lancamentos!$J$2:$J$2342,Lancamentos!$D$2:$D$2342,B11,Lancamentos!$E$2:$E$2342,C11,Lancamentos!$H$2:$H$2342,"&lt;&gt;DISTRATO")</f>
        <v/>
      </c>
      <c r="J11" s="6">
        <f>F11-I11</f>
        <v/>
      </c>
      <c r="K11" s="6">
        <f>SUMIFS(Lancamentos!$K$2:$K$2342,Lancamentos!$D$2:$D$2342,B11,Lancamentos!$E$2:$E$2342,C11,Lancamentos!$H$2:$H$2342,"DISTRATO")</f>
        <v/>
      </c>
      <c r="L11" s="5" t="inlineStr">
        <is>
          <t>Tenda (conta corrente)</t>
        </is>
      </c>
      <c r="M11" s="7">
        <f>IFERROR(INDEX(ContaCorrente!$D:$D,MATCH(A11,ContaCorrente!$A:$A,0)),"")</f>
        <v/>
      </c>
      <c r="N11" s="8">
        <f>IF(AND(ISNUMBER(M11),M11&lt;&gt;0),F11/M11,"")</f>
        <v/>
      </c>
    </row>
    <row r="12">
      <c r="A12" s="4" t="n">
        <v>38565</v>
      </c>
      <c r="B12" s="5">
        <f>YEAR(A12)</f>
        <v/>
      </c>
      <c r="C12" s="5">
        <f>MONTH(A12)</f>
        <v/>
      </c>
      <c r="D12" s="6">
        <f>SUMIFS(Lancamentos!$L$2:$L$2342,Lancamentos!$D$2:$D$2342,B12,Lancamentos!$E$2:$E$2342,C12)-E12</f>
        <v/>
      </c>
      <c r="E12" s="6">
        <f>SUMIFS(Lancamentos!$L$2:$L$2342,Lancamentos!$D$2:$D$2342,B12,Lancamentos!$E$2:$E$2342,C12,Lancamentos!$H$2:$H$2342,"PREMIO")</f>
        <v/>
      </c>
      <c r="F12" s="6">
        <f>D12+E12</f>
        <v/>
      </c>
      <c r="G12" s="7">
        <f>SUMIFS(Estimativas!$F:$F,Estimativas!$A:$A,A12)</f>
        <v/>
      </c>
      <c r="H12" s="6">
        <f>F12+G12</f>
        <v/>
      </c>
      <c r="I12" s="6">
        <f>SUMIFS(Lancamentos!$J$2:$J$2342,Lancamentos!$D$2:$D$2342,B12,Lancamentos!$E$2:$E$2342,C12,Lancamentos!$H$2:$H$2342,"&lt;&gt;DISTRATO")</f>
        <v/>
      </c>
      <c r="J12" s="6">
        <f>F12-I12</f>
        <v/>
      </c>
      <c r="K12" s="6">
        <f>SUMIFS(Lancamentos!$K$2:$K$2342,Lancamentos!$D$2:$D$2342,B12,Lancamentos!$E$2:$E$2342,C12,Lancamentos!$H$2:$H$2342,"DISTRATO")</f>
        <v/>
      </c>
      <c r="L12" s="5" t="inlineStr">
        <is>
          <t>Tenda (conta corrente)</t>
        </is>
      </c>
      <c r="M12" s="7">
        <f>IFERROR(INDEX(ContaCorrente!$D:$D,MATCH(A12,ContaCorrente!$A:$A,0)),"")</f>
        <v/>
      </c>
      <c r="N12" s="8">
        <f>IF(AND(ISNUMBER(M12),M12&lt;&gt;0),F12/M12,"")</f>
        <v/>
      </c>
    </row>
    <row r="13">
      <c r="A13" s="4" t="n">
        <v>38596</v>
      </c>
      <c r="B13" s="5">
        <f>YEAR(A13)</f>
        <v/>
      </c>
      <c r="C13" s="5">
        <f>MONTH(A13)</f>
        <v/>
      </c>
      <c r="D13" s="6">
        <f>SUMIFS(Lancamentos!$L$2:$L$2342,Lancamentos!$D$2:$D$2342,B13,Lancamentos!$E$2:$E$2342,C13)-E13</f>
        <v/>
      </c>
      <c r="E13" s="6">
        <f>SUMIFS(Lancamentos!$L$2:$L$2342,Lancamentos!$D$2:$D$2342,B13,Lancamentos!$E$2:$E$2342,C13,Lancamentos!$H$2:$H$2342,"PREMIO")</f>
        <v/>
      </c>
      <c r="F13" s="6">
        <f>D13+E13</f>
        <v/>
      </c>
      <c r="G13" s="7">
        <f>SUMIFS(Estimativas!$F:$F,Estimativas!$A:$A,A13)</f>
        <v/>
      </c>
      <c r="H13" s="6">
        <f>F13+G13</f>
        <v/>
      </c>
      <c r="I13" s="6">
        <f>SUMIFS(Lancamentos!$J$2:$J$2342,Lancamentos!$D$2:$D$2342,B13,Lancamentos!$E$2:$E$2342,C13,Lancamentos!$H$2:$H$2342,"&lt;&gt;DISTRATO")</f>
        <v/>
      </c>
      <c r="J13" s="6">
        <f>F13-I13</f>
        <v/>
      </c>
      <c r="K13" s="6">
        <f>SUMIFS(Lancamentos!$K$2:$K$2342,Lancamentos!$D$2:$D$2342,B13,Lancamentos!$E$2:$E$2342,C13,Lancamentos!$H$2:$H$2342,"DISTRATO")</f>
        <v/>
      </c>
      <c r="L13" s="5" t="inlineStr">
        <is>
          <t>Tenda (conta corrente)</t>
        </is>
      </c>
      <c r="M13" s="7">
        <f>IFERROR(INDEX(ContaCorrente!$D:$D,MATCH(A13,ContaCorrente!$A:$A,0)),"")</f>
        <v/>
      </c>
      <c r="N13" s="8">
        <f>IF(AND(ISNUMBER(M13),M13&lt;&gt;0),F13/M13,"")</f>
        <v/>
      </c>
    </row>
    <row r="14">
      <c r="A14" s="4" t="n">
        <v>38626</v>
      </c>
      <c r="B14" s="5">
        <f>YEAR(A14)</f>
        <v/>
      </c>
      <c r="C14" s="5">
        <f>MONTH(A14)</f>
        <v/>
      </c>
      <c r="D14" s="6">
        <f>SUMIFS(Lancamentos!$L$2:$L$2342,Lancamentos!$D$2:$D$2342,B14,Lancamentos!$E$2:$E$2342,C14)-E14</f>
        <v/>
      </c>
      <c r="E14" s="6">
        <f>SUMIFS(Lancamentos!$L$2:$L$2342,Lancamentos!$D$2:$D$2342,B14,Lancamentos!$E$2:$E$2342,C14,Lancamentos!$H$2:$H$2342,"PREMIO")</f>
        <v/>
      </c>
      <c r="F14" s="6">
        <f>D14+E14</f>
        <v/>
      </c>
      <c r="G14" s="7">
        <f>SUMIFS(Estimativas!$F:$F,Estimativas!$A:$A,A14)</f>
        <v/>
      </c>
      <c r="H14" s="6">
        <f>F14+G14</f>
        <v/>
      </c>
      <c r="I14" s="6">
        <f>SUMIFS(Lancamentos!$J$2:$J$2342,Lancamentos!$D$2:$D$2342,B14,Lancamentos!$E$2:$E$2342,C14,Lancamentos!$H$2:$H$2342,"&lt;&gt;DISTRATO")</f>
        <v/>
      </c>
      <c r="J14" s="6">
        <f>F14-I14</f>
        <v/>
      </c>
      <c r="K14" s="6">
        <f>SUMIFS(Lancamentos!$K$2:$K$2342,Lancamentos!$D$2:$D$2342,B14,Lancamentos!$E$2:$E$2342,C14,Lancamentos!$H$2:$H$2342,"DISTRATO")</f>
        <v/>
      </c>
      <c r="L14" s="5" t="inlineStr">
        <is>
          <t>Tenda (conta corrente)</t>
        </is>
      </c>
      <c r="M14" s="7">
        <f>IFERROR(INDEX(ContaCorrente!$D:$D,MATCH(A14,ContaCorrente!$A:$A,0)),"")</f>
        <v/>
      </c>
      <c r="N14" s="8">
        <f>IF(AND(ISNUMBER(M14),M14&lt;&gt;0),F14/M14,"")</f>
        <v/>
      </c>
    </row>
    <row r="15">
      <c r="A15" s="4" t="n">
        <v>38657</v>
      </c>
      <c r="B15" s="5">
        <f>YEAR(A15)</f>
        <v/>
      </c>
      <c r="C15" s="5">
        <f>MONTH(A15)</f>
        <v/>
      </c>
      <c r="D15" s="6">
        <f>SUMIFS(Lancamentos!$L$2:$L$2342,Lancamentos!$D$2:$D$2342,B15,Lancamentos!$E$2:$E$2342,C15)-E15</f>
        <v/>
      </c>
      <c r="E15" s="6">
        <f>SUMIFS(Lancamentos!$L$2:$L$2342,Lancamentos!$D$2:$D$2342,B15,Lancamentos!$E$2:$E$2342,C15,Lancamentos!$H$2:$H$2342,"PREMIO")</f>
        <v/>
      </c>
      <c r="F15" s="6">
        <f>D15+E15</f>
        <v/>
      </c>
      <c r="G15" s="7">
        <f>SUMIFS(Estimativas!$F:$F,Estimativas!$A:$A,A15)</f>
        <v/>
      </c>
      <c r="H15" s="6">
        <f>F15+G15</f>
        <v/>
      </c>
      <c r="I15" s="6">
        <f>SUMIFS(Lancamentos!$J$2:$J$2342,Lancamentos!$D$2:$D$2342,B15,Lancamentos!$E$2:$E$2342,C15,Lancamentos!$H$2:$H$2342,"&lt;&gt;DISTRATO")</f>
        <v/>
      </c>
      <c r="J15" s="6">
        <f>F15-I15</f>
        <v/>
      </c>
      <c r="K15" s="6">
        <f>SUMIFS(Lancamentos!$K$2:$K$2342,Lancamentos!$D$2:$D$2342,B15,Lancamentos!$E$2:$E$2342,C15,Lancamentos!$H$2:$H$2342,"DISTRATO")</f>
        <v/>
      </c>
      <c r="L15" s="5" t="inlineStr">
        <is>
          <t>Tenda (conta corrente)</t>
        </is>
      </c>
      <c r="M15" s="7">
        <f>IFERROR(INDEX(ContaCorrente!$D:$D,MATCH(A15,ContaCorrente!$A:$A,0)),"")</f>
        <v/>
      </c>
      <c r="N15" s="8">
        <f>IF(AND(ISNUMBER(M15),M15&lt;&gt;0),F15/M15,"")</f>
        <v/>
      </c>
    </row>
    <row r="16">
      <c r="A16" s="4" t="n">
        <v>38687</v>
      </c>
      <c r="B16" s="5">
        <f>YEAR(A16)</f>
        <v/>
      </c>
      <c r="C16" s="5">
        <f>MONTH(A16)</f>
        <v/>
      </c>
      <c r="D16" s="6">
        <f>SUMIFS(Lancamentos!$L$2:$L$2342,Lancamentos!$D$2:$D$2342,B16,Lancamentos!$E$2:$E$2342,C16)-E16</f>
        <v/>
      </c>
      <c r="E16" s="6">
        <f>SUMIFS(Lancamentos!$L$2:$L$2342,Lancamentos!$D$2:$D$2342,B16,Lancamentos!$E$2:$E$2342,C16,Lancamentos!$H$2:$H$2342,"PREMIO")</f>
        <v/>
      </c>
      <c r="F16" s="6">
        <f>D16+E16</f>
        <v/>
      </c>
      <c r="G16" s="7">
        <f>SUMIFS(Estimativas!$F:$F,Estimativas!$A:$A,A16)</f>
        <v/>
      </c>
      <c r="H16" s="6">
        <f>F16+G16</f>
        <v/>
      </c>
      <c r="I16" s="6">
        <f>SUMIFS(Lancamentos!$J$2:$J$2342,Lancamentos!$D$2:$D$2342,B16,Lancamentos!$E$2:$E$2342,C16,Lancamentos!$H$2:$H$2342,"&lt;&gt;DISTRATO")</f>
        <v/>
      </c>
      <c r="J16" s="6">
        <f>F16-I16</f>
        <v/>
      </c>
      <c r="K16" s="6">
        <f>SUMIFS(Lancamentos!$K$2:$K$2342,Lancamentos!$D$2:$D$2342,B16,Lancamentos!$E$2:$E$2342,C16,Lancamentos!$H$2:$H$2342,"DISTRATO")</f>
        <v/>
      </c>
      <c r="L16" s="5" t="inlineStr">
        <is>
          <t>Tenda (conta corrente)</t>
        </is>
      </c>
      <c r="M16" s="7">
        <f>IFERROR(INDEX(ContaCorrente!$D:$D,MATCH(A16,ContaCorrente!$A:$A,0)),"")</f>
        <v/>
      </c>
      <c r="N16" s="8">
        <f>IF(AND(ISNUMBER(M16),M16&lt;&gt;0),F16/M16,"")</f>
        <v/>
      </c>
    </row>
    <row r="17">
      <c r="A17" s="4" t="n">
        <v>38718</v>
      </c>
      <c r="B17" s="5">
        <f>YEAR(A17)</f>
        <v/>
      </c>
      <c r="C17" s="5">
        <f>MONTH(A17)</f>
        <v/>
      </c>
      <c r="D17" s="6">
        <f>SUMIFS(Lancamentos!$L$2:$L$2342,Lancamentos!$D$2:$D$2342,B17,Lancamentos!$E$2:$E$2342,C17)-E17</f>
        <v/>
      </c>
      <c r="E17" s="6">
        <f>SUMIFS(Lancamentos!$L$2:$L$2342,Lancamentos!$D$2:$D$2342,B17,Lancamentos!$E$2:$E$2342,C17,Lancamentos!$H$2:$H$2342,"PREMIO")</f>
        <v/>
      </c>
      <c r="F17" s="6">
        <f>D17+E17</f>
        <v/>
      </c>
      <c r="G17" s="7">
        <f>SUMIFS(Estimativas!$F:$F,Estimativas!$A:$A,A17)</f>
        <v/>
      </c>
      <c r="H17" s="6">
        <f>F17+G17</f>
        <v/>
      </c>
      <c r="I17" s="6">
        <f>SUMIFS(Lancamentos!$J$2:$J$2342,Lancamentos!$D$2:$D$2342,B17,Lancamentos!$E$2:$E$2342,C17,Lancamentos!$H$2:$H$2342,"&lt;&gt;DISTRATO")</f>
        <v/>
      </c>
      <c r="J17" s="6">
        <f>F17-I17</f>
        <v/>
      </c>
      <c r="K17" s="6">
        <f>SUMIFS(Lancamentos!$K$2:$K$2342,Lancamentos!$D$2:$D$2342,B17,Lancamentos!$E$2:$E$2342,C17,Lancamentos!$H$2:$H$2342,"DISTRATO")</f>
        <v/>
      </c>
      <c r="L17" s="5" t="inlineStr">
        <is>
          <t>Tenda (conta corrente)</t>
        </is>
      </c>
      <c r="M17" s="7">
        <f>IFERROR(INDEX(ContaCorrente!$D:$D,MATCH(A17,ContaCorrente!$A:$A,0)),"")</f>
        <v/>
      </c>
      <c r="N17" s="8">
        <f>IF(AND(ISNUMBER(M17),M17&lt;&gt;0),F17/M17,"")</f>
        <v/>
      </c>
    </row>
    <row r="18">
      <c r="A18" s="4" t="n">
        <v>38749</v>
      </c>
      <c r="B18" s="5">
        <f>YEAR(A18)</f>
        <v/>
      </c>
      <c r="C18" s="5">
        <f>MONTH(A18)</f>
        <v/>
      </c>
      <c r="D18" s="6">
        <f>SUMIFS(Lancamentos!$L$2:$L$2342,Lancamentos!$D$2:$D$2342,B18,Lancamentos!$E$2:$E$2342,C18)-E18</f>
        <v/>
      </c>
      <c r="E18" s="6">
        <f>SUMIFS(Lancamentos!$L$2:$L$2342,Lancamentos!$D$2:$D$2342,B18,Lancamentos!$E$2:$E$2342,C18,Lancamentos!$H$2:$H$2342,"PREMIO")</f>
        <v/>
      </c>
      <c r="F18" s="6">
        <f>D18+E18</f>
        <v/>
      </c>
      <c r="G18" s="7">
        <f>SUMIFS(Estimativas!$F:$F,Estimativas!$A:$A,A18)</f>
        <v/>
      </c>
      <c r="H18" s="6">
        <f>F18+G18</f>
        <v/>
      </c>
      <c r="I18" s="6">
        <f>SUMIFS(Lancamentos!$J$2:$J$2342,Lancamentos!$D$2:$D$2342,B18,Lancamentos!$E$2:$E$2342,C18,Lancamentos!$H$2:$H$2342,"&lt;&gt;DISTRATO")</f>
        <v/>
      </c>
      <c r="J18" s="6">
        <f>F18-I18</f>
        <v/>
      </c>
      <c r="K18" s="6">
        <f>SUMIFS(Lancamentos!$K$2:$K$2342,Lancamentos!$D$2:$D$2342,B18,Lancamentos!$E$2:$E$2342,C18,Lancamentos!$H$2:$H$2342,"DISTRATO")</f>
        <v/>
      </c>
      <c r="L18" s="5" t="inlineStr">
        <is>
          <t>Tenda (conta corrente)</t>
        </is>
      </c>
      <c r="M18" s="7">
        <f>IFERROR(INDEX(ContaCorrente!$D:$D,MATCH(A18,ContaCorrente!$A:$A,0)),"")</f>
        <v/>
      </c>
      <c r="N18" s="8">
        <f>IF(AND(ISNUMBER(M18),M18&lt;&gt;0),F18/M18,"")</f>
        <v/>
      </c>
    </row>
    <row r="19">
      <c r="A19" s="4" t="n">
        <v>38777</v>
      </c>
      <c r="B19" s="5">
        <f>YEAR(A19)</f>
        <v/>
      </c>
      <c r="C19" s="5">
        <f>MONTH(A19)</f>
        <v/>
      </c>
      <c r="D19" s="6">
        <f>SUMIFS(Lancamentos!$L$2:$L$2342,Lancamentos!$D$2:$D$2342,B19,Lancamentos!$E$2:$E$2342,C19)-E19</f>
        <v/>
      </c>
      <c r="E19" s="6">
        <f>SUMIFS(Lancamentos!$L$2:$L$2342,Lancamentos!$D$2:$D$2342,B19,Lancamentos!$E$2:$E$2342,C19,Lancamentos!$H$2:$H$2342,"PREMIO")</f>
        <v/>
      </c>
      <c r="F19" s="6">
        <f>D19+E19</f>
        <v/>
      </c>
      <c r="G19" s="7">
        <f>SUMIFS(Estimativas!$F:$F,Estimativas!$A:$A,A19)</f>
        <v/>
      </c>
      <c r="H19" s="6">
        <f>F19+G19</f>
        <v/>
      </c>
      <c r="I19" s="6">
        <f>SUMIFS(Lancamentos!$J$2:$J$2342,Lancamentos!$D$2:$D$2342,B19,Lancamentos!$E$2:$E$2342,C19,Lancamentos!$H$2:$H$2342,"&lt;&gt;DISTRATO")</f>
        <v/>
      </c>
      <c r="J19" s="6">
        <f>F19-I19</f>
        <v/>
      </c>
      <c r="K19" s="6">
        <f>SUMIFS(Lancamentos!$K$2:$K$2342,Lancamentos!$D$2:$D$2342,B19,Lancamentos!$E$2:$E$2342,C19,Lancamentos!$H$2:$H$2342,"DISTRATO")</f>
        <v/>
      </c>
      <c r="L19" s="5" t="inlineStr">
        <is>
          <t>Tenda (conta corrente)</t>
        </is>
      </c>
      <c r="M19" s="7">
        <f>IFERROR(INDEX(ContaCorrente!$D:$D,MATCH(A19,ContaCorrente!$A:$A,0)),"")</f>
        <v/>
      </c>
      <c r="N19" s="8">
        <f>IF(AND(ISNUMBER(M19),M19&lt;&gt;0),F19/M19,"")</f>
        <v/>
      </c>
    </row>
    <row r="20">
      <c r="A20" s="4" t="n">
        <v>38808</v>
      </c>
      <c r="B20" s="5">
        <f>YEAR(A20)</f>
        <v/>
      </c>
      <c r="C20" s="5">
        <f>MONTH(A20)</f>
        <v/>
      </c>
      <c r="D20" s="6">
        <f>SUMIFS(Lancamentos!$L$2:$L$2342,Lancamentos!$D$2:$D$2342,B20,Lancamentos!$E$2:$E$2342,C20)-E20</f>
        <v/>
      </c>
      <c r="E20" s="6">
        <f>SUMIFS(Lancamentos!$L$2:$L$2342,Lancamentos!$D$2:$D$2342,B20,Lancamentos!$E$2:$E$2342,C20,Lancamentos!$H$2:$H$2342,"PREMIO")</f>
        <v/>
      </c>
      <c r="F20" s="6">
        <f>D20+E20</f>
        <v/>
      </c>
      <c r="G20" s="7">
        <f>SUMIFS(Estimativas!$F:$F,Estimativas!$A:$A,A20)</f>
        <v/>
      </c>
      <c r="H20" s="6">
        <f>F20+G20</f>
        <v/>
      </c>
      <c r="I20" s="6">
        <f>SUMIFS(Lancamentos!$J$2:$J$2342,Lancamentos!$D$2:$D$2342,B20,Lancamentos!$E$2:$E$2342,C20,Lancamentos!$H$2:$H$2342,"&lt;&gt;DISTRATO")</f>
        <v/>
      </c>
      <c r="J20" s="6">
        <f>F20-I20</f>
        <v/>
      </c>
      <c r="K20" s="6">
        <f>SUMIFS(Lancamentos!$K$2:$K$2342,Lancamentos!$D$2:$D$2342,B20,Lancamentos!$E$2:$E$2342,C20,Lancamentos!$H$2:$H$2342,"DISTRATO")</f>
        <v/>
      </c>
      <c r="L20" s="5" t="inlineStr">
        <is>
          <t>Tenda (conta corrente)</t>
        </is>
      </c>
      <c r="M20" s="7">
        <f>IFERROR(INDEX(ContaCorrente!$D:$D,MATCH(A20,ContaCorrente!$A:$A,0)),"")</f>
        <v/>
      </c>
      <c r="N20" s="8">
        <f>IF(AND(ISNUMBER(M20),M20&lt;&gt;0),F20/M20,"")</f>
        <v/>
      </c>
    </row>
    <row r="21">
      <c r="A21" s="4" t="n">
        <v>38838</v>
      </c>
      <c r="B21" s="5">
        <f>YEAR(A21)</f>
        <v/>
      </c>
      <c r="C21" s="5">
        <f>MONTH(A21)</f>
        <v/>
      </c>
      <c r="D21" s="6">
        <f>SUMIFS(Lancamentos!$L$2:$L$2342,Lancamentos!$D$2:$D$2342,B21,Lancamentos!$E$2:$E$2342,C21)-E21</f>
        <v/>
      </c>
      <c r="E21" s="6">
        <f>SUMIFS(Lancamentos!$L$2:$L$2342,Lancamentos!$D$2:$D$2342,B21,Lancamentos!$E$2:$E$2342,C21,Lancamentos!$H$2:$H$2342,"PREMIO")</f>
        <v/>
      </c>
      <c r="F21" s="6">
        <f>D21+E21</f>
        <v/>
      </c>
      <c r="G21" s="7">
        <f>SUMIFS(Estimativas!$F:$F,Estimativas!$A:$A,A21)</f>
        <v/>
      </c>
      <c r="H21" s="6">
        <f>F21+G21</f>
        <v/>
      </c>
      <c r="I21" s="6">
        <f>SUMIFS(Lancamentos!$J$2:$J$2342,Lancamentos!$D$2:$D$2342,B21,Lancamentos!$E$2:$E$2342,C21,Lancamentos!$H$2:$H$2342,"&lt;&gt;DISTRATO")</f>
        <v/>
      </c>
      <c r="J21" s="6">
        <f>F21-I21</f>
        <v/>
      </c>
      <c r="K21" s="6">
        <f>SUMIFS(Lancamentos!$K$2:$K$2342,Lancamentos!$D$2:$D$2342,B21,Lancamentos!$E$2:$E$2342,C21,Lancamentos!$H$2:$H$2342,"DISTRATO")</f>
        <v/>
      </c>
      <c r="L21" s="5" t="inlineStr">
        <is>
          <t>Tenda (conta corrente)</t>
        </is>
      </c>
      <c r="M21" s="7">
        <f>IFERROR(INDEX(ContaCorrente!$D:$D,MATCH(A21,ContaCorrente!$A:$A,0)),"")</f>
        <v/>
      </c>
      <c r="N21" s="8">
        <f>IF(AND(ISNUMBER(M21),M21&lt;&gt;0),F21/M21,"")</f>
        <v/>
      </c>
    </row>
    <row r="22">
      <c r="A22" s="4" t="n">
        <v>38869</v>
      </c>
      <c r="B22" s="5">
        <f>YEAR(A22)</f>
        <v/>
      </c>
      <c r="C22" s="5">
        <f>MONTH(A22)</f>
        <v/>
      </c>
      <c r="D22" s="6">
        <f>SUMIFS(Lancamentos!$L$2:$L$2342,Lancamentos!$D$2:$D$2342,B22,Lancamentos!$E$2:$E$2342,C22)-E22</f>
        <v/>
      </c>
      <c r="E22" s="6">
        <f>SUMIFS(Lancamentos!$L$2:$L$2342,Lancamentos!$D$2:$D$2342,B22,Lancamentos!$E$2:$E$2342,C22,Lancamentos!$H$2:$H$2342,"PREMIO")</f>
        <v/>
      </c>
      <c r="F22" s="6">
        <f>D22+E22</f>
        <v/>
      </c>
      <c r="G22" s="7">
        <f>SUMIFS(Estimativas!$F:$F,Estimativas!$A:$A,A22)</f>
        <v/>
      </c>
      <c r="H22" s="6">
        <f>F22+G22</f>
        <v/>
      </c>
      <c r="I22" s="6">
        <f>SUMIFS(Lancamentos!$J$2:$J$2342,Lancamentos!$D$2:$D$2342,B22,Lancamentos!$E$2:$E$2342,C22,Lancamentos!$H$2:$H$2342,"&lt;&gt;DISTRATO")</f>
        <v/>
      </c>
      <c r="J22" s="6">
        <f>F22-I22</f>
        <v/>
      </c>
      <c r="K22" s="6">
        <f>SUMIFS(Lancamentos!$K$2:$K$2342,Lancamentos!$D$2:$D$2342,B22,Lancamentos!$E$2:$E$2342,C22,Lancamentos!$H$2:$H$2342,"DISTRATO")</f>
        <v/>
      </c>
      <c r="L22" s="5" t="inlineStr">
        <is>
          <t>Tenda (conta corrente)</t>
        </is>
      </c>
      <c r="M22" s="7">
        <f>IFERROR(INDEX(ContaCorrente!$D:$D,MATCH(A22,ContaCorrente!$A:$A,0)),"")</f>
        <v/>
      </c>
      <c r="N22" s="8">
        <f>IF(AND(ISNUMBER(M22),M22&lt;&gt;0),F22/M22,"")</f>
        <v/>
      </c>
    </row>
    <row r="23">
      <c r="A23" s="4" t="n">
        <v>38899</v>
      </c>
      <c r="B23" s="5">
        <f>YEAR(A23)</f>
        <v/>
      </c>
      <c r="C23" s="5">
        <f>MONTH(A23)</f>
        <v/>
      </c>
      <c r="D23" s="6">
        <f>SUMIFS(Lancamentos!$L$2:$L$2342,Lancamentos!$D$2:$D$2342,B23,Lancamentos!$E$2:$E$2342,C23)-E23</f>
        <v/>
      </c>
      <c r="E23" s="6">
        <f>SUMIFS(Lancamentos!$L$2:$L$2342,Lancamentos!$D$2:$D$2342,B23,Lancamentos!$E$2:$E$2342,C23,Lancamentos!$H$2:$H$2342,"PREMIO")</f>
        <v/>
      </c>
      <c r="F23" s="6">
        <f>D23+E23</f>
        <v/>
      </c>
      <c r="G23" s="7">
        <f>SUMIFS(Estimativas!$F:$F,Estimativas!$A:$A,A23)</f>
        <v/>
      </c>
      <c r="H23" s="6">
        <f>F23+G23</f>
        <v/>
      </c>
      <c r="I23" s="6">
        <f>SUMIFS(Lancamentos!$J$2:$J$2342,Lancamentos!$D$2:$D$2342,B23,Lancamentos!$E$2:$E$2342,C23,Lancamentos!$H$2:$H$2342,"&lt;&gt;DISTRATO")</f>
        <v/>
      </c>
      <c r="J23" s="6">
        <f>F23-I23</f>
        <v/>
      </c>
      <c r="K23" s="6">
        <f>SUMIFS(Lancamentos!$K$2:$K$2342,Lancamentos!$D$2:$D$2342,B23,Lancamentos!$E$2:$E$2342,C23,Lancamentos!$H$2:$H$2342,"DISTRATO")</f>
        <v/>
      </c>
      <c r="L23" s="5" t="inlineStr">
        <is>
          <t>Tenda (conta corrente)</t>
        </is>
      </c>
      <c r="M23" s="7">
        <f>IFERROR(INDEX(ContaCorrente!$D:$D,MATCH(A23,ContaCorrente!$A:$A,0)),"")</f>
        <v/>
      </c>
      <c r="N23" s="8">
        <f>IF(AND(ISNUMBER(M23),M23&lt;&gt;0),F23/M23,"")</f>
        <v/>
      </c>
    </row>
    <row r="24">
      <c r="A24" s="4" t="n">
        <v>38930</v>
      </c>
      <c r="B24" s="5">
        <f>YEAR(A24)</f>
        <v/>
      </c>
      <c r="C24" s="5">
        <f>MONTH(A24)</f>
        <v/>
      </c>
      <c r="D24" s="6">
        <f>SUMIFS(Lancamentos!$L$2:$L$2342,Lancamentos!$D$2:$D$2342,B24,Lancamentos!$E$2:$E$2342,C24)-E24</f>
        <v/>
      </c>
      <c r="E24" s="6">
        <f>SUMIFS(Lancamentos!$L$2:$L$2342,Lancamentos!$D$2:$D$2342,B24,Lancamentos!$E$2:$E$2342,C24,Lancamentos!$H$2:$H$2342,"PREMIO")</f>
        <v/>
      </c>
      <c r="F24" s="6">
        <f>D24+E24</f>
        <v/>
      </c>
      <c r="G24" s="7">
        <f>SUMIFS(Estimativas!$F:$F,Estimativas!$A:$A,A24)</f>
        <v/>
      </c>
      <c r="H24" s="6">
        <f>F24+G24</f>
        <v/>
      </c>
      <c r="I24" s="6">
        <f>SUMIFS(Lancamentos!$J$2:$J$2342,Lancamentos!$D$2:$D$2342,B24,Lancamentos!$E$2:$E$2342,C24,Lancamentos!$H$2:$H$2342,"&lt;&gt;DISTRATO")</f>
        <v/>
      </c>
      <c r="J24" s="6">
        <f>F24-I24</f>
        <v/>
      </c>
      <c r="K24" s="6">
        <f>SUMIFS(Lancamentos!$K$2:$K$2342,Lancamentos!$D$2:$D$2342,B24,Lancamentos!$E$2:$E$2342,C24,Lancamentos!$H$2:$H$2342,"DISTRATO")</f>
        <v/>
      </c>
      <c r="L24" s="5" t="inlineStr">
        <is>
          <t>Tenda (conta corrente)</t>
        </is>
      </c>
      <c r="M24" s="7">
        <f>IFERROR(INDEX(ContaCorrente!$D:$D,MATCH(A24,ContaCorrente!$A:$A,0)),"")</f>
        <v/>
      </c>
      <c r="N24" s="8">
        <f>IF(AND(ISNUMBER(M24),M24&lt;&gt;0),F24/M24,"")</f>
        <v/>
      </c>
    </row>
    <row r="25">
      <c r="A25" s="4" t="n">
        <v>38961</v>
      </c>
      <c r="B25" s="5">
        <f>YEAR(A25)</f>
        <v/>
      </c>
      <c r="C25" s="5">
        <f>MONTH(A25)</f>
        <v/>
      </c>
      <c r="D25" s="6">
        <f>SUMIFS(Lancamentos!$L$2:$L$2342,Lancamentos!$D$2:$D$2342,B25,Lancamentos!$E$2:$E$2342,C25)-E25</f>
        <v/>
      </c>
      <c r="E25" s="6">
        <f>SUMIFS(Lancamentos!$L$2:$L$2342,Lancamentos!$D$2:$D$2342,B25,Lancamentos!$E$2:$E$2342,C25,Lancamentos!$H$2:$H$2342,"PREMIO")</f>
        <v/>
      </c>
      <c r="F25" s="6">
        <f>D25+E25</f>
        <v/>
      </c>
      <c r="G25" s="7">
        <f>SUMIFS(Estimativas!$F:$F,Estimativas!$A:$A,A25)</f>
        <v/>
      </c>
      <c r="H25" s="6">
        <f>F25+G25</f>
        <v/>
      </c>
      <c r="I25" s="6">
        <f>SUMIFS(Lancamentos!$J$2:$J$2342,Lancamentos!$D$2:$D$2342,B25,Lancamentos!$E$2:$E$2342,C25,Lancamentos!$H$2:$H$2342,"&lt;&gt;DISTRATO")</f>
        <v/>
      </c>
      <c r="J25" s="6">
        <f>F25-I25</f>
        <v/>
      </c>
      <c r="K25" s="6">
        <f>SUMIFS(Lancamentos!$K$2:$K$2342,Lancamentos!$D$2:$D$2342,B25,Lancamentos!$E$2:$E$2342,C25,Lancamentos!$H$2:$H$2342,"DISTRATO")</f>
        <v/>
      </c>
      <c r="L25" s="5" t="inlineStr">
        <is>
          <t>Tenda (conta corrente)</t>
        </is>
      </c>
      <c r="M25" s="7">
        <f>IFERROR(INDEX(ContaCorrente!$D:$D,MATCH(A25,ContaCorrente!$A:$A,0)),"")</f>
        <v/>
      </c>
      <c r="N25" s="8">
        <f>IF(AND(ISNUMBER(M25),M25&lt;&gt;0),F25/M25,"")</f>
        <v/>
      </c>
    </row>
    <row r="26">
      <c r="A26" s="4" t="n">
        <v>38991</v>
      </c>
      <c r="B26" s="5">
        <f>YEAR(A26)</f>
        <v/>
      </c>
      <c r="C26" s="5">
        <f>MONTH(A26)</f>
        <v/>
      </c>
      <c r="D26" s="6">
        <f>SUMIFS(Lancamentos!$L$2:$L$2342,Lancamentos!$D$2:$D$2342,B26,Lancamentos!$E$2:$E$2342,C26)-E26</f>
        <v/>
      </c>
      <c r="E26" s="6">
        <f>SUMIFS(Lancamentos!$L$2:$L$2342,Lancamentos!$D$2:$D$2342,B26,Lancamentos!$E$2:$E$2342,C26,Lancamentos!$H$2:$H$2342,"PREMIO")</f>
        <v/>
      </c>
      <c r="F26" s="6">
        <f>D26+E26</f>
        <v/>
      </c>
      <c r="G26" s="7">
        <f>SUMIFS(Estimativas!$F:$F,Estimativas!$A:$A,A26)</f>
        <v/>
      </c>
      <c r="H26" s="6">
        <f>F26+G26</f>
        <v/>
      </c>
      <c r="I26" s="6">
        <f>SUMIFS(Lancamentos!$J$2:$J$2342,Lancamentos!$D$2:$D$2342,B26,Lancamentos!$E$2:$E$2342,C26,Lancamentos!$H$2:$H$2342,"&lt;&gt;DISTRATO")</f>
        <v/>
      </c>
      <c r="J26" s="6">
        <f>F26-I26</f>
        <v/>
      </c>
      <c r="K26" s="6">
        <f>SUMIFS(Lancamentos!$K$2:$K$2342,Lancamentos!$D$2:$D$2342,B26,Lancamentos!$E$2:$E$2342,C26,Lancamentos!$H$2:$H$2342,"DISTRATO")</f>
        <v/>
      </c>
      <c r="L26" s="5" t="inlineStr">
        <is>
          <t>Tenda (conta corrente)</t>
        </is>
      </c>
      <c r="M26" s="7">
        <f>IFERROR(INDEX(ContaCorrente!$D:$D,MATCH(A26,ContaCorrente!$A:$A,0)),"")</f>
        <v/>
      </c>
      <c r="N26" s="8">
        <f>IF(AND(ISNUMBER(M26),M26&lt;&gt;0),F26/M26,"")</f>
        <v/>
      </c>
    </row>
    <row r="27">
      <c r="A27" s="4" t="n">
        <v>39022</v>
      </c>
      <c r="B27" s="5">
        <f>YEAR(A27)</f>
        <v/>
      </c>
      <c r="C27" s="5">
        <f>MONTH(A27)</f>
        <v/>
      </c>
      <c r="D27" s="6">
        <f>SUMIFS(Lancamentos!$L$2:$L$2342,Lancamentos!$D$2:$D$2342,B27,Lancamentos!$E$2:$E$2342,C27)-E27</f>
        <v/>
      </c>
      <c r="E27" s="6">
        <f>SUMIFS(Lancamentos!$L$2:$L$2342,Lancamentos!$D$2:$D$2342,B27,Lancamentos!$E$2:$E$2342,C27,Lancamentos!$H$2:$H$2342,"PREMIO")</f>
        <v/>
      </c>
      <c r="F27" s="6">
        <f>D27+E27</f>
        <v/>
      </c>
      <c r="G27" s="7">
        <f>SUMIFS(Estimativas!$F:$F,Estimativas!$A:$A,A27)</f>
        <v/>
      </c>
      <c r="H27" s="6">
        <f>F27+G27</f>
        <v/>
      </c>
      <c r="I27" s="6">
        <f>SUMIFS(Lancamentos!$J$2:$J$2342,Lancamentos!$D$2:$D$2342,B27,Lancamentos!$E$2:$E$2342,C27,Lancamentos!$H$2:$H$2342,"&lt;&gt;DISTRATO")</f>
        <v/>
      </c>
      <c r="J27" s="6">
        <f>F27-I27</f>
        <v/>
      </c>
      <c r="K27" s="6">
        <f>SUMIFS(Lancamentos!$K$2:$K$2342,Lancamentos!$D$2:$D$2342,B27,Lancamentos!$E$2:$E$2342,C27,Lancamentos!$H$2:$H$2342,"DISTRATO")</f>
        <v/>
      </c>
      <c r="L27" s="5" t="inlineStr">
        <is>
          <t>Tenda (conta corrente)</t>
        </is>
      </c>
      <c r="M27" s="7">
        <f>IFERROR(INDEX(ContaCorrente!$D:$D,MATCH(A27,ContaCorrente!$A:$A,0)),"")</f>
        <v/>
      </c>
      <c r="N27" s="8">
        <f>IF(AND(ISNUMBER(M27),M27&lt;&gt;0),F27/M27,"")</f>
        <v/>
      </c>
    </row>
    <row r="28">
      <c r="A28" s="4" t="n">
        <v>39052</v>
      </c>
      <c r="B28" s="5">
        <f>YEAR(A28)</f>
        <v/>
      </c>
      <c r="C28" s="5">
        <f>MONTH(A28)</f>
        <v/>
      </c>
      <c r="D28" s="6">
        <f>SUMIFS(Lancamentos!$L$2:$L$2342,Lancamentos!$D$2:$D$2342,B28,Lancamentos!$E$2:$E$2342,C28)-E28</f>
        <v/>
      </c>
      <c r="E28" s="6">
        <f>SUMIFS(Lancamentos!$L$2:$L$2342,Lancamentos!$D$2:$D$2342,B28,Lancamentos!$E$2:$E$2342,C28,Lancamentos!$H$2:$H$2342,"PREMIO")</f>
        <v/>
      </c>
      <c r="F28" s="6">
        <f>D28+E28</f>
        <v/>
      </c>
      <c r="G28" s="7">
        <f>SUMIFS(Estimativas!$F:$F,Estimativas!$A:$A,A28)</f>
        <v/>
      </c>
      <c r="H28" s="6">
        <f>F28+G28</f>
        <v/>
      </c>
      <c r="I28" s="6">
        <f>SUMIFS(Lancamentos!$J$2:$J$2342,Lancamentos!$D$2:$D$2342,B28,Lancamentos!$E$2:$E$2342,C28,Lancamentos!$H$2:$H$2342,"&lt;&gt;DISTRATO")</f>
        <v/>
      </c>
      <c r="J28" s="6">
        <f>F28-I28</f>
        <v/>
      </c>
      <c r="K28" s="6">
        <f>SUMIFS(Lancamentos!$K$2:$K$2342,Lancamentos!$D$2:$D$2342,B28,Lancamentos!$E$2:$E$2342,C28,Lancamentos!$H$2:$H$2342,"DISTRATO")</f>
        <v/>
      </c>
      <c r="L28" s="5" t="inlineStr">
        <is>
          <t>Tenda (conta corrente)</t>
        </is>
      </c>
      <c r="M28" s="7">
        <f>IFERROR(INDEX(ContaCorrente!$D:$D,MATCH(A28,ContaCorrente!$A:$A,0)),"")</f>
        <v/>
      </c>
      <c r="N28" s="8">
        <f>IF(AND(ISNUMBER(M28),M28&lt;&gt;0),F28/M28,"")</f>
        <v/>
      </c>
    </row>
    <row r="29">
      <c r="A29" s="9" t="n">
        <v>39083</v>
      </c>
      <c r="B29" s="10">
        <f>YEAR(A29)</f>
        <v/>
      </c>
      <c r="C29" s="10">
        <f>MONTH(A29)</f>
        <v/>
      </c>
      <c r="D29" s="11">
        <f>SUMIFS(Lancamentos!$L$2:$L$2342,Lancamentos!$D$2:$D$2342,B29,Lancamentos!$E$2:$E$2342,C29)-E29</f>
        <v/>
      </c>
      <c r="E29" s="11">
        <f>SUMIFS(Lancamentos!$L$2:$L$2342,Lancamentos!$D$2:$D$2342,B29,Lancamentos!$E$2:$E$2342,C29,Lancamentos!$H$2:$H$2342,"PREMIO")</f>
        <v/>
      </c>
      <c r="F29" s="11">
        <f>D29+E29</f>
        <v/>
      </c>
      <c r="G29" s="12">
        <f>SUMIFS(Estimativas!$F:$F,Estimativas!$A:$A,A29)</f>
        <v/>
      </c>
      <c r="H29" s="11">
        <f>F29+G29</f>
        <v/>
      </c>
      <c r="I29" s="11">
        <f>SUMIFS(Lancamentos!$J$2:$J$2342,Lancamentos!$D$2:$D$2342,B29,Lancamentos!$E$2:$E$2342,C29,Lancamentos!$H$2:$H$2342,"&lt;&gt;DISTRATO")</f>
        <v/>
      </c>
      <c r="J29" s="11">
        <f>F29-I29</f>
        <v/>
      </c>
      <c r="K29" s="11">
        <f>SUMIFS(Lancamentos!$K$2:$K$2342,Lancamentos!$D$2:$D$2342,B29,Lancamentos!$E$2:$E$2342,C29,Lancamentos!$H$2:$H$2342,"DISTRATO")</f>
        <v/>
      </c>
      <c r="L29" s="10" t="inlineStr">
        <is>
          <t>ESTIMADO - mesmo mês de 2008 ÷ (1+IPCA 2008)</t>
        </is>
      </c>
      <c r="M29" s="12">
        <f>IFERROR(INDEX(ContaCorrente!$D:$D,MATCH(A29,ContaCorrente!$A:$A,0)),"")</f>
        <v/>
      </c>
      <c r="N29" s="13">
        <f>IF(AND(ISNUMBER(M29),M29&lt;&gt;0),F29/M29,"")</f>
        <v/>
      </c>
    </row>
    <row r="30">
      <c r="A30" s="9" t="n">
        <v>39114</v>
      </c>
      <c r="B30" s="10">
        <f>YEAR(A30)</f>
        <v/>
      </c>
      <c r="C30" s="10">
        <f>MONTH(A30)</f>
        <v/>
      </c>
      <c r="D30" s="11">
        <f>SUMIFS(Lancamentos!$L$2:$L$2342,Lancamentos!$D$2:$D$2342,B30,Lancamentos!$E$2:$E$2342,C30)-E30</f>
        <v/>
      </c>
      <c r="E30" s="11">
        <f>SUMIFS(Lancamentos!$L$2:$L$2342,Lancamentos!$D$2:$D$2342,B30,Lancamentos!$E$2:$E$2342,C30,Lancamentos!$H$2:$H$2342,"PREMIO")</f>
        <v/>
      </c>
      <c r="F30" s="11">
        <f>D30+E30</f>
        <v/>
      </c>
      <c r="G30" s="12">
        <f>SUMIFS(Estimativas!$F:$F,Estimativas!$A:$A,A30)</f>
        <v/>
      </c>
      <c r="H30" s="11">
        <f>F30+G30</f>
        <v/>
      </c>
      <c r="I30" s="11">
        <f>SUMIFS(Lancamentos!$J$2:$J$2342,Lancamentos!$D$2:$D$2342,B30,Lancamentos!$E$2:$E$2342,C30,Lancamentos!$H$2:$H$2342,"&lt;&gt;DISTRATO")</f>
        <v/>
      </c>
      <c r="J30" s="11">
        <f>F30-I30</f>
        <v/>
      </c>
      <c r="K30" s="11">
        <f>SUMIFS(Lancamentos!$K$2:$K$2342,Lancamentos!$D$2:$D$2342,B30,Lancamentos!$E$2:$E$2342,C30,Lancamentos!$H$2:$H$2342,"DISTRATO")</f>
        <v/>
      </c>
      <c r="L30" s="10" t="inlineStr">
        <is>
          <t>ESTIMADO - mesmo mês de 2008 ÷ (1+IPCA 2008)</t>
        </is>
      </c>
      <c r="M30" s="12">
        <f>IFERROR(INDEX(ContaCorrente!$D:$D,MATCH(A30,ContaCorrente!$A:$A,0)),"")</f>
        <v/>
      </c>
      <c r="N30" s="13">
        <f>IF(AND(ISNUMBER(M30),M30&lt;&gt;0),F30/M30,"")</f>
        <v/>
      </c>
    </row>
    <row r="31">
      <c r="A31" s="9" t="n">
        <v>39142</v>
      </c>
      <c r="B31" s="10">
        <f>YEAR(A31)</f>
        <v/>
      </c>
      <c r="C31" s="10">
        <f>MONTH(A31)</f>
        <v/>
      </c>
      <c r="D31" s="11">
        <f>SUMIFS(Lancamentos!$L$2:$L$2342,Lancamentos!$D$2:$D$2342,B31,Lancamentos!$E$2:$E$2342,C31)-E31</f>
        <v/>
      </c>
      <c r="E31" s="11">
        <f>SUMIFS(Lancamentos!$L$2:$L$2342,Lancamentos!$D$2:$D$2342,B31,Lancamentos!$E$2:$E$2342,C31,Lancamentos!$H$2:$H$2342,"PREMIO")</f>
        <v/>
      </c>
      <c r="F31" s="11">
        <f>D31+E31</f>
        <v/>
      </c>
      <c r="G31" s="12">
        <f>SUMIFS(Estimativas!$F:$F,Estimativas!$A:$A,A31)</f>
        <v/>
      </c>
      <c r="H31" s="11">
        <f>F31+G31</f>
        <v/>
      </c>
      <c r="I31" s="11">
        <f>SUMIFS(Lancamentos!$J$2:$J$2342,Lancamentos!$D$2:$D$2342,B31,Lancamentos!$E$2:$E$2342,C31,Lancamentos!$H$2:$H$2342,"&lt;&gt;DISTRATO")</f>
        <v/>
      </c>
      <c r="J31" s="11">
        <f>F31-I31</f>
        <v/>
      </c>
      <c r="K31" s="11">
        <f>SUMIFS(Lancamentos!$K$2:$K$2342,Lancamentos!$D$2:$D$2342,B31,Lancamentos!$E$2:$E$2342,C31,Lancamentos!$H$2:$H$2342,"DISTRATO")</f>
        <v/>
      </c>
      <c r="L31" s="10" t="inlineStr">
        <is>
          <t>ESTIMADO - mesmo mês de 2008 ÷ (1+IPCA 2008)</t>
        </is>
      </c>
      <c r="M31" s="12">
        <f>IFERROR(INDEX(ContaCorrente!$D:$D,MATCH(A31,ContaCorrente!$A:$A,0)),"")</f>
        <v/>
      </c>
      <c r="N31" s="13">
        <f>IF(AND(ISNUMBER(M31),M31&lt;&gt;0),F31/M31,"")</f>
        <v/>
      </c>
    </row>
    <row r="32">
      <c r="A32" s="9" t="n">
        <v>39173</v>
      </c>
      <c r="B32" s="10">
        <f>YEAR(A32)</f>
        <v/>
      </c>
      <c r="C32" s="10">
        <f>MONTH(A32)</f>
        <v/>
      </c>
      <c r="D32" s="11">
        <f>SUMIFS(Lancamentos!$L$2:$L$2342,Lancamentos!$D$2:$D$2342,B32,Lancamentos!$E$2:$E$2342,C32)-E32</f>
        <v/>
      </c>
      <c r="E32" s="11">
        <f>SUMIFS(Lancamentos!$L$2:$L$2342,Lancamentos!$D$2:$D$2342,B32,Lancamentos!$E$2:$E$2342,C32,Lancamentos!$H$2:$H$2342,"PREMIO")</f>
        <v/>
      </c>
      <c r="F32" s="11">
        <f>D32+E32</f>
        <v/>
      </c>
      <c r="G32" s="12">
        <f>SUMIFS(Estimativas!$F:$F,Estimativas!$A:$A,A32)</f>
        <v/>
      </c>
      <c r="H32" s="11">
        <f>F32+G32</f>
        <v/>
      </c>
      <c r="I32" s="11">
        <f>SUMIFS(Lancamentos!$J$2:$J$2342,Lancamentos!$D$2:$D$2342,B32,Lancamentos!$E$2:$E$2342,C32,Lancamentos!$H$2:$H$2342,"&lt;&gt;DISTRATO")</f>
        <v/>
      </c>
      <c r="J32" s="11">
        <f>F32-I32</f>
        <v/>
      </c>
      <c r="K32" s="11">
        <f>SUMIFS(Lancamentos!$K$2:$K$2342,Lancamentos!$D$2:$D$2342,B32,Lancamentos!$E$2:$E$2342,C32,Lancamentos!$H$2:$H$2342,"DISTRATO")</f>
        <v/>
      </c>
      <c r="L32" s="10" t="inlineStr">
        <is>
          <t>ESTIMADO - mesmo mês de 2008 ÷ (1+IPCA 2008)</t>
        </is>
      </c>
      <c r="M32" s="12">
        <f>IFERROR(INDEX(ContaCorrente!$D:$D,MATCH(A32,ContaCorrente!$A:$A,0)),"")</f>
        <v/>
      </c>
      <c r="N32" s="13">
        <f>IF(AND(ISNUMBER(M32),M32&lt;&gt;0),F32/M32,"")</f>
        <v/>
      </c>
    </row>
    <row r="33">
      <c r="A33" s="9" t="n">
        <v>39203</v>
      </c>
      <c r="B33" s="10">
        <f>YEAR(A33)</f>
        <v/>
      </c>
      <c r="C33" s="10">
        <f>MONTH(A33)</f>
        <v/>
      </c>
      <c r="D33" s="11">
        <f>SUMIFS(Lancamentos!$L$2:$L$2342,Lancamentos!$D$2:$D$2342,B33,Lancamentos!$E$2:$E$2342,C33)-E33</f>
        <v/>
      </c>
      <c r="E33" s="11">
        <f>SUMIFS(Lancamentos!$L$2:$L$2342,Lancamentos!$D$2:$D$2342,B33,Lancamentos!$E$2:$E$2342,C33,Lancamentos!$H$2:$H$2342,"PREMIO")</f>
        <v/>
      </c>
      <c r="F33" s="11">
        <f>D33+E33</f>
        <v/>
      </c>
      <c r="G33" s="12">
        <f>SUMIFS(Estimativas!$F:$F,Estimativas!$A:$A,A33)</f>
        <v/>
      </c>
      <c r="H33" s="11">
        <f>F33+G33</f>
        <v/>
      </c>
      <c r="I33" s="11">
        <f>SUMIFS(Lancamentos!$J$2:$J$2342,Lancamentos!$D$2:$D$2342,B33,Lancamentos!$E$2:$E$2342,C33,Lancamentos!$H$2:$H$2342,"&lt;&gt;DISTRATO")</f>
        <v/>
      </c>
      <c r="J33" s="11">
        <f>F33-I33</f>
        <v/>
      </c>
      <c r="K33" s="11">
        <f>SUMIFS(Lancamentos!$K$2:$K$2342,Lancamentos!$D$2:$D$2342,B33,Lancamentos!$E$2:$E$2342,C33,Lancamentos!$H$2:$H$2342,"DISTRATO")</f>
        <v/>
      </c>
      <c r="L33" s="10" t="inlineStr">
        <is>
          <t>ESTIMADO - mesmo mês de 2008 ÷ (1+IPCA 2008)</t>
        </is>
      </c>
      <c r="M33" s="12">
        <f>IFERROR(INDEX(ContaCorrente!$D:$D,MATCH(A33,ContaCorrente!$A:$A,0)),"")</f>
        <v/>
      </c>
      <c r="N33" s="13">
        <f>IF(AND(ISNUMBER(M33),M33&lt;&gt;0),F33/M33,"")</f>
        <v/>
      </c>
    </row>
    <row r="34">
      <c r="A34" s="9" t="n">
        <v>39234</v>
      </c>
      <c r="B34" s="10">
        <f>YEAR(A34)</f>
        <v/>
      </c>
      <c r="C34" s="10">
        <f>MONTH(A34)</f>
        <v/>
      </c>
      <c r="D34" s="11">
        <f>SUMIFS(Lancamentos!$L$2:$L$2342,Lancamentos!$D$2:$D$2342,B34,Lancamentos!$E$2:$E$2342,C34)-E34</f>
        <v/>
      </c>
      <c r="E34" s="11">
        <f>SUMIFS(Lancamentos!$L$2:$L$2342,Lancamentos!$D$2:$D$2342,B34,Lancamentos!$E$2:$E$2342,C34,Lancamentos!$H$2:$H$2342,"PREMIO")</f>
        <v/>
      </c>
      <c r="F34" s="11">
        <f>D34+E34</f>
        <v/>
      </c>
      <c r="G34" s="12">
        <f>SUMIFS(Estimativas!$F:$F,Estimativas!$A:$A,A34)</f>
        <v/>
      </c>
      <c r="H34" s="11">
        <f>F34+G34</f>
        <v/>
      </c>
      <c r="I34" s="11">
        <f>SUMIFS(Lancamentos!$J$2:$J$2342,Lancamentos!$D$2:$D$2342,B34,Lancamentos!$E$2:$E$2342,C34,Lancamentos!$H$2:$H$2342,"&lt;&gt;DISTRATO")</f>
        <v/>
      </c>
      <c r="J34" s="11">
        <f>F34-I34</f>
        <v/>
      </c>
      <c r="K34" s="11">
        <f>SUMIFS(Lancamentos!$K$2:$K$2342,Lancamentos!$D$2:$D$2342,B34,Lancamentos!$E$2:$E$2342,C34,Lancamentos!$H$2:$H$2342,"DISTRATO")</f>
        <v/>
      </c>
      <c r="L34" s="10" t="inlineStr">
        <is>
          <t>ESTIMADO - mesmo mês de 2008 ÷ (1+IPCA 2008)</t>
        </is>
      </c>
      <c r="M34" s="12">
        <f>IFERROR(INDEX(ContaCorrente!$D:$D,MATCH(A34,ContaCorrente!$A:$A,0)),"")</f>
        <v/>
      </c>
      <c r="N34" s="13">
        <f>IF(AND(ISNUMBER(M34),M34&lt;&gt;0),F34/M34,"")</f>
        <v/>
      </c>
    </row>
    <row r="35">
      <c r="A35" s="9" t="n">
        <v>39264</v>
      </c>
      <c r="B35" s="10">
        <f>YEAR(A35)</f>
        <v/>
      </c>
      <c r="C35" s="10">
        <f>MONTH(A35)</f>
        <v/>
      </c>
      <c r="D35" s="11">
        <f>SUMIFS(Lancamentos!$L$2:$L$2342,Lancamentos!$D$2:$D$2342,B35,Lancamentos!$E$2:$E$2342,C35)-E35</f>
        <v/>
      </c>
      <c r="E35" s="11">
        <f>SUMIFS(Lancamentos!$L$2:$L$2342,Lancamentos!$D$2:$D$2342,B35,Lancamentos!$E$2:$E$2342,C35,Lancamentos!$H$2:$H$2342,"PREMIO")</f>
        <v/>
      </c>
      <c r="F35" s="11">
        <f>D35+E35</f>
        <v/>
      </c>
      <c r="G35" s="12">
        <f>SUMIFS(Estimativas!$F:$F,Estimativas!$A:$A,A35)</f>
        <v/>
      </c>
      <c r="H35" s="11">
        <f>F35+G35</f>
        <v/>
      </c>
      <c r="I35" s="11">
        <f>SUMIFS(Lancamentos!$J$2:$J$2342,Lancamentos!$D$2:$D$2342,B35,Lancamentos!$E$2:$E$2342,C35,Lancamentos!$H$2:$H$2342,"&lt;&gt;DISTRATO")</f>
        <v/>
      </c>
      <c r="J35" s="11">
        <f>F35-I35</f>
        <v/>
      </c>
      <c r="K35" s="11">
        <f>SUMIFS(Lancamentos!$K$2:$K$2342,Lancamentos!$D$2:$D$2342,B35,Lancamentos!$E$2:$E$2342,C35,Lancamentos!$H$2:$H$2342,"DISTRATO")</f>
        <v/>
      </c>
      <c r="L35" s="10" t="inlineStr">
        <is>
          <t>ESTIMADO - mesmo mês de 2008 ÷ (1+IPCA 2008)</t>
        </is>
      </c>
      <c r="M35" s="12">
        <f>IFERROR(INDEX(ContaCorrente!$D:$D,MATCH(A35,ContaCorrente!$A:$A,0)),"")</f>
        <v/>
      </c>
      <c r="N35" s="13">
        <f>IF(AND(ISNUMBER(M35),M35&lt;&gt;0),F35/M35,"")</f>
        <v/>
      </c>
    </row>
    <row r="36">
      <c r="A36" s="9" t="n">
        <v>39295</v>
      </c>
      <c r="B36" s="10">
        <f>YEAR(A36)</f>
        <v/>
      </c>
      <c r="C36" s="10">
        <f>MONTH(A36)</f>
        <v/>
      </c>
      <c r="D36" s="11">
        <f>SUMIFS(Lancamentos!$L$2:$L$2342,Lancamentos!$D$2:$D$2342,B36,Lancamentos!$E$2:$E$2342,C36)-E36</f>
        <v/>
      </c>
      <c r="E36" s="11">
        <f>SUMIFS(Lancamentos!$L$2:$L$2342,Lancamentos!$D$2:$D$2342,B36,Lancamentos!$E$2:$E$2342,C36,Lancamentos!$H$2:$H$2342,"PREMIO")</f>
        <v/>
      </c>
      <c r="F36" s="11">
        <f>D36+E36</f>
        <v/>
      </c>
      <c r="G36" s="12">
        <f>SUMIFS(Estimativas!$F:$F,Estimativas!$A:$A,A36)</f>
        <v/>
      </c>
      <c r="H36" s="11">
        <f>F36+G36</f>
        <v/>
      </c>
      <c r="I36" s="11">
        <f>SUMIFS(Lancamentos!$J$2:$J$2342,Lancamentos!$D$2:$D$2342,B36,Lancamentos!$E$2:$E$2342,C36,Lancamentos!$H$2:$H$2342,"&lt;&gt;DISTRATO")</f>
        <v/>
      </c>
      <c r="J36" s="11">
        <f>F36-I36</f>
        <v/>
      </c>
      <c r="K36" s="11">
        <f>SUMIFS(Lancamentos!$K$2:$K$2342,Lancamentos!$D$2:$D$2342,B36,Lancamentos!$E$2:$E$2342,C36,Lancamentos!$H$2:$H$2342,"DISTRATO")</f>
        <v/>
      </c>
      <c r="L36" s="10" t="inlineStr">
        <is>
          <t>ESTIMADO - mesmo mês de 2008 ÷ (1+IPCA 2008)</t>
        </is>
      </c>
      <c r="M36" s="12">
        <f>IFERROR(INDEX(ContaCorrente!$D:$D,MATCH(A36,ContaCorrente!$A:$A,0)),"")</f>
        <v/>
      </c>
      <c r="N36" s="13">
        <f>IF(AND(ISNUMBER(M36),M36&lt;&gt;0),F36/M36,"")</f>
        <v/>
      </c>
    </row>
    <row r="37">
      <c r="A37" s="9" t="n">
        <v>39326</v>
      </c>
      <c r="B37" s="10">
        <f>YEAR(A37)</f>
        <v/>
      </c>
      <c r="C37" s="10">
        <f>MONTH(A37)</f>
        <v/>
      </c>
      <c r="D37" s="11">
        <f>SUMIFS(Lancamentos!$L$2:$L$2342,Lancamentos!$D$2:$D$2342,B37,Lancamentos!$E$2:$E$2342,C37)-E37</f>
        <v/>
      </c>
      <c r="E37" s="11">
        <f>SUMIFS(Lancamentos!$L$2:$L$2342,Lancamentos!$D$2:$D$2342,B37,Lancamentos!$E$2:$E$2342,C37,Lancamentos!$H$2:$H$2342,"PREMIO")</f>
        <v/>
      </c>
      <c r="F37" s="11">
        <f>D37+E37</f>
        <v/>
      </c>
      <c r="G37" s="12">
        <f>SUMIFS(Estimativas!$F:$F,Estimativas!$A:$A,A37)</f>
        <v/>
      </c>
      <c r="H37" s="11">
        <f>F37+G37</f>
        <v/>
      </c>
      <c r="I37" s="11">
        <f>SUMIFS(Lancamentos!$J$2:$J$2342,Lancamentos!$D$2:$D$2342,B37,Lancamentos!$E$2:$E$2342,C37,Lancamentos!$H$2:$H$2342,"&lt;&gt;DISTRATO")</f>
        <v/>
      </c>
      <c r="J37" s="11">
        <f>F37-I37</f>
        <v/>
      </c>
      <c r="K37" s="11">
        <f>SUMIFS(Lancamentos!$K$2:$K$2342,Lancamentos!$D$2:$D$2342,B37,Lancamentos!$E$2:$E$2342,C37,Lancamentos!$H$2:$H$2342,"DISTRATO")</f>
        <v/>
      </c>
      <c r="L37" s="10" t="inlineStr">
        <is>
          <t>ESTIMADO - mesmo mês de 2008 ÷ (1+IPCA 2008)</t>
        </is>
      </c>
      <c r="M37" s="12">
        <f>IFERROR(INDEX(ContaCorrente!$D:$D,MATCH(A37,ContaCorrente!$A:$A,0)),"")</f>
        <v/>
      </c>
      <c r="N37" s="13">
        <f>IF(AND(ISNUMBER(M37),M37&lt;&gt;0),F37/M37,"")</f>
        <v/>
      </c>
    </row>
    <row r="38">
      <c r="A38" s="9" t="n">
        <v>39356</v>
      </c>
      <c r="B38" s="10">
        <f>YEAR(A38)</f>
        <v/>
      </c>
      <c r="C38" s="10">
        <f>MONTH(A38)</f>
        <v/>
      </c>
      <c r="D38" s="11">
        <f>SUMIFS(Lancamentos!$L$2:$L$2342,Lancamentos!$D$2:$D$2342,B38,Lancamentos!$E$2:$E$2342,C38)-E38</f>
        <v/>
      </c>
      <c r="E38" s="11">
        <f>SUMIFS(Lancamentos!$L$2:$L$2342,Lancamentos!$D$2:$D$2342,B38,Lancamentos!$E$2:$E$2342,C38,Lancamentos!$H$2:$H$2342,"PREMIO")</f>
        <v/>
      </c>
      <c r="F38" s="11">
        <f>D38+E38</f>
        <v/>
      </c>
      <c r="G38" s="12">
        <f>SUMIFS(Estimativas!$F:$F,Estimativas!$A:$A,A38)</f>
        <v/>
      </c>
      <c r="H38" s="11">
        <f>F38+G38</f>
        <v/>
      </c>
      <c r="I38" s="11">
        <f>SUMIFS(Lancamentos!$J$2:$J$2342,Lancamentos!$D$2:$D$2342,B38,Lancamentos!$E$2:$E$2342,C38,Lancamentos!$H$2:$H$2342,"&lt;&gt;DISTRATO")</f>
        <v/>
      </c>
      <c r="J38" s="11">
        <f>F38-I38</f>
        <v/>
      </c>
      <c r="K38" s="11">
        <f>SUMIFS(Lancamentos!$K$2:$K$2342,Lancamentos!$D$2:$D$2342,B38,Lancamentos!$E$2:$E$2342,C38,Lancamentos!$H$2:$H$2342,"DISTRATO")</f>
        <v/>
      </c>
      <c r="L38" s="10" t="inlineStr">
        <is>
          <t>ESTIMADO - mesmo mês de 2008 ÷ (1+IPCA 2008)</t>
        </is>
      </c>
      <c r="M38" s="12">
        <f>IFERROR(INDEX(ContaCorrente!$D:$D,MATCH(A38,ContaCorrente!$A:$A,0)),"")</f>
        <v/>
      </c>
      <c r="N38" s="13">
        <f>IF(AND(ISNUMBER(M38),M38&lt;&gt;0),F38/M38,"")</f>
        <v/>
      </c>
    </row>
    <row r="39">
      <c r="A39" s="9" t="n">
        <v>39387</v>
      </c>
      <c r="B39" s="10">
        <f>YEAR(A39)</f>
        <v/>
      </c>
      <c r="C39" s="10">
        <f>MONTH(A39)</f>
        <v/>
      </c>
      <c r="D39" s="11">
        <f>SUMIFS(Lancamentos!$L$2:$L$2342,Lancamentos!$D$2:$D$2342,B39,Lancamentos!$E$2:$E$2342,C39)-E39</f>
        <v/>
      </c>
      <c r="E39" s="11">
        <f>SUMIFS(Lancamentos!$L$2:$L$2342,Lancamentos!$D$2:$D$2342,B39,Lancamentos!$E$2:$E$2342,C39,Lancamentos!$H$2:$H$2342,"PREMIO")</f>
        <v/>
      </c>
      <c r="F39" s="11">
        <f>D39+E39</f>
        <v/>
      </c>
      <c r="G39" s="12">
        <f>SUMIFS(Estimativas!$F:$F,Estimativas!$A:$A,A39)</f>
        <v/>
      </c>
      <c r="H39" s="11">
        <f>F39+G39</f>
        <v/>
      </c>
      <c r="I39" s="11">
        <f>SUMIFS(Lancamentos!$J$2:$J$2342,Lancamentos!$D$2:$D$2342,B39,Lancamentos!$E$2:$E$2342,C39,Lancamentos!$H$2:$H$2342,"&lt;&gt;DISTRATO")</f>
        <v/>
      </c>
      <c r="J39" s="11">
        <f>F39-I39</f>
        <v/>
      </c>
      <c r="K39" s="11">
        <f>SUMIFS(Lancamentos!$K$2:$K$2342,Lancamentos!$D$2:$D$2342,B39,Lancamentos!$E$2:$E$2342,C39,Lancamentos!$H$2:$H$2342,"DISTRATO")</f>
        <v/>
      </c>
      <c r="L39" s="10" t="inlineStr">
        <is>
          <t>ESTIMADO - mesmo mês de 2008 ÷ (1+IPCA 2008)</t>
        </is>
      </c>
      <c r="M39" s="12">
        <f>IFERROR(INDEX(ContaCorrente!$D:$D,MATCH(A39,ContaCorrente!$A:$A,0)),"")</f>
        <v/>
      </c>
      <c r="N39" s="13">
        <f>IF(AND(ISNUMBER(M39),M39&lt;&gt;0),F39/M39,"")</f>
        <v/>
      </c>
    </row>
    <row r="40">
      <c r="A40" s="9" t="n">
        <v>39417</v>
      </c>
      <c r="B40" s="10">
        <f>YEAR(A40)</f>
        <v/>
      </c>
      <c r="C40" s="10">
        <f>MONTH(A40)</f>
        <v/>
      </c>
      <c r="D40" s="11">
        <f>SUMIFS(Lancamentos!$L$2:$L$2342,Lancamentos!$D$2:$D$2342,B40,Lancamentos!$E$2:$E$2342,C40)-E40</f>
        <v/>
      </c>
      <c r="E40" s="11">
        <f>SUMIFS(Lancamentos!$L$2:$L$2342,Lancamentos!$D$2:$D$2342,B40,Lancamentos!$E$2:$E$2342,C40,Lancamentos!$H$2:$H$2342,"PREMIO")</f>
        <v/>
      </c>
      <c r="F40" s="11">
        <f>D40+E40</f>
        <v/>
      </c>
      <c r="G40" s="12">
        <f>SUMIFS(Estimativas!$F:$F,Estimativas!$A:$A,A40)</f>
        <v/>
      </c>
      <c r="H40" s="11">
        <f>F40+G40</f>
        <v/>
      </c>
      <c r="I40" s="11">
        <f>SUMIFS(Lancamentos!$J$2:$J$2342,Lancamentos!$D$2:$D$2342,B40,Lancamentos!$E$2:$E$2342,C40,Lancamentos!$H$2:$H$2342,"&lt;&gt;DISTRATO")</f>
        <v/>
      </c>
      <c r="J40" s="11">
        <f>F40-I40</f>
        <v/>
      </c>
      <c r="K40" s="11">
        <f>SUMIFS(Lancamentos!$K$2:$K$2342,Lancamentos!$D$2:$D$2342,B40,Lancamentos!$E$2:$E$2342,C40,Lancamentos!$H$2:$H$2342,"DISTRATO")</f>
        <v/>
      </c>
      <c r="L40" s="10" t="inlineStr">
        <is>
          <t>ESTIMADO - mesmo mês de 2008 ÷ (1+IPCA 2008)</t>
        </is>
      </c>
      <c r="M40" s="12">
        <f>IFERROR(INDEX(ContaCorrente!$D:$D,MATCH(A40,ContaCorrente!$A:$A,0)),"")</f>
        <v/>
      </c>
      <c r="N40" s="13">
        <f>IF(AND(ISNUMBER(M40),M40&lt;&gt;0),F40/M40,"")</f>
        <v/>
      </c>
    </row>
    <row r="41">
      <c r="A41" s="4" t="n">
        <v>39448</v>
      </c>
      <c r="B41" s="5">
        <f>YEAR(A41)</f>
        <v/>
      </c>
      <c r="C41" s="5">
        <f>MONTH(A41)</f>
        <v/>
      </c>
      <c r="D41" s="6">
        <f>SUMIFS(Lancamentos!$L$2:$L$2342,Lancamentos!$D$2:$D$2342,B41,Lancamentos!$E$2:$E$2342,C41)-E41</f>
        <v/>
      </c>
      <c r="E41" s="6">
        <f>SUMIFS(Lancamentos!$L$2:$L$2342,Lancamentos!$D$2:$D$2342,B41,Lancamentos!$E$2:$E$2342,C41,Lancamentos!$H$2:$H$2342,"PREMIO")</f>
        <v/>
      </c>
      <c r="F41" s="6">
        <f>D41+E41</f>
        <v/>
      </c>
      <c r="G41" s="7">
        <f>SUMIFS(Estimativas!$F:$F,Estimativas!$A:$A,A41)</f>
        <v/>
      </c>
      <c r="H41" s="6">
        <f>F41+G41</f>
        <v/>
      </c>
      <c r="I41" s="6">
        <f>SUMIFS(Lancamentos!$J$2:$J$2342,Lancamentos!$D$2:$D$2342,B41,Lancamentos!$E$2:$E$2342,C41,Lancamentos!$H$2:$H$2342,"&lt;&gt;DISTRATO")</f>
        <v/>
      </c>
      <c r="J41" s="6">
        <f>F41-I41</f>
        <v/>
      </c>
      <c r="K41" s="6">
        <f>SUMIFS(Lancamentos!$K$2:$K$2342,Lancamentos!$D$2:$D$2342,B41,Lancamentos!$E$2:$E$2342,C41,Lancamentos!$H$2:$H$2342,"DISTRATO")</f>
        <v/>
      </c>
      <c r="L41" s="5" t="inlineStr">
        <is>
          <t>Tenda (conta corrente)</t>
        </is>
      </c>
      <c r="M41" s="7">
        <f>IFERROR(INDEX(ContaCorrente!$D:$D,MATCH(A41,ContaCorrente!$A:$A,0)),"")</f>
        <v/>
      </c>
      <c r="N41" s="8">
        <f>IF(AND(ISNUMBER(M41),M41&lt;&gt;0),F41/M41,"")</f>
        <v/>
      </c>
    </row>
    <row r="42">
      <c r="A42" s="4" t="n">
        <v>39479</v>
      </c>
      <c r="B42" s="5">
        <f>YEAR(A42)</f>
        <v/>
      </c>
      <c r="C42" s="5">
        <f>MONTH(A42)</f>
        <v/>
      </c>
      <c r="D42" s="6">
        <f>SUMIFS(Lancamentos!$L$2:$L$2342,Lancamentos!$D$2:$D$2342,B42,Lancamentos!$E$2:$E$2342,C42)-E42</f>
        <v/>
      </c>
      <c r="E42" s="6">
        <f>SUMIFS(Lancamentos!$L$2:$L$2342,Lancamentos!$D$2:$D$2342,B42,Lancamentos!$E$2:$E$2342,C42,Lancamentos!$H$2:$H$2342,"PREMIO")</f>
        <v/>
      </c>
      <c r="F42" s="6">
        <f>D42+E42</f>
        <v/>
      </c>
      <c r="G42" s="7">
        <f>SUMIFS(Estimativas!$F:$F,Estimativas!$A:$A,A42)</f>
        <v/>
      </c>
      <c r="H42" s="6">
        <f>F42+G42</f>
        <v/>
      </c>
      <c r="I42" s="6">
        <f>SUMIFS(Lancamentos!$J$2:$J$2342,Lancamentos!$D$2:$D$2342,B42,Lancamentos!$E$2:$E$2342,C42,Lancamentos!$H$2:$H$2342,"&lt;&gt;DISTRATO")</f>
        <v/>
      </c>
      <c r="J42" s="6">
        <f>F42-I42</f>
        <v/>
      </c>
      <c r="K42" s="6">
        <f>SUMIFS(Lancamentos!$K$2:$K$2342,Lancamentos!$D$2:$D$2342,B42,Lancamentos!$E$2:$E$2342,C42,Lancamentos!$H$2:$H$2342,"DISTRATO")</f>
        <v/>
      </c>
      <c r="L42" s="5" t="inlineStr">
        <is>
          <t>Tenda (conta corrente)</t>
        </is>
      </c>
      <c r="M42" s="7">
        <f>IFERROR(INDEX(ContaCorrente!$D:$D,MATCH(A42,ContaCorrente!$A:$A,0)),"")</f>
        <v/>
      </c>
      <c r="N42" s="8">
        <f>IF(AND(ISNUMBER(M42),M42&lt;&gt;0),F42/M42,"")</f>
        <v/>
      </c>
    </row>
    <row r="43">
      <c r="A43" s="4" t="n">
        <v>39508</v>
      </c>
      <c r="B43" s="5">
        <f>YEAR(A43)</f>
        <v/>
      </c>
      <c r="C43" s="5">
        <f>MONTH(A43)</f>
        <v/>
      </c>
      <c r="D43" s="6">
        <f>SUMIFS(Lancamentos!$L$2:$L$2342,Lancamentos!$D$2:$D$2342,B43,Lancamentos!$E$2:$E$2342,C43)-E43</f>
        <v/>
      </c>
      <c r="E43" s="6">
        <f>SUMIFS(Lancamentos!$L$2:$L$2342,Lancamentos!$D$2:$D$2342,B43,Lancamentos!$E$2:$E$2342,C43,Lancamentos!$H$2:$H$2342,"PREMIO")</f>
        <v/>
      </c>
      <c r="F43" s="6">
        <f>D43+E43</f>
        <v/>
      </c>
      <c r="G43" s="7">
        <f>SUMIFS(Estimativas!$F:$F,Estimativas!$A:$A,A43)</f>
        <v/>
      </c>
      <c r="H43" s="6">
        <f>F43+G43</f>
        <v/>
      </c>
      <c r="I43" s="6">
        <f>SUMIFS(Lancamentos!$J$2:$J$2342,Lancamentos!$D$2:$D$2342,B43,Lancamentos!$E$2:$E$2342,C43,Lancamentos!$H$2:$H$2342,"&lt;&gt;DISTRATO")</f>
        <v/>
      </c>
      <c r="J43" s="6">
        <f>F43-I43</f>
        <v/>
      </c>
      <c r="K43" s="6">
        <f>SUMIFS(Lancamentos!$K$2:$K$2342,Lancamentos!$D$2:$D$2342,B43,Lancamentos!$E$2:$E$2342,C43,Lancamentos!$H$2:$H$2342,"DISTRATO")</f>
        <v/>
      </c>
      <c r="L43" s="5" t="inlineStr">
        <is>
          <t>Tenda (conta corrente)</t>
        </is>
      </c>
      <c r="M43" s="7">
        <f>IFERROR(INDEX(ContaCorrente!$D:$D,MATCH(A43,ContaCorrente!$A:$A,0)),"")</f>
        <v/>
      </c>
      <c r="N43" s="8">
        <f>IF(AND(ISNUMBER(M43),M43&lt;&gt;0),F43/M43,"")</f>
        <v/>
      </c>
    </row>
    <row r="44">
      <c r="A44" s="4" t="n">
        <v>39539</v>
      </c>
      <c r="B44" s="5">
        <f>YEAR(A44)</f>
        <v/>
      </c>
      <c r="C44" s="5">
        <f>MONTH(A44)</f>
        <v/>
      </c>
      <c r="D44" s="6">
        <f>SUMIFS(Lancamentos!$L$2:$L$2342,Lancamentos!$D$2:$D$2342,B44,Lancamentos!$E$2:$E$2342,C44)-E44</f>
        <v/>
      </c>
      <c r="E44" s="6">
        <f>SUMIFS(Lancamentos!$L$2:$L$2342,Lancamentos!$D$2:$D$2342,B44,Lancamentos!$E$2:$E$2342,C44,Lancamentos!$H$2:$H$2342,"PREMIO")</f>
        <v/>
      </c>
      <c r="F44" s="6">
        <f>D44+E44</f>
        <v/>
      </c>
      <c r="G44" s="7">
        <f>SUMIFS(Estimativas!$F:$F,Estimativas!$A:$A,A44)</f>
        <v/>
      </c>
      <c r="H44" s="6">
        <f>F44+G44</f>
        <v/>
      </c>
      <c r="I44" s="6">
        <f>SUMIFS(Lancamentos!$J$2:$J$2342,Lancamentos!$D$2:$D$2342,B44,Lancamentos!$E$2:$E$2342,C44,Lancamentos!$H$2:$H$2342,"&lt;&gt;DISTRATO")</f>
        <v/>
      </c>
      <c r="J44" s="6">
        <f>F44-I44</f>
        <v/>
      </c>
      <c r="K44" s="6">
        <f>SUMIFS(Lancamentos!$K$2:$K$2342,Lancamentos!$D$2:$D$2342,B44,Lancamentos!$E$2:$E$2342,C44,Lancamentos!$H$2:$H$2342,"DISTRATO")</f>
        <v/>
      </c>
      <c r="L44" s="5" t="inlineStr">
        <is>
          <t>Tenda (conta corrente)</t>
        </is>
      </c>
      <c r="M44" s="7">
        <f>IFERROR(INDEX(ContaCorrente!$D:$D,MATCH(A44,ContaCorrente!$A:$A,0)),"")</f>
        <v/>
      </c>
      <c r="N44" s="8">
        <f>IF(AND(ISNUMBER(M44),M44&lt;&gt;0),F44/M44,"")</f>
        <v/>
      </c>
    </row>
    <row r="45">
      <c r="A45" s="4" t="n">
        <v>39569</v>
      </c>
      <c r="B45" s="5">
        <f>YEAR(A45)</f>
        <v/>
      </c>
      <c r="C45" s="5">
        <f>MONTH(A45)</f>
        <v/>
      </c>
      <c r="D45" s="6">
        <f>SUMIFS(Lancamentos!$L$2:$L$2342,Lancamentos!$D$2:$D$2342,B45,Lancamentos!$E$2:$E$2342,C45)-E45</f>
        <v/>
      </c>
      <c r="E45" s="6">
        <f>SUMIFS(Lancamentos!$L$2:$L$2342,Lancamentos!$D$2:$D$2342,B45,Lancamentos!$E$2:$E$2342,C45,Lancamentos!$H$2:$H$2342,"PREMIO")</f>
        <v/>
      </c>
      <c r="F45" s="6">
        <f>D45+E45</f>
        <v/>
      </c>
      <c r="G45" s="7">
        <f>SUMIFS(Estimativas!$F:$F,Estimativas!$A:$A,A45)</f>
        <v/>
      </c>
      <c r="H45" s="6">
        <f>F45+G45</f>
        <v/>
      </c>
      <c r="I45" s="6">
        <f>SUMIFS(Lancamentos!$J$2:$J$2342,Lancamentos!$D$2:$D$2342,B45,Lancamentos!$E$2:$E$2342,C45,Lancamentos!$H$2:$H$2342,"&lt;&gt;DISTRATO")</f>
        <v/>
      </c>
      <c r="J45" s="6">
        <f>F45-I45</f>
        <v/>
      </c>
      <c r="K45" s="6">
        <f>SUMIFS(Lancamentos!$K$2:$K$2342,Lancamentos!$D$2:$D$2342,B45,Lancamentos!$E$2:$E$2342,C45,Lancamentos!$H$2:$H$2342,"DISTRATO")</f>
        <v/>
      </c>
      <c r="L45" s="5" t="inlineStr">
        <is>
          <t>Tenda (conta corrente)</t>
        </is>
      </c>
      <c r="M45" s="7">
        <f>IFERROR(INDEX(ContaCorrente!$D:$D,MATCH(A45,ContaCorrente!$A:$A,0)),"")</f>
        <v/>
      </c>
      <c r="N45" s="8">
        <f>IF(AND(ISNUMBER(M45),M45&lt;&gt;0),F45/M45,"")</f>
        <v/>
      </c>
    </row>
    <row r="46">
      <c r="A46" s="4" t="n">
        <v>39600</v>
      </c>
      <c r="B46" s="5">
        <f>YEAR(A46)</f>
        <v/>
      </c>
      <c r="C46" s="5">
        <f>MONTH(A46)</f>
        <v/>
      </c>
      <c r="D46" s="6">
        <f>SUMIFS(Lancamentos!$L$2:$L$2342,Lancamentos!$D$2:$D$2342,B46,Lancamentos!$E$2:$E$2342,C46)-E46</f>
        <v/>
      </c>
      <c r="E46" s="6">
        <f>SUMIFS(Lancamentos!$L$2:$L$2342,Lancamentos!$D$2:$D$2342,B46,Lancamentos!$E$2:$E$2342,C46,Lancamentos!$H$2:$H$2342,"PREMIO")</f>
        <v/>
      </c>
      <c r="F46" s="6">
        <f>D46+E46</f>
        <v/>
      </c>
      <c r="G46" s="7">
        <f>SUMIFS(Estimativas!$F:$F,Estimativas!$A:$A,A46)</f>
        <v/>
      </c>
      <c r="H46" s="6">
        <f>F46+G46</f>
        <v/>
      </c>
      <c r="I46" s="6">
        <f>SUMIFS(Lancamentos!$J$2:$J$2342,Lancamentos!$D$2:$D$2342,B46,Lancamentos!$E$2:$E$2342,C46,Lancamentos!$H$2:$H$2342,"&lt;&gt;DISTRATO")</f>
        <v/>
      </c>
      <c r="J46" s="6">
        <f>F46-I46</f>
        <v/>
      </c>
      <c r="K46" s="6">
        <f>SUMIFS(Lancamentos!$K$2:$K$2342,Lancamentos!$D$2:$D$2342,B46,Lancamentos!$E$2:$E$2342,C46,Lancamentos!$H$2:$H$2342,"DISTRATO")</f>
        <v/>
      </c>
      <c r="L46" s="5" t="inlineStr">
        <is>
          <t>Tenda (conta corrente)</t>
        </is>
      </c>
      <c r="M46" s="7">
        <f>IFERROR(INDEX(ContaCorrente!$D:$D,MATCH(A46,ContaCorrente!$A:$A,0)),"")</f>
        <v/>
      </c>
      <c r="N46" s="8">
        <f>IF(AND(ISNUMBER(M46),M46&lt;&gt;0),F46/M46,"")</f>
        <v/>
      </c>
    </row>
    <row r="47">
      <c r="A47" s="4" t="n">
        <v>39630</v>
      </c>
      <c r="B47" s="5">
        <f>YEAR(A47)</f>
        <v/>
      </c>
      <c r="C47" s="5">
        <f>MONTH(A47)</f>
        <v/>
      </c>
      <c r="D47" s="6">
        <f>SUMIFS(Lancamentos!$L$2:$L$2342,Lancamentos!$D$2:$D$2342,B47,Lancamentos!$E$2:$E$2342,C47)-E47</f>
        <v/>
      </c>
      <c r="E47" s="6">
        <f>SUMIFS(Lancamentos!$L$2:$L$2342,Lancamentos!$D$2:$D$2342,B47,Lancamentos!$E$2:$E$2342,C47,Lancamentos!$H$2:$H$2342,"PREMIO")</f>
        <v/>
      </c>
      <c r="F47" s="6">
        <f>D47+E47</f>
        <v/>
      </c>
      <c r="G47" s="7">
        <f>SUMIFS(Estimativas!$F:$F,Estimativas!$A:$A,A47)</f>
        <v/>
      </c>
      <c r="H47" s="6">
        <f>F47+G47</f>
        <v/>
      </c>
      <c r="I47" s="6">
        <f>SUMIFS(Lancamentos!$J$2:$J$2342,Lancamentos!$D$2:$D$2342,B47,Lancamentos!$E$2:$E$2342,C47,Lancamentos!$H$2:$H$2342,"&lt;&gt;DISTRATO")</f>
        <v/>
      </c>
      <c r="J47" s="6">
        <f>F47-I47</f>
        <v/>
      </c>
      <c r="K47" s="6">
        <f>SUMIFS(Lancamentos!$K$2:$K$2342,Lancamentos!$D$2:$D$2342,B47,Lancamentos!$E$2:$E$2342,C47,Lancamentos!$H$2:$H$2342,"DISTRATO")</f>
        <v/>
      </c>
      <c r="L47" s="5" t="inlineStr">
        <is>
          <t>Tenda (conta corrente)</t>
        </is>
      </c>
      <c r="M47" s="7">
        <f>IFERROR(INDEX(ContaCorrente!$D:$D,MATCH(A47,ContaCorrente!$A:$A,0)),"")</f>
        <v/>
      </c>
      <c r="N47" s="8">
        <f>IF(AND(ISNUMBER(M47),M47&lt;&gt;0),F47/M47,"")</f>
        <v/>
      </c>
    </row>
    <row r="48">
      <c r="A48" s="4" t="n">
        <v>39661</v>
      </c>
      <c r="B48" s="5">
        <f>YEAR(A48)</f>
        <v/>
      </c>
      <c r="C48" s="5">
        <f>MONTH(A48)</f>
        <v/>
      </c>
      <c r="D48" s="6">
        <f>SUMIFS(Lancamentos!$L$2:$L$2342,Lancamentos!$D$2:$D$2342,B48,Lancamentos!$E$2:$E$2342,C48)-E48</f>
        <v/>
      </c>
      <c r="E48" s="6">
        <f>SUMIFS(Lancamentos!$L$2:$L$2342,Lancamentos!$D$2:$D$2342,B48,Lancamentos!$E$2:$E$2342,C48,Lancamentos!$H$2:$H$2342,"PREMIO")</f>
        <v/>
      </c>
      <c r="F48" s="6">
        <f>D48+E48</f>
        <v/>
      </c>
      <c r="G48" s="7">
        <f>SUMIFS(Estimativas!$F:$F,Estimativas!$A:$A,A48)</f>
        <v/>
      </c>
      <c r="H48" s="6">
        <f>F48+G48</f>
        <v/>
      </c>
      <c r="I48" s="6">
        <f>SUMIFS(Lancamentos!$J$2:$J$2342,Lancamentos!$D$2:$D$2342,B48,Lancamentos!$E$2:$E$2342,C48,Lancamentos!$H$2:$H$2342,"&lt;&gt;DISTRATO")</f>
        <v/>
      </c>
      <c r="J48" s="6">
        <f>F48-I48</f>
        <v/>
      </c>
      <c r="K48" s="6">
        <f>SUMIFS(Lancamentos!$K$2:$K$2342,Lancamentos!$D$2:$D$2342,B48,Lancamentos!$E$2:$E$2342,C48,Lancamentos!$H$2:$H$2342,"DISTRATO")</f>
        <v/>
      </c>
      <c r="L48" s="5" t="inlineStr">
        <is>
          <t>Tenda (conta corrente)</t>
        </is>
      </c>
      <c r="M48" s="7">
        <f>IFERROR(INDEX(ContaCorrente!$D:$D,MATCH(A48,ContaCorrente!$A:$A,0)),"")</f>
        <v/>
      </c>
      <c r="N48" s="8">
        <f>IF(AND(ISNUMBER(M48),M48&lt;&gt;0),F48/M48,"")</f>
        <v/>
      </c>
    </row>
    <row r="49">
      <c r="A49" s="4" t="n">
        <v>39692</v>
      </c>
      <c r="B49" s="5">
        <f>YEAR(A49)</f>
        <v/>
      </c>
      <c r="C49" s="5">
        <f>MONTH(A49)</f>
        <v/>
      </c>
      <c r="D49" s="6">
        <f>SUMIFS(Lancamentos!$L$2:$L$2342,Lancamentos!$D$2:$D$2342,B49,Lancamentos!$E$2:$E$2342,C49)-E49</f>
        <v/>
      </c>
      <c r="E49" s="6">
        <f>SUMIFS(Lancamentos!$L$2:$L$2342,Lancamentos!$D$2:$D$2342,B49,Lancamentos!$E$2:$E$2342,C49,Lancamentos!$H$2:$H$2342,"PREMIO")</f>
        <v/>
      </c>
      <c r="F49" s="6">
        <f>D49+E49</f>
        <v/>
      </c>
      <c r="G49" s="7">
        <f>SUMIFS(Estimativas!$F:$F,Estimativas!$A:$A,A49)</f>
        <v/>
      </c>
      <c r="H49" s="6">
        <f>F49+G49</f>
        <v/>
      </c>
      <c r="I49" s="6">
        <f>SUMIFS(Lancamentos!$J$2:$J$2342,Lancamentos!$D$2:$D$2342,B49,Lancamentos!$E$2:$E$2342,C49,Lancamentos!$H$2:$H$2342,"&lt;&gt;DISTRATO")</f>
        <v/>
      </c>
      <c r="J49" s="6">
        <f>F49-I49</f>
        <v/>
      </c>
      <c r="K49" s="6">
        <f>SUMIFS(Lancamentos!$K$2:$K$2342,Lancamentos!$D$2:$D$2342,B49,Lancamentos!$E$2:$E$2342,C49,Lancamentos!$H$2:$H$2342,"DISTRATO")</f>
        <v/>
      </c>
      <c r="L49" s="5" t="inlineStr">
        <is>
          <t>Tenda (conta corrente)</t>
        </is>
      </c>
      <c r="M49" s="7">
        <f>IFERROR(INDEX(ContaCorrente!$D:$D,MATCH(A49,ContaCorrente!$A:$A,0)),"")</f>
        <v/>
      </c>
      <c r="N49" s="8">
        <f>IF(AND(ISNUMBER(M49),M49&lt;&gt;0),F49/M49,"")</f>
        <v/>
      </c>
    </row>
    <row r="50">
      <c r="A50" s="4" t="n">
        <v>39722</v>
      </c>
      <c r="B50" s="5">
        <f>YEAR(A50)</f>
        <v/>
      </c>
      <c r="C50" s="5">
        <f>MONTH(A50)</f>
        <v/>
      </c>
      <c r="D50" s="6">
        <f>SUMIFS(Lancamentos!$L$2:$L$2342,Lancamentos!$D$2:$D$2342,B50,Lancamentos!$E$2:$E$2342,C50)-E50</f>
        <v/>
      </c>
      <c r="E50" s="6">
        <f>SUMIFS(Lancamentos!$L$2:$L$2342,Lancamentos!$D$2:$D$2342,B50,Lancamentos!$E$2:$E$2342,C50,Lancamentos!$H$2:$H$2342,"PREMIO")</f>
        <v/>
      </c>
      <c r="F50" s="6">
        <f>D50+E50</f>
        <v/>
      </c>
      <c r="G50" s="7">
        <f>SUMIFS(Estimativas!$F:$F,Estimativas!$A:$A,A50)</f>
        <v/>
      </c>
      <c r="H50" s="6">
        <f>F50+G50</f>
        <v/>
      </c>
      <c r="I50" s="6">
        <f>SUMIFS(Lancamentos!$J$2:$J$2342,Lancamentos!$D$2:$D$2342,B50,Lancamentos!$E$2:$E$2342,C50,Lancamentos!$H$2:$H$2342,"&lt;&gt;DISTRATO")</f>
        <v/>
      </c>
      <c r="J50" s="6">
        <f>F50-I50</f>
        <v/>
      </c>
      <c r="K50" s="6">
        <f>SUMIFS(Lancamentos!$K$2:$K$2342,Lancamentos!$D$2:$D$2342,B50,Lancamentos!$E$2:$E$2342,C50,Lancamentos!$H$2:$H$2342,"DISTRATO")</f>
        <v/>
      </c>
      <c r="L50" s="5" t="inlineStr">
        <is>
          <t>Tenda (conta corrente)</t>
        </is>
      </c>
      <c r="M50" s="7">
        <f>IFERROR(INDEX(ContaCorrente!$D:$D,MATCH(A50,ContaCorrente!$A:$A,0)),"")</f>
        <v/>
      </c>
      <c r="N50" s="8">
        <f>IF(AND(ISNUMBER(M50),M50&lt;&gt;0),F50/M50,"")</f>
        <v/>
      </c>
    </row>
    <row r="51">
      <c r="A51" s="4" t="n">
        <v>39753</v>
      </c>
      <c r="B51" s="5">
        <f>YEAR(A51)</f>
        <v/>
      </c>
      <c r="C51" s="5">
        <f>MONTH(A51)</f>
        <v/>
      </c>
      <c r="D51" s="6">
        <f>SUMIFS(Lancamentos!$L$2:$L$2342,Lancamentos!$D$2:$D$2342,B51,Lancamentos!$E$2:$E$2342,C51)-E51</f>
        <v/>
      </c>
      <c r="E51" s="6">
        <f>SUMIFS(Lancamentos!$L$2:$L$2342,Lancamentos!$D$2:$D$2342,B51,Lancamentos!$E$2:$E$2342,C51,Lancamentos!$H$2:$H$2342,"PREMIO")</f>
        <v/>
      </c>
      <c r="F51" s="6">
        <f>D51+E51</f>
        <v/>
      </c>
      <c r="G51" s="7">
        <f>SUMIFS(Estimativas!$F:$F,Estimativas!$A:$A,A51)</f>
        <v/>
      </c>
      <c r="H51" s="6">
        <f>F51+G51</f>
        <v/>
      </c>
      <c r="I51" s="6">
        <f>SUMIFS(Lancamentos!$J$2:$J$2342,Lancamentos!$D$2:$D$2342,B51,Lancamentos!$E$2:$E$2342,C51,Lancamentos!$H$2:$H$2342,"&lt;&gt;DISTRATO")</f>
        <v/>
      </c>
      <c r="J51" s="6">
        <f>F51-I51</f>
        <v/>
      </c>
      <c r="K51" s="6">
        <f>SUMIFS(Lancamentos!$K$2:$K$2342,Lancamentos!$D$2:$D$2342,B51,Lancamentos!$E$2:$E$2342,C51,Lancamentos!$H$2:$H$2342,"DISTRATO")</f>
        <v/>
      </c>
      <c r="L51" s="5" t="inlineStr">
        <is>
          <t>Tenda (conta corrente)</t>
        </is>
      </c>
      <c r="M51" s="7">
        <f>IFERROR(INDEX(ContaCorrente!$D:$D,MATCH(A51,ContaCorrente!$A:$A,0)),"")</f>
        <v/>
      </c>
      <c r="N51" s="8">
        <f>IF(AND(ISNUMBER(M51),M51&lt;&gt;0),F51/M51,"")</f>
        <v/>
      </c>
    </row>
    <row r="52">
      <c r="A52" s="4" t="n">
        <v>39783</v>
      </c>
      <c r="B52" s="5">
        <f>YEAR(A52)</f>
        <v/>
      </c>
      <c r="C52" s="5">
        <f>MONTH(A52)</f>
        <v/>
      </c>
      <c r="D52" s="6">
        <f>SUMIFS(Lancamentos!$L$2:$L$2342,Lancamentos!$D$2:$D$2342,B52,Lancamentos!$E$2:$E$2342,C52)-E52</f>
        <v/>
      </c>
      <c r="E52" s="6">
        <f>SUMIFS(Lancamentos!$L$2:$L$2342,Lancamentos!$D$2:$D$2342,B52,Lancamentos!$E$2:$E$2342,C52,Lancamentos!$H$2:$H$2342,"PREMIO")</f>
        <v/>
      </c>
      <c r="F52" s="6">
        <f>D52+E52</f>
        <v/>
      </c>
      <c r="G52" s="7">
        <f>SUMIFS(Estimativas!$F:$F,Estimativas!$A:$A,A52)</f>
        <v/>
      </c>
      <c r="H52" s="6">
        <f>F52+G52</f>
        <v/>
      </c>
      <c r="I52" s="6">
        <f>SUMIFS(Lancamentos!$J$2:$J$2342,Lancamentos!$D$2:$D$2342,B52,Lancamentos!$E$2:$E$2342,C52,Lancamentos!$H$2:$H$2342,"&lt;&gt;DISTRATO")</f>
        <v/>
      </c>
      <c r="J52" s="6">
        <f>F52-I52</f>
        <v/>
      </c>
      <c r="K52" s="6">
        <f>SUMIFS(Lancamentos!$K$2:$K$2342,Lancamentos!$D$2:$D$2342,B52,Lancamentos!$E$2:$E$2342,C52,Lancamentos!$H$2:$H$2342,"DISTRATO")</f>
        <v/>
      </c>
      <c r="L52" s="5" t="inlineStr">
        <is>
          <t>Tenda (conta corrente)</t>
        </is>
      </c>
      <c r="M52" s="7">
        <f>IFERROR(INDEX(ContaCorrente!$D:$D,MATCH(A52,ContaCorrente!$A:$A,0)),"")</f>
        <v/>
      </c>
      <c r="N52" s="8">
        <f>IF(AND(ISNUMBER(M52),M52&lt;&gt;0),F52/M52,"")</f>
        <v/>
      </c>
    </row>
    <row r="53">
      <c r="A53" s="4" t="n">
        <v>39814</v>
      </c>
      <c r="B53" s="5">
        <f>YEAR(A53)</f>
        <v/>
      </c>
      <c r="C53" s="5">
        <f>MONTH(A53)</f>
        <v/>
      </c>
      <c r="D53" s="6">
        <f>SUMIFS(Lancamentos!$L$2:$L$2342,Lancamentos!$D$2:$D$2342,B53,Lancamentos!$E$2:$E$2342,C53)-E53</f>
        <v/>
      </c>
      <c r="E53" s="6">
        <f>SUMIFS(Lancamentos!$L$2:$L$2342,Lancamentos!$D$2:$D$2342,B53,Lancamentos!$E$2:$E$2342,C53,Lancamentos!$H$2:$H$2342,"PREMIO")</f>
        <v/>
      </c>
      <c r="F53" s="6">
        <f>D53+E53</f>
        <v/>
      </c>
      <c r="G53" s="7">
        <f>SUMIFS(Estimativas!$F:$F,Estimativas!$A:$A,A53)</f>
        <v/>
      </c>
      <c r="H53" s="6">
        <f>F53+G53</f>
        <v/>
      </c>
      <c r="I53" s="6">
        <f>SUMIFS(Lancamentos!$J$2:$J$2342,Lancamentos!$D$2:$D$2342,B53,Lancamentos!$E$2:$E$2342,C53,Lancamentos!$H$2:$H$2342,"&lt;&gt;DISTRATO")</f>
        <v/>
      </c>
      <c r="J53" s="6">
        <f>F53-I53</f>
        <v/>
      </c>
      <c r="K53" s="6">
        <f>SUMIFS(Lancamentos!$K$2:$K$2342,Lancamentos!$D$2:$D$2342,B53,Lancamentos!$E$2:$E$2342,C53,Lancamentos!$H$2:$H$2342,"DISTRATO")</f>
        <v/>
      </c>
      <c r="L53" s="5" t="inlineStr">
        <is>
          <t>Tenda (conta corrente)</t>
        </is>
      </c>
      <c r="M53" s="7">
        <f>IFERROR(INDEX(ContaCorrente!$D:$D,MATCH(A53,ContaCorrente!$A:$A,0)),"")</f>
        <v/>
      </c>
      <c r="N53" s="8">
        <f>IF(AND(ISNUMBER(M53),M53&lt;&gt;0),F53/M53,"")</f>
        <v/>
      </c>
    </row>
    <row r="54">
      <c r="A54" s="4" t="n">
        <v>39845</v>
      </c>
      <c r="B54" s="5">
        <f>YEAR(A54)</f>
        <v/>
      </c>
      <c r="C54" s="5">
        <f>MONTH(A54)</f>
        <v/>
      </c>
      <c r="D54" s="6">
        <f>SUMIFS(Lancamentos!$L$2:$L$2342,Lancamentos!$D$2:$D$2342,B54,Lancamentos!$E$2:$E$2342,C54)-E54</f>
        <v/>
      </c>
      <c r="E54" s="6">
        <f>SUMIFS(Lancamentos!$L$2:$L$2342,Lancamentos!$D$2:$D$2342,B54,Lancamentos!$E$2:$E$2342,C54,Lancamentos!$H$2:$H$2342,"PREMIO")</f>
        <v/>
      </c>
      <c r="F54" s="6">
        <f>D54+E54</f>
        <v/>
      </c>
      <c r="G54" s="7">
        <f>SUMIFS(Estimativas!$F:$F,Estimativas!$A:$A,A54)</f>
        <v/>
      </c>
      <c r="H54" s="6">
        <f>F54+G54</f>
        <v/>
      </c>
      <c r="I54" s="6">
        <f>SUMIFS(Lancamentos!$J$2:$J$2342,Lancamentos!$D$2:$D$2342,B54,Lancamentos!$E$2:$E$2342,C54,Lancamentos!$H$2:$H$2342,"&lt;&gt;DISTRATO")</f>
        <v/>
      </c>
      <c r="J54" s="6">
        <f>F54-I54</f>
        <v/>
      </c>
      <c r="K54" s="6">
        <f>SUMIFS(Lancamentos!$K$2:$K$2342,Lancamentos!$D$2:$D$2342,B54,Lancamentos!$E$2:$E$2342,C54,Lancamentos!$H$2:$H$2342,"DISTRATO")</f>
        <v/>
      </c>
      <c r="L54" s="5" t="inlineStr">
        <is>
          <t>Tenda (conta corrente)</t>
        </is>
      </c>
      <c r="M54" s="7">
        <f>IFERROR(INDEX(ContaCorrente!$D:$D,MATCH(A54,ContaCorrente!$A:$A,0)),"")</f>
        <v/>
      </c>
      <c r="N54" s="8">
        <f>IF(AND(ISNUMBER(M54),M54&lt;&gt;0),F54/M54,"")</f>
        <v/>
      </c>
    </row>
    <row r="55">
      <c r="A55" s="4" t="n">
        <v>39873</v>
      </c>
      <c r="B55" s="5">
        <f>YEAR(A55)</f>
        <v/>
      </c>
      <c r="C55" s="5">
        <f>MONTH(A55)</f>
        <v/>
      </c>
      <c r="D55" s="6">
        <f>SUMIFS(Lancamentos!$L$2:$L$2342,Lancamentos!$D$2:$D$2342,B55,Lancamentos!$E$2:$E$2342,C55)-E55</f>
        <v/>
      </c>
      <c r="E55" s="6">
        <f>SUMIFS(Lancamentos!$L$2:$L$2342,Lancamentos!$D$2:$D$2342,B55,Lancamentos!$E$2:$E$2342,C55,Lancamentos!$H$2:$H$2342,"PREMIO")</f>
        <v/>
      </c>
      <c r="F55" s="6">
        <f>D55+E55</f>
        <v/>
      </c>
      <c r="G55" s="7">
        <f>SUMIFS(Estimativas!$F:$F,Estimativas!$A:$A,A55)</f>
        <v/>
      </c>
      <c r="H55" s="6">
        <f>F55+G55</f>
        <v/>
      </c>
      <c r="I55" s="6">
        <f>SUMIFS(Lancamentos!$J$2:$J$2342,Lancamentos!$D$2:$D$2342,B55,Lancamentos!$E$2:$E$2342,C55,Lancamentos!$H$2:$H$2342,"&lt;&gt;DISTRATO")</f>
        <v/>
      </c>
      <c r="J55" s="6">
        <f>F55-I55</f>
        <v/>
      </c>
      <c r="K55" s="6">
        <f>SUMIFS(Lancamentos!$K$2:$K$2342,Lancamentos!$D$2:$D$2342,B55,Lancamentos!$E$2:$E$2342,C55,Lancamentos!$H$2:$H$2342,"DISTRATO")</f>
        <v/>
      </c>
      <c r="L55" s="5" t="inlineStr">
        <is>
          <t>Tenda (conta corrente)</t>
        </is>
      </c>
      <c r="M55" s="7">
        <f>IFERROR(INDEX(ContaCorrente!$D:$D,MATCH(A55,ContaCorrente!$A:$A,0)),"")</f>
        <v/>
      </c>
      <c r="N55" s="8">
        <f>IF(AND(ISNUMBER(M55),M55&lt;&gt;0),F55/M55,"")</f>
        <v/>
      </c>
    </row>
    <row r="56">
      <c r="A56" s="4" t="n">
        <v>39904</v>
      </c>
      <c r="B56" s="5">
        <f>YEAR(A56)</f>
        <v/>
      </c>
      <c r="C56" s="5">
        <f>MONTH(A56)</f>
        <v/>
      </c>
      <c r="D56" s="6">
        <f>SUMIFS(Lancamentos!$L$2:$L$2342,Lancamentos!$D$2:$D$2342,B56,Lancamentos!$E$2:$E$2342,C56)-E56</f>
        <v/>
      </c>
      <c r="E56" s="6">
        <f>SUMIFS(Lancamentos!$L$2:$L$2342,Lancamentos!$D$2:$D$2342,B56,Lancamentos!$E$2:$E$2342,C56,Lancamentos!$H$2:$H$2342,"PREMIO")</f>
        <v/>
      </c>
      <c r="F56" s="6">
        <f>D56+E56</f>
        <v/>
      </c>
      <c r="G56" s="7">
        <f>SUMIFS(Estimativas!$F:$F,Estimativas!$A:$A,A56)</f>
        <v/>
      </c>
      <c r="H56" s="6">
        <f>F56+G56</f>
        <v/>
      </c>
      <c r="I56" s="6">
        <f>SUMIFS(Lancamentos!$J$2:$J$2342,Lancamentos!$D$2:$D$2342,B56,Lancamentos!$E$2:$E$2342,C56,Lancamentos!$H$2:$H$2342,"&lt;&gt;DISTRATO")</f>
        <v/>
      </c>
      <c r="J56" s="6">
        <f>F56-I56</f>
        <v/>
      </c>
      <c r="K56" s="6">
        <f>SUMIFS(Lancamentos!$K$2:$K$2342,Lancamentos!$D$2:$D$2342,B56,Lancamentos!$E$2:$E$2342,C56,Lancamentos!$H$2:$H$2342,"DISTRATO")</f>
        <v/>
      </c>
      <c r="L56" s="5" t="inlineStr">
        <is>
          <t>Tenda (conta corrente)</t>
        </is>
      </c>
      <c r="M56" s="7">
        <f>IFERROR(INDEX(ContaCorrente!$D:$D,MATCH(A56,ContaCorrente!$A:$A,0)),"")</f>
        <v/>
      </c>
      <c r="N56" s="8">
        <f>IF(AND(ISNUMBER(M56),M56&lt;&gt;0),F56/M56,"")</f>
        <v/>
      </c>
    </row>
    <row r="57">
      <c r="A57" s="4" t="n">
        <v>39934</v>
      </c>
      <c r="B57" s="5">
        <f>YEAR(A57)</f>
        <v/>
      </c>
      <c r="C57" s="5">
        <f>MONTH(A57)</f>
        <v/>
      </c>
      <c r="D57" s="6">
        <f>SUMIFS(Lancamentos!$L$2:$L$2342,Lancamentos!$D$2:$D$2342,B57,Lancamentos!$E$2:$E$2342,C57)-E57</f>
        <v/>
      </c>
      <c r="E57" s="6">
        <f>SUMIFS(Lancamentos!$L$2:$L$2342,Lancamentos!$D$2:$D$2342,B57,Lancamentos!$E$2:$E$2342,C57,Lancamentos!$H$2:$H$2342,"PREMIO")</f>
        <v/>
      </c>
      <c r="F57" s="6">
        <f>D57+E57</f>
        <v/>
      </c>
      <c r="G57" s="7">
        <f>SUMIFS(Estimativas!$F:$F,Estimativas!$A:$A,A57)</f>
        <v/>
      </c>
      <c r="H57" s="6">
        <f>F57+G57</f>
        <v/>
      </c>
      <c r="I57" s="6">
        <f>SUMIFS(Lancamentos!$J$2:$J$2342,Lancamentos!$D$2:$D$2342,B57,Lancamentos!$E$2:$E$2342,C57,Lancamentos!$H$2:$H$2342,"&lt;&gt;DISTRATO")</f>
        <v/>
      </c>
      <c r="J57" s="6">
        <f>F57-I57</f>
        <v/>
      </c>
      <c r="K57" s="6">
        <f>SUMIFS(Lancamentos!$K$2:$K$2342,Lancamentos!$D$2:$D$2342,B57,Lancamentos!$E$2:$E$2342,C57,Lancamentos!$H$2:$H$2342,"DISTRATO")</f>
        <v/>
      </c>
      <c r="L57" s="5" t="inlineStr">
        <is>
          <t>Tenda (conta corrente)</t>
        </is>
      </c>
      <c r="M57" s="7">
        <f>IFERROR(INDEX(ContaCorrente!$D:$D,MATCH(A57,ContaCorrente!$A:$A,0)),"")</f>
        <v/>
      </c>
      <c r="N57" s="8">
        <f>IF(AND(ISNUMBER(M57),M57&lt;&gt;0),F57/M57,"")</f>
        <v/>
      </c>
    </row>
    <row r="58">
      <c r="A58" s="4" t="n">
        <v>39965</v>
      </c>
      <c r="B58" s="5">
        <f>YEAR(A58)</f>
        <v/>
      </c>
      <c r="C58" s="5">
        <f>MONTH(A58)</f>
        <v/>
      </c>
      <c r="D58" s="6">
        <f>SUMIFS(Lancamentos!$L$2:$L$2342,Lancamentos!$D$2:$D$2342,B58,Lancamentos!$E$2:$E$2342,C58)-E58</f>
        <v/>
      </c>
      <c r="E58" s="6">
        <f>SUMIFS(Lancamentos!$L$2:$L$2342,Lancamentos!$D$2:$D$2342,B58,Lancamentos!$E$2:$E$2342,C58,Lancamentos!$H$2:$H$2342,"PREMIO")</f>
        <v/>
      </c>
      <c r="F58" s="6">
        <f>D58+E58</f>
        <v/>
      </c>
      <c r="G58" s="7">
        <f>SUMIFS(Estimativas!$F:$F,Estimativas!$A:$A,A58)</f>
        <v/>
      </c>
      <c r="H58" s="6">
        <f>F58+G58</f>
        <v/>
      </c>
      <c r="I58" s="6">
        <f>SUMIFS(Lancamentos!$J$2:$J$2342,Lancamentos!$D$2:$D$2342,B58,Lancamentos!$E$2:$E$2342,C58,Lancamentos!$H$2:$H$2342,"&lt;&gt;DISTRATO")</f>
        <v/>
      </c>
      <c r="J58" s="6">
        <f>F58-I58</f>
        <v/>
      </c>
      <c r="K58" s="6">
        <f>SUMIFS(Lancamentos!$K$2:$K$2342,Lancamentos!$D$2:$D$2342,B58,Lancamentos!$E$2:$E$2342,C58,Lancamentos!$H$2:$H$2342,"DISTRATO")</f>
        <v/>
      </c>
      <c r="L58" s="5" t="inlineStr">
        <is>
          <t>Tenda (conta corrente)</t>
        </is>
      </c>
      <c r="M58" s="7">
        <f>IFERROR(INDEX(ContaCorrente!$D:$D,MATCH(A58,ContaCorrente!$A:$A,0)),"")</f>
        <v/>
      </c>
      <c r="N58" s="8">
        <f>IF(AND(ISNUMBER(M58),M58&lt;&gt;0),F58/M58,"")</f>
        <v/>
      </c>
    </row>
    <row r="59">
      <c r="A59" s="4" t="n">
        <v>39995</v>
      </c>
      <c r="B59" s="5">
        <f>YEAR(A59)</f>
        <v/>
      </c>
      <c r="C59" s="5">
        <f>MONTH(A59)</f>
        <v/>
      </c>
      <c r="D59" s="6">
        <f>SUMIFS(Lancamentos!$L$2:$L$2342,Lancamentos!$D$2:$D$2342,B59,Lancamentos!$E$2:$E$2342,C59)-E59</f>
        <v/>
      </c>
      <c r="E59" s="6">
        <f>SUMIFS(Lancamentos!$L$2:$L$2342,Lancamentos!$D$2:$D$2342,B59,Lancamentos!$E$2:$E$2342,C59,Lancamentos!$H$2:$H$2342,"PREMIO")</f>
        <v/>
      </c>
      <c r="F59" s="6">
        <f>D59+E59</f>
        <v/>
      </c>
      <c r="G59" s="7">
        <f>SUMIFS(Estimativas!$F:$F,Estimativas!$A:$A,A59)</f>
        <v/>
      </c>
      <c r="H59" s="6">
        <f>F59+G59</f>
        <v/>
      </c>
      <c r="I59" s="6">
        <f>SUMIFS(Lancamentos!$J$2:$J$2342,Lancamentos!$D$2:$D$2342,B59,Lancamentos!$E$2:$E$2342,C59,Lancamentos!$H$2:$H$2342,"&lt;&gt;DISTRATO")</f>
        <v/>
      </c>
      <c r="J59" s="6">
        <f>F59-I59</f>
        <v/>
      </c>
      <c r="K59" s="6">
        <f>SUMIFS(Lancamentos!$K$2:$K$2342,Lancamentos!$D$2:$D$2342,B59,Lancamentos!$E$2:$E$2342,C59,Lancamentos!$H$2:$H$2342,"DISTRATO")</f>
        <v/>
      </c>
      <c r="L59" s="5" t="inlineStr">
        <is>
          <t>Tenda (conta corrente)</t>
        </is>
      </c>
      <c r="M59" s="7">
        <f>IFERROR(INDEX(ContaCorrente!$D:$D,MATCH(A59,ContaCorrente!$A:$A,0)),"")</f>
        <v/>
      </c>
      <c r="N59" s="8">
        <f>IF(AND(ISNUMBER(M59),M59&lt;&gt;0),F59/M59,"")</f>
        <v/>
      </c>
    </row>
    <row r="60">
      <c r="A60" s="4" t="n">
        <v>40026</v>
      </c>
      <c r="B60" s="5">
        <f>YEAR(A60)</f>
        <v/>
      </c>
      <c r="C60" s="5">
        <f>MONTH(A60)</f>
        <v/>
      </c>
      <c r="D60" s="6">
        <f>SUMIFS(Lancamentos!$L$2:$L$2342,Lancamentos!$D$2:$D$2342,B60,Lancamentos!$E$2:$E$2342,C60)-E60</f>
        <v/>
      </c>
      <c r="E60" s="6">
        <f>SUMIFS(Lancamentos!$L$2:$L$2342,Lancamentos!$D$2:$D$2342,B60,Lancamentos!$E$2:$E$2342,C60,Lancamentos!$H$2:$H$2342,"PREMIO")</f>
        <v/>
      </c>
      <c r="F60" s="6">
        <f>D60+E60</f>
        <v/>
      </c>
      <c r="G60" s="7">
        <f>SUMIFS(Estimativas!$F:$F,Estimativas!$A:$A,A60)</f>
        <v/>
      </c>
      <c r="H60" s="6">
        <f>F60+G60</f>
        <v/>
      </c>
      <c r="I60" s="6">
        <f>SUMIFS(Lancamentos!$J$2:$J$2342,Lancamentos!$D$2:$D$2342,B60,Lancamentos!$E$2:$E$2342,C60,Lancamentos!$H$2:$H$2342,"&lt;&gt;DISTRATO")</f>
        <v/>
      </c>
      <c r="J60" s="6">
        <f>F60-I60</f>
        <v/>
      </c>
      <c r="K60" s="6">
        <f>SUMIFS(Lancamentos!$K$2:$K$2342,Lancamentos!$D$2:$D$2342,B60,Lancamentos!$E$2:$E$2342,C60,Lancamentos!$H$2:$H$2342,"DISTRATO")</f>
        <v/>
      </c>
      <c r="L60" s="5" t="inlineStr">
        <is>
          <t>Tenda (conta corrente)</t>
        </is>
      </c>
      <c r="M60" s="7">
        <f>IFERROR(INDEX(ContaCorrente!$D:$D,MATCH(A60,ContaCorrente!$A:$A,0)),"")</f>
        <v/>
      </c>
      <c r="N60" s="8">
        <f>IF(AND(ISNUMBER(M60),M60&lt;&gt;0),F60/M60,"")</f>
        <v/>
      </c>
    </row>
    <row r="61">
      <c r="A61" s="4" t="n">
        <v>40057</v>
      </c>
      <c r="B61" s="5">
        <f>YEAR(A61)</f>
        <v/>
      </c>
      <c r="C61" s="5">
        <f>MONTH(A61)</f>
        <v/>
      </c>
      <c r="D61" s="6">
        <f>SUMIFS(Lancamentos!$L$2:$L$2342,Lancamentos!$D$2:$D$2342,B61,Lancamentos!$E$2:$E$2342,C61)-E61</f>
        <v/>
      </c>
      <c r="E61" s="6">
        <f>SUMIFS(Lancamentos!$L$2:$L$2342,Lancamentos!$D$2:$D$2342,B61,Lancamentos!$E$2:$E$2342,C61,Lancamentos!$H$2:$H$2342,"PREMIO")</f>
        <v/>
      </c>
      <c r="F61" s="6">
        <f>D61+E61</f>
        <v/>
      </c>
      <c r="G61" s="7">
        <f>SUMIFS(Estimativas!$F:$F,Estimativas!$A:$A,A61)</f>
        <v/>
      </c>
      <c r="H61" s="6">
        <f>F61+G61</f>
        <v/>
      </c>
      <c r="I61" s="6">
        <f>SUMIFS(Lancamentos!$J$2:$J$2342,Lancamentos!$D$2:$D$2342,B61,Lancamentos!$E$2:$E$2342,C61,Lancamentos!$H$2:$H$2342,"&lt;&gt;DISTRATO")</f>
        <v/>
      </c>
      <c r="J61" s="6">
        <f>F61-I61</f>
        <v/>
      </c>
      <c r="K61" s="6">
        <f>SUMIFS(Lancamentos!$K$2:$K$2342,Lancamentos!$D$2:$D$2342,B61,Lancamentos!$E$2:$E$2342,C61,Lancamentos!$H$2:$H$2342,"DISTRATO")</f>
        <v/>
      </c>
      <c r="L61" s="5" t="inlineStr">
        <is>
          <t>Tenda (conta corrente)</t>
        </is>
      </c>
      <c r="M61" s="7">
        <f>IFERROR(INDEX(ContaCorrente!$D:$D,MATCH(A61,ContaCorrente!$A:$A,0)),"")</f>
        <v/>
      </c>
      <c r="N61" s="8">
        <f>IF(AND(ISNUMBER(M61),M61&lt;&gt;0),F61/M61,"")</f>
        <v/>
      </c>
    </row>
    <row r="62">
      <c r="A62" s="4" t="n">
        <v>40087</v>
      </c>
      <c r="B62" s="5">
        <f>YEAR(A62)</f>
        <v/>
      </c>
      <c r="C62" s="5">
        <f>MONTH(A62)</f>
        <v/>
      </c>
      <c r="D62" s="6">
        <f>SUMIFS(Lancamentos!$L$2:$L$2342,Lancamentos!$D$2:$D$2342,B62,Lancamentos!$E$2:$E$2342,C62)-E62</f>
        <v/>
      </c>
      <c r="E62" s="6">
        <f>SUMIFS(Lancamentos!$L$2:$L$2342,Lancamentos!$D$2:$D$2342,B62,Lancamentos!$E$2:$E$2342,C62,Lancamentos!$H$2:$H$2342,"PREMIO")</f>
        <v/>
      </c>
      <c r="F62" s="6">
        <f>D62+E62</f>
        <v/>
      </c>
      <c r="G62" s="7">
        <f>SUMIFS(Estimativas!$F:$F,Estimativas!$A:$A,A62)</f>
        <v/>
      </c>
      <c r="H62" s="6">
        <f>F62+G62</f>
        <v/>
      </c>
      <c r="I62" s="6">
        <f>SUMIFS(Lancamentos!$J$2:$J$2342,Lancamentos!$D$2:$D$2342,B62,Lancamentos!$E$2:$E$2342,C62,Lancamentos!$H$2:$H$2342,"&lt;&gt;DISTRATO")</f>
        <v/>
      </c>
      <c r="J62" s="6">
        <f>F62-I62</f>
        <v/>
      </c>
      <c r="K62" s="6">
        <f>SUMIFS(Lancamentos!$K$2:$K$2342,Lancamentos!$D$2:$D$2342,B62,Lancamentos!$E$2:$E$2342,C62,Lancamentos!$H$2:$H$2342,"DISTRATO")</f>
        <v/>
      </c>
      <c r="L62" s="5" t="inlineStr">
        <is>
          <t>Tenda (conta corrente)</t>
        </is>
      </c>
      <c r="M62" s="7">
        <f>IFERROR(INDEX(ContaCorrente!$D:$D,MATCH(A62,ContaCorrente!$A:$A,0)),"")</f>
        <v/>
      </c>
      <c r="N62" s="8">
        <f>IF(AND(ISNUMBER(M62),M62&lt;&gt;0),F62/M62,"")</f>
        <v/>
      </c>
    </row>
    <row r="63">
      <c r="A63" s="4" t="n">
        <v>40118</v>
      </c>
      <c r="B63" s="5">
        <f>YEAR(A63)</f>
        <v/>
      </c>
      <c r="C63" s="5">
        <f>MONTH(A63)</f>
        <v/>
      </c>
      <c r="D63" s="6">
        <f>SUMIFS(Lancamentos!$L$2:$L$2342,Lancamentos!$D$2:$D$2342,B63,Lancamentos!$E$2:$E$2342,C63)-E63</f>
        <v/>
      </c>
      <c r="E63" s="6">
        <f>SUMIFS(Lancamentos!$L$2:$L$2342,Lancamentos!$D$2:$D$2342,B63,Lancamentos!$E$2:$E$2342,C63,Lancamentos!$H$2:$H$2342,"PREMIO")</f>
        <v/>
      </c>
      <c r="F63" s="6">
        <f>D63+E63</f>
        <v/>
      </c>
      <c r="G63" s="7">
        <f>SUMIFS(Estimativas!$F:$F,Estimativas!$A:$A,A63)</f>
        <v/>
      </c>
      <c r="H63" s="6">
        <f>F63+G63</f>
        <v/>
      </c>
      <c r="I63" s="6">
        <f>SUMIFS(Lancamentos!$J$2:$J$2342,Lancamentos!$D$2:$D$2342,B63,Lancamentos!$E$2:$E$2342,C63,Lancamentos!$H$2:$H$2342,"&lt;&gt;DISTRATO")</f>
        <v/>
      </c>
      <c r="J63" s="6">
        <f>F63-I63</f>
        <v/>
      </c>
      <c r="K63" s="6">
        <f>SUMIFS(Lancamentos!$K$2:$K$2342,Lancamentos!$D$2:$D$2342,B63,Lancamentos!$E$2:$E$2342,C63,Lancamentos!$H$2:$H$2342,"DISTRATO")</f>
        <v/>
      </c>
      <c r="L63" s="5" t="inlineStr">
        <is>
          <t>Tenda (conta corrente)</t>
        </is>
      </c>
      <c r="M63" s="7">
        <f>IFERROR(INDEX(ContaCorrente!$D:$D,MATCH(A63,ContaCorrente!$A:$A,0)),"")</f>
        <v/>
      </c>
      <c r="N63" s="8">
        <f>IF(AND(ISNUMBER(M63),M63&lt;&gt;0),F63/M63,"")</f>
        <v/>
      </c>
    </row>
    <row r="64">
      <c r="A64" s="4" t="n">
        <v>40148</v>
      </c>
      <c r="B64" s="5">
        <f>YEAR(A64)</f>
        <v/>
      </c>
      <c r="C64" s="5">
        <f>MONTH(A64)</f>
        <v/>
      </c>
      <c r="D64" s="6">
        <f>SUMIFS(Lancamentos!$L$2:$L$2342,Lancamentos!$D$2:$D$2342,B64,Lancamentos!$E$2:$E$2342,C64)-E64</f>
        <v/>
      </c>
      <c r="E64" s="6">
        <f>SUMIFS(Lancamentos!$L$2:$L$2342,Lancamentos!$D$2:$D$2342,B64,Lancamentos!$E$2:$E$2342,C64,Lancamentos!$H$2:$H$2342,"PREMIO")</f>
        <v/>
      </c>
      <c r="F64" s="6">
        <f>D64+E64</f>
        <v/>
      </c>
      <c r="G64" s="7">
        <f>SUMIFS(Estimativas!$F:$F,Estimativas!$A:$A,A64)</f>
        <v/>
      </c>
      <c r="H64" s="6">
        <f>F64+G64</f>
        <v/>
      </c>
      <c r="I64" s="6">
        <f>SUMIFS(Lancamentos!$J$2:$J$2342,Lancamentos!$D$2:$D$2342,B64,Lancamentos!$E$2:$E$2342,C64,Lancamentos!$H$2:$H$2342,"&lt;&gt;DISTRATO")</f>
        <v/>
      </c>
      <c r="J64" s="6">
        <f>F64-I64</f>
        <v/>
      </c>
      <c r="K64" s="6">
        <f>SUMIFS(Lancamentos!$K$2:$K$2342,Lancamentos!$D$2:$D$2342,B64,Lancamentos!$E$2:$E$2342,C64,Lancamentos!$H$2:$H$2342,"DISTRATO")</f>
        <v/>
      </c>
      <c r="L64" s="5" t="inlineStr">
        <is>
          <t>Tenda (conta corrente)</t>
        </is>
      </c>
      <c r="M64" s="7">
        <f>IFERROR(INDEX(ContaCorrente!$D:$D,MATCH(A64,ContaCorrente!$A:$A,0)),"")</f>
        <v/>
      </c>
      <c r="N64" s="8">
        <f>IF(AND(ISNUMBER(M64),M64&lt;&gt;0),F64/M64,"")</f>
        <v/>
      </c>
    </row>
    <row r="65">
      <c r="A65" s="4" t="n">
        <v>40179</v>
      </c>
      <c r="B65" s="5">
        <f>YEAR(A65)</f>
        <v/>
      </c>
      <c r="C65" s="5">
        <f>MONTH(A65)</f>
        <v/>
      </c>
      <c r="D65" s="6">
        <f>SUMIFS(Lancamentos!$L$2:$L$2342,Lancamentos!$D$2:$D$2342,B65,Lancamentos!$E$2:$E$2342,C65)-E65</f>
        <v/>
      </c>
      <c r="E65" s="6">
        <f>SUMIFS(Lancamentos!$L$2:$L$2342,Lancamentos!$D$2:$D$2342,B65,Lancamentos!$E$2:$E$2342,C65,Lancamentos!$H$2:$H$2342,"PREMIO")</f>
        <v/>
      </c>
      <c r="F65" s="6">
        <f>D65+E65</f>
        <v/>
      </c>
      <c r="G65" s="7">
        <f>SUMIFS(Estimativas!$F:$F,Estimativas!$A:$A,A65)</f>
        <v/>
      </c>
      <c r="H65" s="6">
        <f>F65+G65</f>
        <v/>
      </c>
      <c r="I65" s="6">
        <f>SUMIFS(Lancamentos!$J$2:$J$2342,Lancamentos!$D$2:$D$2342,B65,Lancamentos!$E$2:$E$2342,C65,Lancamentos!$H$2:$H$2342,"&lt;&gt;DISTRATO")</f>
        <v/>
      </c>
      <c r="J65" s="6">
        <f>F65-I65</f>
        <v/>
      </c>
      <c r="K65" s="6">
        <f>SUMIFS(Lancamentos!$K$2:$K$2342,Lancamentos!$D$2:$D$2342,B65,Lancamentos!$E$2:$E$2342,C65,Lancamentos!$H$2:$H$2342,"DISTRATO")</f>
        <v/>
      </c>
      <c r="L65" s="5" t="inlineStr">
        <is>
          <t>Tenda (conta corrente)</t>
        </is>
      </c>
      <c r="M65" s="7">
        <f>IFERROR(INDEX(ContaCorrente!$D:$D,MATCH(A65,ContaCorrente!$A:$A,0)),"")</f>
        <v/>
      </c>
      <c r="N65" s="8">
        <f>IF(AND(ISNUMBER(M65),M65&lt;&gt;0),F65/M65,"")</f>
        <v/>
      </c>
    </row>
    <row r="66">
      <c r="A66" s="4" t="n">
        <v>40210</v>
      </c>
      <c r="B66" s="5">
        <f>YEAR(A66)</f>
        <v/>
      </c>
      <c r="C66" s="5">
        <f>MONTH(A66)</f>
        <v/>
      </c>
      <c r="D66" s="6">
        <f>SUMIFS(Lancamentos!$L$2:$L$2342,Lancamentos!$D$2:$D$2342,B66,Lancamentos!$E$2:$E$2342,C66)-E66</f>
        <v/>
      </c>
      <c r="E66" s="6">
        <f>SUMIFS(Lancamentos!$L$2:$L$2342,Lancamentos!$D$2:$D$2342,B66,Lancamentos!$E$2:$E$2342,C66,Lancamentos!$H$2:$H$2342,"PREMIO")</f>
        <v/>
      </c>
      <c r="F66" s="6">
        <f>D66+E66</f>
        <v/>
      </c>
      <c r="G66" s="7">
        <f>SUMIFS(Estimativas!$F:$F,Estimativas!$A:$A,A66)</f>
        <v/>
      </c>
      <c r="H66" s="6">
        <f>F66+G66</f>
        <v/>
      </c>
      <c r="I66" s="6">
        <f>SUMIFS(Lancamentos!$J$2:$J$2342,Lancamentos!$D$2:$D$2342,B66,Lancamentos!$E$2:$E$2342,C66,Lancamentos!$H$2:$H$2342,"&lt;&gt;DISTRATO")</f>
        <v/>
      </c>
      <c r="J66" s="6">
        <f>F66-I66</f>
        <v/>
      </c>
      <c r="K66" s="6">
        <f>SUMIFS(Lancamentos!$K$2:$K$2342,Lancamentos!$D$2:$D$2342,B66,Lancamentos!$E$2:$E$2342,C66,Lancamentos!$H$2:$H$2342,"DISTRATO")</f>
        <v/>
      </c>
      <c r="L66" s="5" t="inlineStr">
        <is>
          <t>Tenda (conta corrente)</t>
        </is>
      </c>
      <c r="M66" s="7">
        <f>IFERROR(INDEX(ContaCorrente!$D:$D,MATCH(A66,ContaCorrente!$A:$A,0)),"")</f>
        <v/>
      </c>
      <c r="N66" s="8">
        <f>IF(AND(ISNUMBER(M66),M66&lt;&gt;0),F66/M66,"")</f>
        <v/>
      </c>
    </row>
    <row r="67">
      <c r="A67" s="4" t="n">
        <v>40238</v>
      </c>
      <c r="B67" s="5">
        <f>YEAR(A67)</f>
        <v/>
      </c>
      <c r="C67" s="5">
        <f>MONTH(A67)</f>
        <v/>
      </c>
      <c r="D67" s="6">
        <f>SUMIFS(Lancamentos!$L$2:$L$2342,Lancamentos!$D$2:$D$2342,B67,Lancamentos!$E$2:$E$2342,C67)-E67</f>
        <v/>
      </c>
      <c r="E67" s="6">
        <f>SUMIFS(Lancamentos!$L$2:$L$2342,Lancamentos!$D$2:$D$2342,B67,Lancamentos!$E$2:$E$2342,C67,Lancamentos!$H$2:$H$2342,"PREMIO")</f>
        <v/>
      </c>
      <c r="F67" s="6">
        <f>D67+E67</f>
        <v/>
      </c>
      <c r="G67" s="7">
        <f>SUMIFS(Estimativas!$F:$F,Estimativas!$A:$A,A67)</f>
        <v/>
      </c>
      <c r="H67" s="6">
        <f>F67+G67</f>
        <v/>
      </c>
      <c r="I67" s="6">
        <f>SUMIFS(Lancamentos!$J$2:$J$2342,Lancamentos!$D$2:$D$2342,B67,Lancamentos!$E$2:$E$2342,C67,Lancamentos!$H$2:$H$2342,"&lt;&gt;DISTRATO")</f>
        <v/>
      </c>
      <c r="J67" s="6">
        <f>F67-I67</f>
        <v/>
      </c>
      <c r="K67" s="6">
        <f>SUMIFS(Lancamentos!$K$2:$K$2342,Lancamentos!$D$2:$D$2342,B67,Lancamentos!$E$2:$E$2342,C67,Lancamentos!$H$2:$H$2342,"DISTRATO")</f>
        <v/>
      </c>
      <c r="L67" s="5" t="inlineStr">
        <is>
          <t>Tenda (conta corrente)</t>
        </is>
      </c>
      <c r="M67" s="7">
        <f>IFERROR(INDEX(ContaCorrente!$D:$D,MATCH(A67,ContaCorrente!$A:$A,0)),"")</f>
        <v/>
      </c>
      <c r="N67" s="8">
        <f>IF(AND(ISNUMBER(M67),M67&lt;&gt;0),F67/M67,"")</f>
        <v/>
      </c>
    </row>
    <row r="68">
      <c r="A68" s="4" t="n">
        <v>40269</v>
      </c>
      <c r="B68" s="5">
        <f>YEAR(A68)</f>
        <v/>
      </c>
      <c r="C68" s="5">
        <f>MONTH(A68)</f>
        <v/>
      </c>
      <c r="D68" s="6">
        <f>SUMIFS(Lancamentos!$L$2:$L$2342,Lancamentos!$D$2:$D$2342,B68,Lancamentos!$E$2:$E$2342,C68)-E68</f>
        <v/>
      </c>
      <c r="E68" s="6">
        <f>SUMIFS(Lancamentos!$L$2:$L$2342,Lancamentos!$D$2:$D$2342,B68,Lancamentos!$E$2:$E$2342,C68,Lancamentos!$H$2:$H$2342,"PREMIO")</f>
        <v/>
      </c>
      <c r="F68" s="6">
        <f>D68+E68</f>
        <v/>
      </c>
      <c r="G68" s="7">
        <f>SUMIFS(Estimativas!$F:$F,Estimativas!$A:$A,A68)</f>
        <v/>
      </c>
      <c r="H68" s="6">
        <f>F68+G68</f>
        <v/>
      </c>
      <c r="I68" s="6">
        <f>SUMIFS(Lancamentos!$J$2:$J$2342,Lancamentos!$D$2:$D$2342,B68,Lancamentos!$E$2:$E$2342,C68,Lancamentos!$H$2:$H$2342,"&lt;&gt;DISTRATO")</f>
        <v/>
      </c>
      <c r="J68" s="6">
        <f>F68-I68</f>
        <v/>
      </c>
      <c r="K68" s="6">
        <f>SUMIFS(Lancamentos!$K$2:$K$2342,Lancamentos!$D$2:$D$2342,B68,Lancamentos!$E$2:$E$2342,C68,Lancamentos!$H$2:$H$2342,"DISTRATO")</f>
        <v/>
      </c>
      <c r="L68" s="5" t="inlineStr">
        <is>
          <t>Tenda (conta corrente)</t>
        </is>
      </c>
      <c r="M68" s="7">
        <f>IFERROR(INDEX(ContaCorrente!$D:$D,MATCH(A68,ContaCorrente!$A:$A,0)),"")</f>
        <v/>
      </c>
      <c r="N68" s="8">
        <f>IF(AND(ISNUMBER(M68),M68&lt;&gt;0),F68/M68,"")</f>
        <v/>
      </c>
    </row>
    <row r="69">
      <c r="A69" s="4" t="n">
        <v>40299</v>
      </c>
      <c r="B69" s="5">
        <f>YEAR(A69)</f>
        <v/>
      </c>
      <c r="C69" s="5">
        <f>MONTH(A69)</f>
        <v/>
      </c>
      <c r="D69" s="6">
        <f>SUMIFS(Lancamentos!$L$2:$L$2342,Lancamentos!$D$2:$D$2342,B69,Lancamentos!$E$2:$E$2342,C69)-E69</f>
        <v/>
      </c>
      <c r="E69" s="6">
        <f>SUMIFS(Lancamentos!$L$2:$L$2342,Lancamentos!$D$2:$D$2342,B69,Lancamentos!$E$2:$E$2342,C69,Lancamentos!$H$2:$H$2342,"PREMIO")</f>
        <v/>
      </c>
      <c r="F69" s="6">
        <f>D69+E69</f>
        <v/>
      </c>
      <c r="G69" s="7">
        <f>SUMIFS(Estimativas!$F:$F,Estimativas!$A:$A,A69)</f>
        <v/>
      </c>
      <c r="H69" s="6">
        <f>F69+G69</f>
        <v/>
      </c>
      <c r="I69" s="6">
        <f>SUMIFS(Lancamentos!$J$2:$J$2342,Lancamentos!$D$2:$D$2342,B69,Lancamentos!$E$2:$E$2342,C69,Lancamentos!$H$2:$H$2342,"&lt;&gt;DISTRATO")</f>
        <v/>
      </c>
      <c r="J69" s="6">
        <f>F69-I69</f>
        <v/>
      </c>
      <c r="K69" s="6">
        <f>SUMIFS(Lancamentos!$K$2:$K$2342,Lancamentos!$D$2:$D$2342,B69,Lancamentos!$E$2:$E$2342,C69,Lancamentos!$H$2:$H$2342,"DISTRATO")</f>
        <v/>
      </c>
      <c r="L69" s="5" t="inlineStr">
        <is>
          <t>Tenda (conta corrente)</t>
        </is>
      </c>
      <c r="M69" s="7">
        <f>IFERROR(INDEX(ContaCorrente!$D:$D,MATCH(A69,ContaCorrente!$A:$A,0)),"")</f>
        <v/>
      </c>
      <c r="N69" s="8">
        <f>IF(AND(ISNUMBER(M69),M69&lt;&gt;0),F69/M69,"")</f>
        <v/>
      </c>
    </row>
    <row r="70">
      <c r="A70" s="4" t="n">
        <v>40330</v>
      </c>
      <c r="B70" s="5">
        <f>YEAR(A70)</f>
        <v/>
      </c>
      <c r="C70" s="5">
        <f>MONTH(A70)</f>
        <v/>
      </c>
      <c r="D70" s="6">
        <f>SUMIFS(Lancamentos!$L$2:$L$2342,Lancamentos!$D$2:$D$2342,B70,Lancamentos!$E$2:$E$2342,C70)-E70</f>
        <v/>
      </c>
      <c r="E70" s="6">
        <f>SUMIFS(Lancamentos!$L$2:$L$2342,Lancamentos!$D$2:$D$2342,B70,Lancamentos!$E$2:$E$2342,C70,Lancamentos!$H$2:$H$2342,"PREMIO")</f>
        <v/>
      </c>
      <c r="F70" s="6">
        <f>D70+E70</f>
        <v/>
      </c>
      <c r="G70" s="7">
        <f>SUMIFS(Estimativas!$F:$F,Estimativas!$A:$A,A70)</f>
        <v/>
      </c>
      <c r="H70" s="6">
        <f>F70+G70</f>
        <v/>
      </c>
      <c r="I70" s="6">
        <f>SUMIFS(Lancamentos!$J$2:$J$2342,Lancamentos!$D$2:$D$2342,B70,Lancamentos!$E$2:$E$2342,C70,Lancamentos!$H$2:$H$2342,"&lt;&gt;DISTRATO")</f>
        <v/>
      </c>
      <c r="J70" s="6">
        <f>F70-I70</f>
        <v/>
      </c>
      <c r="K70" s="6">
        <f>SUMIFS(Lancamentos!$K$2:$K$2342,Lancamentos!$D$2:$D$2342,B70,Lancamentos!$E$2:$E$2342,C70,Lancamentos!$H$2:$H$2342,"DISTRATO")</f>
        <v/>
      </c>
      <c r="L70" s="5" t="inlineStr">
        <is>
          <t>Tenda (conta corrente)</t>
        </is>
      </c>
      <c r="M70" s="7">
        <f>IFERROR(INDEX(ContaCorrente!$D:$D,MATCH(A70,ContaCorrente!$A:$A,0)),"")</f>
        <v/>
      </c>
      <c r="N70" s="8">
        <f>IF(AND(ISNUMBER(M70),M70&lt;&gt;0),F70/M70,"")</f>
        <v/>
      </c>
    </row>
    <row r="71">
      <c r="A71" s="4" t="n">
        <v>40360</v>
      </c>
      <c r="B71" s="5">
        <f>YEAR(A71)</f>
        <v/>
      </c>
      <c r="C71" s="5">
        <f>MONTH(A71)</f>
        <v/>
      </c>
      <c r="D71" s="6">
        <f>SUMIFS(Lancamentos!$L$2:$L$2342,Lancamentos!$D$2:$D$2342,B71,Lancamentos!$E$2:$E$2342,C71)-E71</f>
        <v/>
      </c>
      <c r="E71" s="6">
        <f>SUMIFS(Lancamentos!$L$2:$L$2342,Lancamentos!$D$2:$D$2342,B71,Lancamentos!$E$2:$E$2342,C71,Lancamentos!$H$2:$H$2342,"PREMIO")</f>
        <v/>
      </c>
      <c r="F71" s="6">
        <f>D71+E71</f>
        <v/>
      </c>
      <c r="G71" s="7">
        <f>SUMIFS(Estimativas!$F:$F,Estimativas!$A:$A,A71)</f>
        <v/>
      </c>
      <c r="H71" s="6">
        <f>F71+G71</f>
        <v/>
      </c>
      <c r="I71" s="6">
        <f>SUMIFS(Lancamentos!$J$2:$J$2342,Lancamentos!$D$2:$D$2342,B71,Lancamentos!$E$2:$E$2342,C71,Lancamentos!$H$2:$H$2342,"&lt;&gt;DISTRATO")</f>
        <v/>
      </c>
      <c r="J71" s="6">
        <f>F71-I71</f>
        <v/>
      </c>
      <c r="K71" s="6">
        <f>SUMIFS(Lancamentos!$K$2:$K$2342,Lancamentos!$D$2:$D$2342,B71,Lancamentos!$E$2:$E$2342,C71,Lancamentos!$H$2:$H$2342,"DISTRATO")</f>
        <v/>
      </c>
      <c r="L71" s="5" t="inlineStr">
        <is>
          <t>Tenda (conta corrente)</t>
        </is>
      </c>
      <c r="M71" s="7">
        <f>IFERROR(INDEX(ContaCorrente!$D:$D,MATCH(A71,ContaCorrente!$A:$A,0)),"")</f>
        <v/>
      </c>
      <c r="N71" s="8">
        <f>IF(AND(ISNUMBER(M71),M71&lt;&gt;0),F71/M71,"")</f>
        <v/>
      </c>
    </row>
    <row r="72">
      <c r="A72" s="4" t="n">
        <v>40391</v>
      </c>
      <c r="B72" s="5">
        <f>YEAR(A72)</f>
        <v/>
      </c>
      <c r="C72" s="5">
        <f>MONTH(A72)</f>
        <v/>
      </c>
      <c r="D72" s="6">
        <f>SUMIFS(Lancamentos!$L$2:$L$2342,Lancamentos!$D$2:$D$2342,B72,Lancamentos!$E$2:$E$2342,C72)-E72</f>
        <v/>
      </c>
      <c r="E72" s="6">
        <f>SUMIFS(Lancamentos!$L$2:$L$2342,Lancamentos!$D$2:$D$2342,B72,Lancamentos!$E$2:$E$2342,C72,Lancamentos!$H$2:$H$2342,"PREMIO")</f>
        <v/>
      </c>
      <c r="F72" s="6">
        <f>D72+E72</f>
        <v/>
      </c>
      <c r="G72" s="7">
        <f>SUMIFS(Estimativas!$F:$F,Estimativas!$A:$A,A72)</f>
        <v/>
      </c>
      <c r="H72" s="6">
        <f>F72+G72</f>
        <v/>
      </c>
      <c r="I72" s="6">
        <f>SUMIFS(Lancamentos!$J$2:$J$2342,Lancamentos!$D$2:$D$2342,B72,Lancamentos!$E$2:$E$2342,C72,Lancamentos!$H$2:$H$2342,"&lt;&gt;DISTRATO")</f>
        <v/>
      </c>
      <c r="J72" s="6">
        <f>F72-I72</f>
        <v/>
      </c>
      <c r="K72" s="6">
        <f>SUMIFS(Lancamentos!$K$2:$K$2342,Lancamentos!$D$2:$D$2342,B72,Lancamentos!$E$2:$E$2342,C72,Lancamentos!$H$2:$H$2342,"DISTRATO")</f>
        <v/>
      </c>
      <c r="L72" s="5" t="inlineStr">
        <is>
          <t>Tenda (conta corrente)</t>
        </is>
      </c>
      <c r="M72" s="7">
        <f>IFERROR(INDEX(ContaCorrente!$D:$D,MATCH(A72,ContaCorrente!$A:$A,0)),"")</f>
        <v/>
      </c>
      <c r="N72" s="8">
        <f>IF(AND(ISNUMBER(M72),M72&lt;&gt;0),F72/M72,"")</f>
        <v/>
      </c>
    </row>
    <row r="73">
      <c r="A73" s="4" t="n">
        <v>40422</v>
      </c>
      <c r="B73" s="5">
        <f>YEAR(A73)</f>
        <v/>
      </c>
      <c r="C73" s="5">
        <f>MONTH(A73)</f>
        <v/>
      </c>
      <c r="D73" s="6">
        <f>SUMIFS(Lancamentos!$L$2:$L$2342,Lancamentos!$D$2:$D$2342,B73,Lancamentos!$E$2:$E$2342,C73)-E73</f>
        <v/>
      </c>
      <c r="E73" s="6">
        <f>SUMIFS(Lancamentos!$L$2:$L$2342,Lancamentos!$D$2:$D$2342,B73,Lancamentos!$E$2:$E$2342,C73,Lancamentos!$H$2:$H$2342,"PREMIO")</f>
        <v/>
      </c>
      <c r="F73" s="6">
        <f>D73+E73</f>
        <v/>
      </c>
      <c r="G73" s="7">
        <f>SUMIFS(Estimativas!$F:$F,Estimativas!$A:$A,A73)</f>
        <v/>
      </c>
      <c r="H73" s="6">
        <f>F73+G73</f>
        <v/>
      </c>
      <c r="I73" s="6">
        <f>SUMIFS(Lancamentos!$J$2:$J$2342,Lancamentos!$D$2:$D$2342,B73,Lancamentos!$E$2:$E$2342,C73,Lancamentos!$H$2:$H$2342,"&lt;&gt;DISTRATO")</f>
        <v/>
      </c>
      <c r="J73" s="6">
        <f>F73-I73</f>
        <v/>
      </c>
      <c r="K73" s="6">
        <f>SUMIFS(Lancamentos!$K$2:$K$2342,Lancamentos!$D$2:$D$2342,B73,Lancamentos!$E$2:$E$2342,C73,Lancamentos!$H$2:$H$2342,"DISTRATO")</f>
        <v/>
      </c>
      <c r="L73" s="5" t="inlineStr">
        <is>
          <t>Tenda (conta corrente)</t>
        </is>
      </c>
      <c r="M73" s="7">
        <f>IFERROR(INDEX(ContaCorrente!$D:$D,MATCH(A73,ContaCorrente!$A:$A,0)),"")</f>
        <v/>
      </c>
      <c r="N73" s="8">
        <f>IF(AND(ISNUMBER(M73),M73&lt;&gt;0),F73/M73,"")</f>
        <v/>
      </c>
    </row>
    <row r="74">
      <c r="A74" s="9" t="n">
        <v>40452</v>
      </c>
      <c r="B74" s="10">
        <f>YEAR(A74)</f>
        <v/>
      </c>
      <c r="C74" s="10">
        <f>MONTH(A74)</f>
        <v/>
      </c>
      <c r="D74" s="11">
        <f>SUMIFS(Lancamentos!$L$2:$L$2342,Lancamentos!$D$2:$D$2342,B74,Lancamentos!$E$2:$E$2342,C74)-E74</f>
        <v/>
      </c>
      <c r="E74" s="11">
        <f>SUMIFS(Lancamentos!$L$2:$L$2342,Lancamentos!$D$2:$D$2342,B74,Lancamentos!$E$2:$E$2342,C74,Lancamentos!$H$2:$H$2342,"PREMIO")</f>
        <v/>
      </c>
      <c r="F74" s="11">
        <f>D74+E74</f>
        <v/>
      </c>
      <c r="G74" s="12">
        <f>SUMIFS(Estimativas!$F:$F,Estimativas!$A:$A,A74)</f>
        <v/>
      </c>
      <c r="H74" s="11">
        <f>F74+G74</f>
        <v/>
      </c>
      <c r="I74" s="11">
        <f>SUMIFS(Lancamentos!$J$2:$J$2342,Lancamentos!$D$2:$D$2342,B74,Lancamentos!$E$2:$E$2342,C74,Lancamentos!$H$2:$H$2342,"&lt;&gt;DISTRATO")</f>
        <v/>
      </c>
      <c r="J74" s="11">
        <f>F74-I74</f>
        <v/>
      </c>
      <c r="K74" s="11">
        <f>SUMIFS(Lancamentos!$K$2:$K$2342,Lancamentos!$D$2:$D$2342,B74,Lancamentos!$E$2:$E$2342,C74,Lancamentos!$H$2:$H$2342,"DISTRATO")</f>
        <v/>
      </c>
      <c r="L74" s="10" t="inlineStr">
        <is>
          <t>ESTIMADO - média do período vizinho c/ variação aleatória</t>
        </is>
      </c>
      <c r="M74" s="12">
        <f>IFERROR(INDEX(ContaCorrente!$D:$D,MATCH(A74,ContaCorrente!$A:$A,0)),"")</f>
        <v/>
      </c>
      <c r="N74" s="13">
        <f>IF(AND(ISNUMBER(M74),M74&lt;&gt;0),F74/M74,"")</f>
        <v/>
      </c>
    </row>
    <row r="75">
      <c r="A75" s="9" t="n">
        <v>40483</v>
      </c>
      <c r="B75" s="10">
        <f>YEAR(A75)</f>
        <v/>
      </c>
      <c r="C75" s="10">
        <f>MONTH(A75)</f>
        <v/>
      </c>
      <c r="D75" s="11">
        <f>SUMIFS(Lancamentos!$L$2:$L$2342,Lancamentos!$D$2:$D$2342,B75,Lancamentos!$E$2:$E$2342,C75)-E75</f>
        <v/>
      </c>
      <c r="E75" s="11">
        <f>SUMIFS(Lancamentos!$L$2:$L$2342,Lancamentos!$D$2:$D$2342,B75,Lancamentos!$E$2:$E$2342,C75,Lancamentos!$H$2:$H$2342,"PREMIO")</f>
        <v/>
      </c>
      <c r="F75" s="11">
        <f>D75+E75</f>
        <v/>
      </c>
      <c r="G75" s="12">
        <f>SUMIFS(Estimativas!$F:$F,Estimativas!$A:$A,A75)</f>
        <v/>
      </c>
      <c r="H75" s="11">
        <f>F75+G75</f>
        <v/>
      </c>
      <c r="I75" s="11">
        <f>SUMIFS(Lancamentos!$J$2:$J$2342,Lancamentos!$D$2:$D$2342,B75,Lancamentos!$E$2:$E$2342,C75,Lancamentos!$H$2:$H$2342,"&lt;&gt;DISTRATO")</f>
        <v/>
      </c>
      <c r="J75" s="11">
        <f>F75-I75</f>
        <v/>
      </c>
      <c r="K75" s="11">
        <f>SUMIFS(Lancamentos!$K$2:$K$2342,Lancamentos!$D$2:$D$2342,B75,Lancamentos!$E$2:$E$2342,C75,Lancamentos!$H$2:$H$2342,"DISTRATO")</f>
        <v/>
      </c>
      <c r="L75" s="10" t="inlineStr">
        <is>
          <t>ESTIMADO - média do período vizinho c/ variação aleatória</t>
        </is>
      </c>
      <c r="M75" s="12">
        <f>IFERROR(INDEX(ContaCorrente!$D:$D,MATCH(A75,ContaCorrente!$A:$A,0)),"")</f>
        <v/>
      </c>
      <c r="N75" s="13">
        <f>IF(AND(ISNUMBER(M75),M75&lt;&gt;0),F75/M75,"")</f>
        <v/>
      </c>
    </row>
    <row r="76">
      <c r="A76" s="9" t="n">
        <v>40513</v>
      </c>
      <c r="B76" s="10">
        <f>YEAR(A76)</f>
        <v/>
      </c>
      <c r="C76" s="10">
        <f>MONTH(A76)</f>
        <v/>
      </c>
      <c r="D76" s="11">
        <f>SUMIFS(Lancamentos!$L$2:$L$2342,Lancamentos!$D$2:$D$2342,B76,Lancamentos!$E$2:$E$2342,C76)-E76</f>
        <v/>
      </c>
      <c r="E76" s="11">
        <f>SUMIFS(Lancamentos!$L$2:$L$2342,Lancamentos!$D$2:$D$2342,B76,Lancamentos!$E$2:$E$2342,C76,Lancamentos!$H$2:$H$2342,"PREMIO")</f>
        <v/>
      </c>
      <c r="F76" s="11">
        <f>D76+E76</f>
        <v/>
      </c>
      <c r="G76" s="12">
        <f>SUMIFS(Estimativas!$F:$F,Estimativas!$A:$A,A76)</f>
        <v/>
      </c>
      <c r="H76" s="11">
        <f>F76+G76</f>
        <v/>
      </c>
      <c r="I76" s="11">
        <f>SUMIFS(Lancamentos!$J$2:$J$2342,Lancamentos!$D$2:$D$2342,B76,Lancamentos!$E$2:$E$2342,C76,Lancamentos!$H$2:$H$2342,"&lt;&gt;DISTRATO")</f>
        <v/>
      </c>
      <c r="J76" s="11">
        <f>F76-I76</f>
        <v/>
      </c>
      <c r="K76" s="11">
        <f>SUMIFS(Lancamentos!$K$2:$K$2342,Lancamentos!$D$2:$D$2342,B76,Lancamentos!$E$2:$E$2342,C76,Lancamentos!$H$2:$H$2342,"DISTRATO")</f>
        <v/>
      </c>
      <c r="L76" s="10" t="inlineStr">
        <is>
          <t>ESTIMADO - média do período vizinho c/ variação aleatória</t>
        </is>
      </c>
      <c r="M76" s="12">
        <f>IFERROR(INDEX(ContaCorrente!$D:$D,MATCH(A76,ContaCorrente!$A:$A,0)),"")</f>
        <v/>
      </c>
      <c r="N76" s="13">
        <f>IF(AND(ISNUMBER(M76),M76&lt;&gt;0),F76/M76,"")</f>
        <v/>
      </c>
    </row>
    <row r="77">
      <c r="A77" s="9" t="n">
        <v>40544</v>
      </c>
      <c r="B77" s="10">
        <f>YEAR(A77)</f>
        <v/>
      </c>
      <c r="C77" s="10">
        <f>MONTH(A77)</f>
        <v/>
      </c>
      <c r="D77" s="11">
        <f>SUMIFS(Lancamentos!$L$2:$L$2342,Lancamentos!$D$2:$D$2342,B77,Lancamentos!$E$2:$E$2342,C77)-E77</f>
        <v/>
      </c>
      <c r="E77" s="11">
        <f>SUMIFS(Lancamentos!$L$2:$L$2342,Lancamentos!$D$2:$D$2342,B77,Lancamentos!$E$2:$E$2342,C77,Lancamentos!$H$2:$H$2342,"PREMIO")</f>
        <v/>
      </c>
      <c r="F77" s="11">
        <f>D77+E77</f>
        <v/>
      </c>
      <c r="G77" s="12">
        <f>SUMIFS(Estimativas!$F:$F,Estimativas!$A:$A,A77)</f>
        <v/>
      </c>
      <c r="H77" s="11">
        <f>F77+G77</f>
        <v/>
      </c>
      <c r="I77" s="11">
        <f>SUMIFS(Lancamentos!$J$2:$J$2342,Lancamentos!$D$2:$D$2342,B77,Lancamentos!$E$2:$E$2342,C77,Lancamentos!$H$2:$H$2342,"&lt;&gt;DISTRATO")</f>
        <v/>
      </c>
      <c r="J77" s="11">
        <f>F77-I77</f>
        <v/>
      </c>
      <c r="K77" s="11">
        <f>SUMIFS(Lancamentos!$K$2:$K$2342,Lancamentos!$D$2:$D$2342,B77,Lancamentos!$E$2:$E$2342,C77,Lancamentos!$H$2:$H$2342,"DISTRATO")</f>
        <v/>
      </c>
      <c r="L77" s="10" t="inlineStr">
        <is>
          <t>ESTIMADO - média do período vizinho c/ variação aleatória</t>
        </is>
      </c>
      <c r="M77" s="12">
        <f>IFERROR(INDEX(ContaCorrente!$D:$D,MATCH(A77,ContaCorrente!$A:$A,0)),"")</f>
        <v/>
      </c>
      <c r="N77" s="13">
        <f>IF(AND(ISNUMBER(M77),M77&lt;&gt;0),F77/M77,"")</f>
        <v/>
      </c>
    </row>
    <row r="78">
      <c r="A78" s="9" t="n">
        <v>40575</v>
      </c>
      <c r="B78" s="10">
        <f>YEAR(A78)</f>
        <v/>
      </c>
      <c r="C78" s="10">
        <f>MONTH(A78)</f>
        <v/>
      </c>
      <c r="D78" s="11">
        <f>SUMIFS(Lancamentos!$L$2:$L$2342,Lancamentos!$D$2:$D$2342,B78,Lancamentos!$E$2:$E$2342,C78)-E78</f>
        <v/>
      </c>
      <c r="E78" s="11">
        <f>SUMIFS(Lancamentos!$L$2:$L$2342,Lancamentos!$D$2:$D$2342,B78,Lancamentos!$E$2:$E$2342,C78,Lancamentos!$H$2:$H$2342,"PREMIO")</f>
        <v/>
      </c>
      <c r="F78" s="11">
        <f>D78+E78</f>
        <v/>
      </c>
      <c r="G78" s="12">
        <f>SUMIFS(Estimativas!$F:$F,Estimativas!$A:$A,A78)</f>
        <v/>
      </c>
      <c r="H78" s="11">
        <f>F78+G78</f>
        <v/>
      </c>
      <c r="I78" s="11">
        <f>SUMIFS(Lancamentos!$J$2:$J$2342,Lancamentos!$D$2:$D$2342,B78,Lancamentos!$E$2:$E$2342,C78,Lancamentos!$H$2:$H$2342,"&lt;&gt;DISTRATO")</f>
        <v/>
      </c>
      <c r="J78" s="11">
        <f>F78-I78</f>
        <v/>
      </c>
      <c r="K78" s="11">
        <f>SUMIFS(Lancamentos!$K$2:$K$2342,Lancamentos!$D$2:$D$2342,B78,Lancamentos!$E$2:$E$2342,C78,Lancamentos!$H$2:$H$2342,"DISTRATO")</f>
        <v/>
      </c>
      <c r="L78" s="10" t="inlineStr">
        <is>
          <t>ESTIMADO - média do período vizinho c/ variação aleatória</t>
        </is>
      </c>
      <c r="M78" s="12">
        <f>IFERROR(INDEX(ContaCorrente!$D:$D,MATCH(A78,ContaCorrente!$A:$A,0)),"")</f>
        <v/>
      </c>
      <c r="N78" s="13">
        <f>IF(AND(ISNUMBER(M78),M78&lt;&gt;0),F78/M78,"")</f>
        <v/>
      </c>
    </row>
    <row r="79">
      <c r="A79" s="9" t="n">
        <v>40603</v>
      </c>
      <c r="B79" s="10">
        <f>YEAR(A79)</f>
        <v/>
      </c>
      <c r="C79" s="10">
        <f>MONTH(A79)</f>
        <v/>
      </c>
      <c r="D79" s="11">
        <f>SUMIFS(Lancamentos!$L$2:$L$2342,Lancamentos!$D$2:$D$2342,B79,Lancamentos!$E$2:$E$2342,C79)-E79</f>
        <v/>
      </c>
      <c r="E79" s="11">
        <f>SUMIFS(Lancamentos!$L$2:$L$2342,Lancamentos!$D$2:$D$2342,B79,Lancamentos!$E$2:$E$2342,C79,Lancamentos!$H$2:$H$2342,"PREMIO")</f>
        <v/>
      </c>
      <c r="F79" s="11">
        <f>D79+E79</f>
        <v/>
      </c>
      <c r="G79" s="12">
        <f>SUMIFS(Estimativas!$F:$F,Estimativas!$A:$A,A79)</f>
        <v/>
      </c>
      <c r="H79" s="11">
        <f>F79+G79</f>
        <v/>
      </c>
      <c r="I79" s="11">
        <f>SUMIFS(Lancamentos!$J$2:$J$2342,Lancamentos!$D$2:$D$2342,B79,Lancamentos!$E$2:$E$2342,C79,Lancamentos!$H$2:$H$2342,"&lt;&gt;DISTRATO")</f>
        <v/>
      </c>
      <c r="J79" s="11">
        <f>F79-I79</f>
        <v/>
      </c>
      <c r="K79" s="11">
        <f>SUMIFS(Lancamentos!$K$2:$K$2342,Lancamentos!$D$2:$D$2342,B79,Lancamentos!$E$2:$E$2342,C79,Lancamentos!$H$2:$H$2342,"DISTRATO")</f>
        <v/>
      </c>
      <c r="L79" s="10" t="inlineStr">
        <is>
          <t>ESTIMADO - média do período vizinho c/ variação aleatória</t>
        </is>
      </c>
      <c r="M79" s="12">
        <f>IFERROR(INDEX(ContaCorrente!$D:$D,MATCH(A79,ContaCorrente!$A:$A,0)),"")</f>
        <v/>
      </c>
      <c r="N79" s="13">
        <f>IF(AND(ISNUMBER(M79),M79&lt;&gt;0),F79/M79,"")</f>
        <v/>
      </c>
    </row>
    <row r="80">
      <c r="A80" s="9" t="n">
        <v>40634</v>
      </c>
      <c r="B80" s="10">
        <f>YEAR(A80)</f>
        <v/>
      </c>
      <c r="C80" s="10">
        <f>MONTH(A80)</f>
        <v/>
      </c>
      <c r="D80" s="11">
        <f>SUMIFS(Lancamentos!$L$2:$L$2342,Lancamentos!$D$2:$D$2342,B80,Lancamentos!$E$2:$E$2342,C80)-E80</f>
        <v/>
      </c>
      <c r="E80" s="11">
        <f>SUMIFS(Lancamentos!$L$2:$L$2342,Lancamentos!$D$2:$D$2342,B80,Lancamentos!$E$2:$E$2342,C80,Lancamentos!$H$2:$H$2342,"PREMIO")</f>
        <v/>
      </c>
      <c r="F80" s="11">
        <f>D80+E80</f>
        <v/>
      </c>
      <c r="G80" s="12">
        <f>SUMIFS(Estimativas!$F:$F,Estimativas!$A:$A,A80)</f>
        <v/>
      </c>
      <c r="H80" s="11">
        <f>F80+G80</f>
        <v/>
      </c>
      <c r="I80" s="11">
        <f>SUMIFS(Lancamentos!$J$2:$J$2342,Lancamentos!$D$2:$D$2342,B80,Lancamentos!$E$2:$E$2342,C80,Lancamentos!$H$2:$H$2342,"&lt;&gt;DISTRATO")</f>
        <v/>
      </c>
      <c r="J80" s="11">
        <f>F80-I80</f>
        <v/>
      </c>
      <c r="K80" s="11">
        <f>SUMIFS(Lancamentos!$K$2:$K$2342,Lancamentos!$D$2:$D$2342,B80,Lancamentos!$E$2:$E$2342,C80,Lancamentos!$H$2:$H$2342,"DISTRATO")</f>
        <v/>
      </c>
      <c r="L80" s="10" t="inlineStr">
        <is>
          <t>ESTIMADO - média do período vizinho c/ variação aleatória</t>
        </is>
      </c>
      <c r="M80" s="12">
        <f>IFERROR(INDEX(ContaCorrente!$D:$D,MATCH(A80,ContaCorrente!$A:$A,0)),"")</f>
        <v/>
      </c>
      <c r="N80" s="13">
        <f>IF(AND(ISNUMBER(M80),M80&lt;&gt;0),F80/M80,"")</f>
        <v/>
      </c>
    </row>
    <row r="81">
      <c r="A81" s="9" t="n">
        <v>40664</v>
      </c>
      <c r="B81" s="10">
        <f>YEAR(A81)</f>
        <v/>
      </c>
      <c r="C81" s="10">
        <f>MONTH(A81)</f>
        <v/>
      </c>
      <c r="D81" s="11">
        <f>SUMIFS(Lancamentos!$L$2:$L$2342,Lancamentos!$D$2:$D$2342,B81,Lancamentos!$E$2:$E$2342,C81)-E81</f>
        <v/>
      </c>
      <c r="E81" s="11">
        <f>SUMIFS(Lancamentos!$L$2:$L$2342,Lancamentos!$D$2:$D$2342,B81,Lancamentos!$E$2:$E$2342,C81,Lancamentos!$H$2:$H$2342,"PREMIO")</f>
        <v/>
      </c>
      <c r="F81" s="11">
        <f>D81+E81</f>
        <v/>
      </c>
      <c r="G81" s="12">
        <f>SUMIFS(Estimativas!$F:$F,Estimativas!$A:$A,A81)</f>
        <v/>
      </c>
      <c r="H81" s="11">
        <f>F81+G81</f>
        <v/>
      </c>
      <c r="I81" s="11">
        <f>SUMIFS(Lancamentos!$J$2:$J$2342,Lancamentos!$D$2:$D$2342,B81,Lancamentos!$E$2:$E$2342,C81,Lancamentos!$H$2:$H$2342,"&lt;&gt;DISTRATO")</f>
        <v/>
      </c>
      <c r="J81" s="11">
        <f>F81-I81</f>
        <v/>
      </c>
      <c r="K81" s="11">
        <f>SUMIFS(Lancamentos!$K$2:$K$2342,Lancamentos!$D$2:$D$2342,B81,Lancamentos!$E$2:$E$2342,C81,Lancamentos!$H$2:$H$2342,"DISTRATO")</f>
        <v/>
      </c>
      <c r="L81" s="10" t="inlineStr">
        <is>
          <t>ESTIMADO - média do período vizinho c/ variação aleatória</t>
        </is>
      </c>
      <c r="M81" s="12">
        <f>IFERROR(INDEX(ContaCorrente!$D:$D,MATCH(A81,ContaCorrente!$A:$A,0)),"")</f>
        <v/>
      </c>
      <c r="N81" s="13">
        <f>IF(AND(ISNUMBER(M81),M81&lt;&gt;0),F81/M81,"")</f>
        <v/>
      </c>
    </row>
    <row r="82">
      <c r="A82" s="9" t="n">
        <v>40695</v>
      </c>
      <c r="B82" s="10">
        <f>YEAR(A82)</f>
        <v/>
      </c>
      <c r="C82" s="10">
        <f>MONTH(A82)</f>
        <v/>
      </c>
      <c r="D82" s="11">
        <f>SUMIFS(Lancamentos!$L$2:$L$2342,Lancamentos!$D$2:$D$2342,B82,Lancamentos!$E$2:$E$2342,C82)-E82</f>
        <v/>
      </c>
      <c r="E82" s="11">
        <f>SUMIFS(Lancamentos!$L$2:$L$2342,Lancamentos!$D$2:$D$2342,B82,Lancamentos!$E$2:$E$2342,C82,Lancamentos!$H$2:$H$2342,"PREMIO")</f>
        <v/>
      </c>
      <c r="F82" s="11">
        <f>D82+E82</f>
        <v/>
      </c>
      <c r="G82" s="12">
        <f>SUMIFS(Estimativas!$F:$F,Estimativas!$A:$A,A82)</f>
        <v/>
      </c>
      <c r="H82" s="11">
        <f>F82+G82</f>
        <v/>
      </c>
      <c r="I82" s="11">
        <f>SUMIFS(Lancamentos!$J$2:$J$2342,Lancamentos!$D$2:$D$2342,B82,Lancamentos!$E$2:$E$2342,C82,Lancamentos!$H$2:$H$2342,"&lt;&gt;DISTRATO")</f>
        <v/>
      </c>
      <c r="J82" s="11">
        <f>F82-I82</f>
        <v/>
      </c>
      <c r="K82" s="11">
        <f>SUMIFS(Lancamentos!$K$2:$K$2342,Lancamentos!$D$2:$D$2342,B82,Lancamentos!$E$2:$E$2342,C82,Lancamentos!$H$2:$H$2342,"DISTRATO")</f>
        <v/>
      </c>
      <c r="L82" s="10" t="inlineStr">
        <is>
          <t>ESTIMADO - média do período vizinho c/ variação aleatória</t>
        </is>
      </c>
      <c r="M82" s="12">
        <f>IFERROR(INDEX(ContaCorrente!$D:$D,MATCH(A82,ContaCorrente!$A:$A,0)),"")</f>
        <v/>
      </c>
      <c r="N82" s="13">
        <f>IF(AND(ISNUMBER(M82),M82&lt;&gt;0),F82/M82,"")</f>
        <v/>
      </c>
    </row>
    <row r="83">
      <c r="A83" s="9" t="n">
        <v>40725</v>
      </c>
      <c r="B83" s="10">
        <f>YEAR(A83)</f>
        <v/>
      </c>
      <c r="C83" s="10">
        <f>MONTH(A83)</f>
        <v/>
      </c>
      <c r="D83" s="11">
        <f>SUMIFS(Lancamentos!$L$2:$L$2342,Lancamentos!$D$2:$D$2342,B83,Lancamentos!$E$2:$E$2342,C83)-E83</f>
        <v/>
      </c>
      <c r="E83" s="11">
        <f>SUMIFS(Lancamentos!$L$2:$L$2342,Lancamentos!$D$2:$D$2342,B83,Lancamentos!$E$2:$E$2342,C83,Lancamentos!$H$2:$H$2342,"PREMIO")</f>
        <v/>
      </c>
      <c r="F83" s="11">
        <f>D83+E83</f>
        <v/>
      </c>
      <c r="G83" s="12">
        <f>SUMIFS(Estimativas!$F:$F,Estimativas!$A:$A,A83)</f>
        <v/>
      </c>
      <c r="H83" s="11">
        <f>F83+G83</f>
        <v/>
      </c>
      <c r="I83" s="11">
        <f>SUMIFS(Lancamentos!$J$2:$J$2342,Lancamentos!$D$2:$D$2342,B83,Lancamentos!$E$2:$E$2342,C83,Lancamentos!$H$2:$H$2342,"&lt;&gt;DISTRATO")</f>
        <v/>
      </c>
      <c r="J83" s="11">
        <f>F83-I83</f>
        <v/>
      </c>
      <c r="K83" s="11">
        <f>SUMIFS(Lancamentos!$K$2:$K$2342,Lancamentos!$D$2:$D$2342,B83,Lancamentos!$E$2:$E$2342,C83,Lancamentos!$H$2:$H$2342,"DISTRATO")</f>
        <v/>
      </c>
      <c r="L83" s="10" t="inlineStr">
        <is>
          <t>ESTIMADO - média do período vizinho c/ variação aleatória</t>
        </is>
      </c>
      <c r="M83" s="12">
        <f>IFERROR(INDEX(ContaCorrente!$D:$D,MATCH(A83,ContaCorrente!$A:$A,0)),"")</f>
        <v/>
      </c>
      <c r="N83" s="13">
        <f>IF(AND(ISNUMBER(M83),M83&lt;&gt;0),F83/M83,"")</f>
        <v/>
      </c>
    </row>
    <row r="84">
      <c r="A84" s="9" t="n">
        <v>40756</v>
      </c>
      <c r="B84" s="10">
        <f>YEAR(A84)</f>
        <v/>
      </c>
      <c r="C84" s="10">
        <f>MONTH(A84)</f>
        <v/>
      </c>
      <c r="D84" s="11">
        <f>SUMIFS(Lancamentos!$L$2:$L$2342,Lancamentos!$D$2:$D$2342,B84,Lancamentos!$E$2:$E$2342,C84)-E84</f>
        <v/>
      </c>
      <c r="E84" s="11">
        <f>SUMIFS(Lancamentos!$L$2:$L$2342,Lancamentos!$D$2:$D$2342,B84,Lancamentos!$E$2:$E$2342,C84,Lancamentos!$H$2:$H$2342,"PREMIO")</f>
        <v/>
      </c>
      <c r="F84" s="11">
        <f>D84+E84</f>
        <v/>
      </c>
      <c r="G84" s="12">
        <f>SUMIFS(Estimativas!$F:$F,Estimativas!$A:$A,A84)</f>
        <v/>
      </c>
      <c r="H84" s="11">
        <f>F84+G84</f>
        <v/>
      </c>
      <c r="I84" s="11">
        <f>SUMIFS(Lancamentos!$J$2:$J$2342,Lancamentos!$D$2:$D$2342,B84,Lancamentos!$E$2:$E$2342,C84,Lancamentos!$H$2:$H$2342,"&lt;&gt;DISTRATO")</f>
        <v/>
      </c>
      <c r="J84" s="11">
        <f>F84-I84</f>
        <v/>
      </c>
      <c r="K84" s="11">
        <f>SUMIFS(Lancamentos!$K$2:$K$2342,Lancamentos!$D$2:$D$2342,B84,Lancamentos!$E$2:$E$2342,C84,Lancamentos!$H$2:$H$2342,"DISTRATO")</f>
        <v/>
      </c>
      <c r="L84" s="10" t="inlineStr">
        <is>
          <t>ESTIMADO - média do período vizinho c/ variação aleatória</t>
        </is>
      </c>
      <c r="M84" s="12">
        <f>IFERROR(INDEX(ContaCorrente!$D:$D,MATCH(A84,ContaCorrente!$A:$A,0)),"")</f>
        <v/>
      </c>
      <c r="N84" s="13">
        <f>IF(AND(ISNUMBER(M84),M84&lt;&gt;0),F84/M84,"")</f>
        <v/>
      </c>
    </row>
    <row r="85">
      <c r="A85" s="9" t="n">
        <v>40787</v>
      </c>
      <c r="B85" s="10">
        <f>YEAR(A85)</f>
        <v/>
      </c>
      <c r="C85" s="10">
        <f>MONTH(A85)</f>
        <v/>
      </c>
      <c r="D85" s="11">
        <f>SUMIFS(Lancamentos!$L$2:$L$2342,Lancamentos!$D$2:$D$2342,B85,Lancamentos!$E$2:$E$2342,C85)-E85</f>
        <v/>
      </c>
      <c r="E85" s="11">
        <f>SUMIFS(Lancamentos!$L$2:$L$2342,Lancamentos!$D$2:$D$2342,B85,Lancamentos!$E$2:$E$2342,C85,Lancamentos!$H$2:$H$2342,"PREMIO")</f>
        <v/>
      </c>
      <c r="F85" s="11">
        <f>D85+E85</f>
        <v/>
      </c>
      <c r="G85" s="12">
        <f>SUMIFS(Estimativas!$F:$F,Estimativas!$A:$A,A85)</f>
        <v/>
      </c>
      <c r="H85" s="11">
        <f>F85+G85</f>
        <v/>
      </c>
      <c r="I85" s="11">
        <f>SUMIFS(Lancamentos!$J$2:$J$2342,Lancamentos!$D$2:$D$2342,B85,Lancamentos!$E$2:$E$2342,C85,Lancamentos!$H$2:$H$2342,"&lt;&gt;DISTRATO")</f>
        <v/>
      </c>
      <c r="J85" s="11">
        <f>F85-I85</f>
        <v/>
      </c>
      <c r="K85" s="11">
        <f>SUMIFS(Lancamentos!$K$2:$K$2342,Lancamentos!$D$2:$D$2342,B85,Lancamentos!$E$2:$E$2342,C85,Lancamentos!$H$2:$H$2342,"DISTRATO")</f>
        <v/>
      </c>
      <c r="L85" s="10" t="inlineStr">
        <is>
          <t>ESTIMADO - média do período vizinho c/ variação aleatória</t>
        </is>
      </c>
      <c r="M85" s="12">
        <f>IFERROR(INDEX(ContaCorrente!$D:$D,MATCH(A85,ContaCorrente!$A:$A,0)),"")</f>
        <v/>
      </c>
      <c r="N85" s="13">
        <f>IF(AND(ISNUMBER(M85),M85&lt;&gt;0),F85/M85,"")</f>
        <v/>
      </c>
    </row>
    <row r="86">
      <c r="A86" s="9" t="n">
        <v>40817</v>
      </c>
      <c r="B86" s="10">
        <f>YEAR(A86)</f>
        <v/>
      </c>
      <c r="C86" s="10">
        <f>MONTH(A86)</f>
        <v/>
      </c>
      <c r="D86" s="11">
        <f>SUMIFS(Lancamentos!$L$2:$L$2342,Lancamentos!$D$2:$D$2342,B86,Lancamentos!$E$2:$E$2342,C86)-E86</f>
        <v/>
      </c>
      <c r="E86" s="11">
        <f>SUMIFS(Lancamentos!$L$2:$L$2342,Lancamentos!$D$2:$D$2342,B86,Lancamentos!$E$2:$E$2342,C86,Lancamentos!$H$2:$H$2342,"PREMIO")</f>
        <v/>
      </c>
      <c r="F86" s="11">
        <f>D86+E86</f>
        <v/>
      </c>
      <c r="G86" s="12">
        <f>SUMIFS(Estimativas!$F:$F,Estimativas!$A:$A,A86)</f>
        <v/>
      </c>
      <c r="H86" s="11">
        <f>F86+G86</f>
        <v/>
      </c>
      <c r="I86" s="11">
        <f>SUMIFS(Lancamentos!$J$2:$J$2342,Lancamentos!$D$2:$D$2342,B86,Lancamentos!$E$2:$E$2342,C86,Lancamentos!$H$2:$H$2342,"&lt;&gt;DISTRATO")</f>
        <v/>
      </c>
      <c r="J86" s="11">
        <f>F86-I86</f>
        <v/>
      </c>
      <c r="K86" s="11">
        <f>SUMIFS(Lancamentos!$K$2:$K$2342,Lancamentos!$D$2:$D$2342,B86,Lancamentos!$E$2:$E$2342,C86,Lancamentos!$H$2:$H$2342,"DISTRATO")</f>
        <v/>
      </c>
      <c r="L86" s="10" t="inlineStr">
        <is>
          <t>ESTIMADO - média do período vizinho c/ variação aleatória</t>
        </is>
      </c>
      <c r="M86" s="12">
        <f>IFERROR(INDEX(ContaCorrente!$D:$D,MATCH(A86,ContaCorrente!$A:$A,0)),"")</f>
        <v/>
      </c>
      <c r="N86" s="13">
        <f>IF(AND(ISNUMBER(M86),M86&lt;&gt;0),F86/M86,"")</f>
        <v/>
      </c>
    </row>
    <row r="87">
      <c r="A87" s="9" t="n">
        <v>40848</v>
      </c>
      <c r="B87" s="10">
        <f>YEAR(A87)</f>
        <v/>
      </c>
      <c r="C87" s="10">
        <f>MONTH(A87)</f>
        <v/>
      </c>
      <c r="D87" s="11">
        <f>SUMIFS(Lancamentos!$L$2:$L$2342,Lancamentos!$D$2:$D$2342,B87,Lancamentos!$E$2:$E$2342,C87)-E87</f>
        <v/>
      </c>
      <c r="E87" s="11">
        <f>SUMIFS(Lancamentos!$L$2:$L$2342,Lancamentos!$D$2:$D$2342,B87,Lancamentos!$E$2:$E$2342,C87,Lancamentos!$H$2:$H$2342,"PREMIO")</f>
        <v/>
      </c>
      <c r="F87" s="11">
        <f>D87+E87</f>
        <v/>
      </c>
      <c r="G87" s="12">
        <f>SUMIFS(Estimativas!$F:$F,Estimativas!$A:$A,A87)</f>
        <v/>
      </c>
      <c r="H87" s="11">
        <f>F87+G87</f>
        <v/>
      </c>
      <c r="I87" s="11">
        <f>SUMIFS(Lancamentos!$J$2:$J$2342,Lancamentos!$D$2:$D$2342,B87,Lancamentos!$E$2:$E$2342,C87,Lancamentos!$H$2:$H$2342,"&lt;&gt;DISTRATO")</f>
        <v/>
      </c>
      <c r="J87" s="11">
        <f>F87-I87</f>
        <v/>
      </c>
      <c r="K87" s="11">
        <f>SUMIFS(Lancamentos!$K$2:$K$2342,Lancamentos!$D$2:$D$2342,B87,Lancamentos!$E$2:$E$2342,C87,Lancamentos!$H$2:$H$2342,"DISTRATO")</f>
        <v/>
      </c>
      <c r="L87" s="10" t="inlineStr">
        <is>
          <t>ESTIMADO - média do período vizinho c/ variação aleatória</t>
        </is>
      </c>
      <c r="M87" s="12">
        <f>IFERROR(INDEX(ContaCorrente!$D:$D,MATCH(A87,ContaCorrente!$A:$A,0)),"")</f>
        <v/>
      </c>
      <c r="N87" s="13">
        <f>IF(AND(ISNUMBER(M87),M87&lt;&gt;0),F87/M87,"")</f>
        <v/>
      </c>
    </row>
    <row r="88">
      <c r="A88" s="9" t="n">
        <v>40878</v>
      </c>
      <c r="B88" s="10">
        <f>YEAR(A88)</f>
        <v/>
      </c>
      <c r="C88" s="10">
        <f>MONTH(A88)</f>
        <v/>
      </c>
      <c r="D88" s="11">
        <f>SUMIFS(Lancamentos!$L$2:$L$2342,Lancamentos!$D$2:$D$2342,B88,Lancamentos!$E$2:$E$2342,C88)-E88</f>
        <v/>
      </c>
      <c r="E88" s="11">
        <f>SUMIFS(Lancamentos!$L$2:$L$2342,Lancamentos!$D$2:$D$2342,B88,Lancamentos!$E$2:$E$2342,C88,Lancamentos!$H$2:$H$2342,"PREMIO")</f>
        <v/>
      </c>
      <c r="F88" s="11">
        <f>D88+E88</f>
        <v/>
      </c>
      <c r="G88" s="12">
        <f>SUMIFS(Estimativas!$F:$F,Estimativas!$A:$A,A88)</f>
        <v/>
      </c>
      <c r="H88" s="11">
        <f>F88+G88</f>
        <v/>
      </c>
      <c r="I88" s="11">
        <f>SUMIFS(Lancamentos!$J$2:$J$2342,Lancamentos!$D$2:$D$2342,B88,Lancamentos!$E$2:$E$2342,C88,Lancamentos!$H$2:$H$2342,"&lt;&gt;DISTRATO")</f>
        <v/>
      </c>
      <c r="J88" s="11">
        <f>F88-I88</f>
        <v/>
      </c>
      <c r="K88" s="11">
        <f>SUMIFS(Lancamentos!$K$2:$K$2342,Lancamentos!$D$2:$D$2342,B88,Lancamentos!$E$2:$E$2342,C88,Lancamentos!$H$2:$H$2342,"DISTRATO")</f>
        <v/>
      </c>
      <c r="L88" s="10" t="inlineStr">
        <is>
          <t>ESTIMADO - média do período vizinho c/ variação aleatória</t>
        </is>
      </c>
      <c r="M88" s="12">
        <f>IFERROR(INDEX(ContaCorrente!$D:$D,MATCH(A88,ContaCorrente!$A:$A,0)),"")</f>
        <v/>
      </c>
      <c r="N88" s="13">
        <f>IF(AND(ISNUMBER(M88),M88&lt;&gt;0),F88/M88,"")</f>
        <v/>
      </c>
    </row>
    <row r="89">
      <c r="A89" s="4" t="n">
        <v>40909</v>
      </c>
      <c r="B89" s="5">
        <f>YEAR(A89)</f>
        <v/>
      </c>
      <c r="C89" s="5">
        <f>MONTH(A89)</f>
        <v/>
      </c>
      <c r="D89" s="6">
        <f>SUMIFS(Lancamentos!$L$2:$L$2342,Lancamentos!$D$2:$D$2342,B89,Lancamentos!$E$2:$E$2342,C89)-E89</f>
        <v/>
      </c>
      <c r="E89" s="6">
        <f>SUMIFS(Lancamentos!$L$2:$L$2342,Lancamentos!$D$2:$D$2342,B89,Lancamentos!$E$2:$E$2342,C89,Lancamentos!$H$2:$H$2342,"PREMIO")</f>
        <v/>
      </c>
      <c r="F89" s="6">
        <f>D89+E89</f>
        <v/>
      </c>
      <c r="G89" s="7">
        <f>SUMIFS(Estimativas!$F:$F,Estimativas!$A:$A,A89)</f>
        <v/>
      </c>
      <c r="H89" s="6">
        <f>F89+G89</f>
        <v/>
      </c>
      <c r="I89" s="6">
        <f>SUMIFS(Lancamentos!$J$2:$J$2342,Lancamentos!$D$2:$D$2342,B89,Lancamentos!$E$2:$E$2342,C89,Lancamentos!$H$2:$H$2342,"&lt;&gt;DISTRATO")</f>
        <v/>
      </c>
      <c r="J89" s="6">
        <f>F89-I89</f>
        <v/>
      </c>
      <c r="K89" s="6">
        <f>SUMIFS(Lancamentos!$K$2:$K$2342,Lancamentos!$D$2:$D$2342,B89,Lancamentos!$E$2:$E$2342,C89,Lancamentos!$H$2:$H$2342,"DISTRATO")</f>
        <v/>
      </c>
      <c r="L89" s="5" t="inlineStr">
        <is>
          <t>Tenda (conta corrente)</t>
        </is>
      </c>
      <c r="M89" s="7">
        <f>IFERROR(INDEX(ContaCorrente!$D:$D,MATCH(A89,ContaCorrente!$A:$A,0)),"")</f>
        <v/>
      </c>
      <c r="N89" s="8">
        <f>IF(AND(ISNUMBER(M89),M89&lt;&gt;0),F89/M89,"")</f>
        <v/>
      </c>
    </row>
    <row r="90">
      <c r="A90" s="4" t="n">
        <v>40940</v>
      </c>
      <c r="B90" s="5">
        <f>YEAR(A90)</f>
        <v/>
      </c>
      <c r="C90" s="5">
        <f>MONTH(A90)</f>
        <v/>
      </c>
      <c r="D90" s="6">
        <f>SUMIFS(Lancamentos!$L$2:$L$2342,Lancamentos!$D$2:$D$2342,B90,Lancamentos!$E$2:$E$2342,C90)-E90</f>
        <v/>
      </c>
      <c r="E90" s="6">
        <f>SUMIFS(Lancamentos!$L$2:$L$2342,Lancamentos!$D$2:$D$2342,B90,Lancamentos!$E$2:$E$2342,C90,Lancamentos!$H$2:$H$2342,"PREMIO")</f>
        <v/>
      </c>
      <c r="F90" s="6">
        <f>D90+E90</f>
        <v/>
      </c>
      <c r="G90" s="7">
        <f>SUMIFS(Estimativas!$F:$F,Estimativas!$A:$A,A90)</f>
        <v/>
      </c>
      <c r="H90" s="6">
        <f>F90+G90</f>
        <v/>
      </c>
      <c r="I90" s="6">
        <f>SUMIFS(Lancamentos!$J$2:$J$2342,Lancamentos!$D$2:$D$2342,B90,Lancamentos!$E$2:$E$2342,C90,Lancamentos!$H$2:$H$2342,"&lt;&gt;DISTRATO")</f>
        <v/>
      </c>
      <c r="J90" s="6">
        <f>F90-I90</f>
        <v/>
      </c>
      <c r="K90" s="6">
        <f>SUMIFS(Lancamentos!$K$2:$K$2342,Lancamentos!$D$2:$D$2342,B90,Lancamentos!$E$2:$E$2342,C90,Lancamentos!$H$2:$H$2342,"DISTRATO")</f>
        <v/>
      </c>
      <c r="L90" s="5" t="inlineStr">
        <is>
          <t>Tenda (conta corrente)</t>
        </is>
      </c>
      <c r="M90" s="7">
        <f>IFERROR(INDEX(ContaCorrente!$D:$D,MATCH(A90,ContaCorrente!$A:$A,0)),"")</f>
        <v/>
      </c>
      <c r="N90" s="8">
        <f>IF(AND(ISNUMBER(M90),M90&lt;&gt;0),F90/M90,"")</f>
        <v/>
      </c>
    </row>
    <row r="91">
      <c r="A91" s="4" t="n">
        <v>40969</v>
      </c>
      <c r="B91" s="5">
        <f>YEAR(A91)</f>
        <v/>
      </c>
      <c r="C91" s="5">
        <f>MONTH(A91)</f>
        <v/>
      </c>
      <c r="D91" s="6">
        <f>SUMIFS(Lancamentos!$L$2:$L$2342,Lancamentos!$D$2:$D$2342,B91,Lancamentos!$E$2:$E$2342,C91)-E91</f>
        <v/>
      </c>
      <c r="E91" s="6">
        <f>SUMIFS(Lancamentos!$L$2:$L$2342,Lancamentos!$D$2:$D$2342,B91,Lancamentos!$E$2:$E$2342,C91,Lancamentos!$H$2:$H$2342,"PREMIO")</f>
        <v/>
      </c>
      <c r="F91" s="6">
        <f>D91+E91</f>
        <v/>
      </c>
      <c r="G91" s="7">
        <f>SUMIFS(Estimativas!$F:$F,Estimativas!$A:$A,A91)</f>
        <v/>
      </c>
      <c r="H91" s="6">
        <f>F91+G91</f>
        <v/>
      </c>
      <c r="I91" s="6">
        <f>SUMIFS(Lancamentos!$J$2:$J$2342,Lancamentos!$D$2:$D$2342,B91,Lancamentos!$E$2:$E$2342,C91,Lancamentos!$H$2:$H$2342,"&lt;&gt;DISTRATO")</f>
        <v/>
      </c>
      <c r="J91" s="6">
        <f>F91-I91</f>
        <v/>
      </c>
      <c r="K91" s="6">
        <f>SUMIFS(Lancamentos!$K$2:$K$2342,Lancamentos!$D$2:$D$2342,B91,Lancamentos!$E$2:$E$2342,C91,Lancamentos!$H$2:$H$2342,"DISTRATO")</f>
        <v/>
      </c>
      <c r="L91" s="5" t="inlineStr">
        <is>
          <t>Tenda (conta corrente)</t>
        </is>
      </c>
      <c r="M91" s="7">
        <f>IFERROR(INDEX(ContaCorrente!$D:$D,MATCH(A91,ContaCorrente!$A:$A,0)),"")</f>
        <v/>
      </c>
      <c r="N91" s="8">
        <f>IF(AND(ISNUMBER(M91),M91&lt;&gt;0),F91/M91,"")</f>
        <v/>
      </c>
    </row>
    <row r="92">
      <c r="A92" s="4" t="n">
        <v>41000</v>
      </c>
      <c r="B92" s="5">
        <f>YEAR(A92)</f>
        <v/>
      </c>
      <c r="C92" s="5">
        <f>MONTH(A92)</f>
        <v/>
      </c>
      <c r="D92" s="6">
        <f>SUMIFS(Lancamentos!$L$2:$L$2342,Lancamentos!$D$2:$D$2342,B92,Lancamentos!$E$2:$E$2342,C92)-E92</f>
        <v/>
      </c>
      <c r="E92" s="6">
        <f>SUMIFS(Lancamentos!$L$2:$L$2342,Lancamentos!$D$2:$D$2342,B92,Lancamentos!$E$2:$E$2342,C92,Lancamentos!$H$2:$H$2342,"PREMIO")</f>
        <v/>
      </c>
      <c r="F92" s="6">
        <f>D92+E92</f>
        <v/>
      </c>
      <c r="G92" s="7">
        <f>SUMIFS(Estimativas!$F:$F,Estimativas!$A:$A,A92)</f>
        <v/>
      </c>
      <c r="H92" s="6">
        <f>F92+G92</f>
        <v/>
      </c>
      <c r="I92" s="6">
        <f>SUMIFS(Lancamentos!$J$2:$J$2342,Lancamentos!$D$2:$D$2342,B92,Lancamentos!$E$2:$E$2342,C92,Lancamentos!$H$2:$H$2342,"&lt;&gt;DISTRATO")</f>
        <v/>
      </c>
      <c r="J92" s="6">
        <f>F92-I92</f>
        <v/>
      </c>
      <c r="K92" s="6">
        <f>SUMIFS(Lancamentos!$K$2:$K$2342,Lancamentos!$D$2:$D$2342,B92,Lancamentos!$E$2:$E$2342,C92,Lancamentos!$H$2:$H$2342,"DISTRATO")</f>
        <v/>
      </c>
      <c r="L92" s="5" t="inlineStr">
        <is>
          <t>Tenda (conta corrente)</t>
        </is>
      </c>
      <c r="M92" s="7">
        <f>IFERROR(INDEX(ContaCorrente!$D:$D,MATCH(A92,ContaCorrente!$A:$A,0)),"")</f>
        <v/>
      </c>
      <c r="N92" s="8">
        <f>IF(AND(ISNUMBER(M92),M92&lt;&gt;0),F92/M92,"")</f>
        <v/>
      </c>
    </row>
    <row r="93">
      <c r="A93" s="4" t="n">
        <v>41030</v>
      </c>
      <c r="B93" s="5">
        <f>YEAR(A93)</f>
        <v/>
      </c>
      <c r="C93" s="5">
        <f>MONTH(A93)</f>
        <v/>
      </c>
      <c r="D93" s="6">
        <f>SUMIFS(Lancamentos!$L$2:$L$2342,Lancamentos!$D$2:$D$2342,B93,Lancamentos!$E$2:$E$2342,C93)-E93</f>
        <v/>
      </c>
      <c r="E93" s="6">
        <f>SUMIFS(Lancamentos!$L$2:$L$2342,Lancamentos!$D$2:$D$2342,B93,Lancamentos!$E$2:$E$2342,C93,Lancamentos!$H$2:$H$2342,"PREMIO")</f>
        <v/>
      </c>
      <c r="F93" s="6">
        <f>D93+E93</f>
        <v/>
      </c>
      <c r="G93" s="7">
        <f>SUMIFS(Estimativas!$F:$F,Estimativas!$A:$A,A93)</f>
        <v/>
      </c>
      <c r="H93" s="6">
        <f>F93+G93</f>
        <v/>
      </c>
      <c r="I93" s="6">
        <f>SUMIFS(Lancamentos!$J$2:$J$2342,Lancamentos!$D$2:$D$2342,B93,Lancamentos!$E$2:$E$2342,C93,Lancamentos!$H$2:$H$2342,"&lt;&gt;DISTRATO")</f>
        <v/>
      </c>
      <c r="J93" s="6">
        <f>F93-I93</f>
        <v/>
      </c>
      <c r="K93" s="6">
        <f>SUMIFS(Lancamentos!$K$2:$K$2342,Lancamentos!$D$2:$D$2342,B93,Lancamentos!$E$2:$E$2342,C93,Lancamentos!$H$2:$H$2342,"DISTRATO")</f>
        <v/>
      </c>
      <c r="L93" s="5" t="inlineStr">
        <is>
          <t>Tenda (conta corrente)</t>
        </is>
      </c>
      <c r="M93" s="7">
        <f>IFERROR(INDEX(ContaCorrente!$D:$D,MATCH(A93,ContaCorrente!$A:$A,0)),"")</f>
        <v/>
      </c>
      <c r="N93" s="8">
        <f>IF(AND(ISNUMBER(M93),M93&lt;&gt;0),F93/M93,"")</f>
        <v/>
      </c>
    </row>
    <row r="94">
      <c r="A94" s="4" t="n">
        <v>41061</v>
      </c>
      <c r="B94" s="5">
        <f>YEAR(A94)</f>
        <v/>
      </c>
      <c r="C94" s="5">
        <f>MONTH(A94)</f>
        <v/>
      </c>
      <c r="D94" s="6">
        <f>SUMIFS(Lancamentos!$L$2:$L$2342,Lancamentos!$D$2:$D$2342,B94,Lancamentos!$E$2:$E$2342,C94)-E94</f>
        <v/>
      </c>
      <c r="E94" s="6">
        <f>SUMIFS(Lancamentos!$L$2:$L$2342,Lancamentos!$D$2:$D$2342,B94,Lancamentos!$E$2:$E$2342,C94,Lancamentos!$H$2:$H$2342,"PREMIO")</f>
        <v/>
      </c>
      <c r="F94" s="6">
        <f>D94+E94</f>
        <v/>
      </c>
      <c r="G94" s="7">
        <f>SUMIFS(Estimativas!$F:$F,Estimativas!$A:$A,A94)</f>
        <v/>
      </c>
      <c r="H94" s="6">
        <f>F94+G94</f>
        <v/>
      </c>
      <c r="I94" s="6">
        <f>SUMIFS(Lancamentos!$J$2:$J$2342,Lancamentos!$D$2:$D$2342,B94,Lancamentos!$E$2:$E$2342,C94,Lancamentos!$H$2:$H$2342,"&lt;&gt;DISTRATO")</f>
        <v/>
      </c>
      <c r="J94" s="6">
        <f>F94-I94</f>
        <v/>
      </c>
      <c r="K94" s="6">
        <f>SUMIFS(Lancamentos!$K$2:$K$2342,Lancamentos!$D$2:$D$2342,B94,Lancamentos!$E$2:$E$2342,C94,Lancamentos!$H$2:$H$2342,"DISTRATO")</f>
        <v/>
      </c>
      <c r="L94" s="5" t="inlineStr">
        <is>
          <t>Tenda (conta corrente)</t>
        </is>
      </c>
      <c r="M94" s="7">
        <f>IFERROR(INDEX(ContaCorrente!$D:$D,MATCH(A94,ContaCorrente!$A:$A,0)),"")</f>
        <v/>
      </c>
      <c r="N94" s="8">
        <f>IF(AND(ISNUMBER(M94),M94&lt;&gt;0),F94/M94,"")</f>
        <v/>
      </c>
    </row>
    <row r="95">
      <c r="A95" s="4" t="n">
        <v>41091</v>
      </c>
      <c r="B95" s="5">
        <f>YEAR(A95)</f>
        <v/>
      </c>
      <c r="C95" s="5">
        <f>MONTH(A95)</f>
        <v/>
      </c>
      <c r="D95" s="6">
        <f>SUMIFS(Lancamentos!$L$2:$L$2342,Lancamentos!$D$2:$D$2342,B95,Lancamentos!$E$2:$E$2342,C95)-E95</f>
        <v/>
      </c>
      <c r="E95" s="6">
        <f>SUMIFS(Lancamentos!$L$2:$L$2342,Lancamentos!$D$2:$D$2342,B95,Lancamentos!$E$2:$E$2342,C95,Lancamentos!$H$2:$H$2342,"PREMIO")</f>
        <v/>
      </c>
      <c r="F95" s="6">
        <f>D95+E95</f>
        <v/>
      </c>
      <c r="G95" s="7">
        <f>SUMIFS(Estimativas!$F:$F,Estimativas!$A:$A,A95)</f>
        <v/>
      </c>
      <c r="H95" s="6">
        <f>F95+G95</f>
        <v/>
      </c>
      <c r="I95" s="6">
        <f>SUMIFS(Lancamentos!$J$2:$J$2342,Lancamentos!$D$2:$D$2342,B95,Lancamentos!$E$2:$E$2342,C95,Lancamentos!$H$2:$H$2342,"&lt;&gt;DISTRATO")</f>
        <v/>
      </c>
      <c r="J95" s="6">
        <f>F95-I95</f>
        <v/>
      </c>
      <c r="K95" s="6">
        <f>SUMIFS(Lancamentos!$K$2:$K$2342,Lancamentos!$D$2:$D$2342,B95,Lancamentos!$E$2:$E$2342,C95,Lancamentos!$H$2:$H$2342,"DISTRATO")</f>
        <v/>
      </c>
      <c r="L95" s="5" t="inlineStr">
        <is>
          <t>Tenda (conta corrente)</t>
        </is>
      </c>
      <c r="M95" s="7">
        <f>IFERROR(INDEX(ContaCorrente!$D:$D,MATCH(A95,ContaCorrente!$A:$A,0)),"")</f>
        <v/>
      </c>
      <c r="N95" s="8">
        <f>IF(AND(ISNUMBER(M95),M95&lt;&gt;0),F95/M95,"")</f>
        <v/>
      </c>
    </row>
    <row r="96">
      <c r="A96" s="4" t="n">
        <v>41122</v>
      </c>
      <c r="B96" s="5">
        <f>YEAR(A96)</f>
        <v/>
      </c>
      <c r="C96" s="5">
        <f>MONTH(A96)</f>
        <v/>
      </c>
      <c r="D96" s="6">
        <f>SUMIFS(Lancamentos!$L$2:$L$2342,Lancamentos!$D$2:$D$2342,B96,Lancamentos!$E$2:$E$2342,C96)-E96</f>
        <v/>
      </c>
      <c r="E96" s="6">
        <f>SUMIFS(Lancamentos!$L$2:$L$2342,Lancamentos!$D$2:$D$2342,B96,Lancamentos!$E$2:$E$2342,C96,Lancamentos!$H$2:$H$2342,"PREMIO")</f>
        <v/>
      </c>
      <c r="F96" s="6">
        <f>D96+E96</f>
        <v/>
      </c>
      <c r="G96" s="7">
        <f>SUMIFS(Estimativas!$F:$F,Estimativas!$A:$A,A96)</f>
        <v/>
      </c>
      <c r="H96" s="6">
        <f>F96+G96</f>
        <v/>
      </c>
      <c r="I96" s="6">
        <f>SUMIFS(Lancamentos!$J$2:$J$2342,Lancamentos!$D$2:$D$2342,B96,Lancamentos!$E$2:$E$2342,C96,Lancamentos!$H$2:$H$2342,"&lt;&gt;DISTRATO")</f>
        <v/>
      </c>
      <c r="J96" s="6">
        <f>F96-I96</f>
        <v/>
      </c>
      <c r="K96" s="6">
        <f>SUMIFS(Lancamentos!$K$2:$K$2342,Lancamentos!$D$2:$D$2342,B96,Lancamentos!$E$2:$E$2342,C96,Lancamentos!$H$2:$H$2342,"DISTRATO")</f>
        <v/>
      </c>
      <c r="L96" s="5" t="inlineStr">
        <is>
          <t>Tenda (conta corrente)</t>
        </is>
      </c>
      <c r="M96" s="7">
        <f>IFERROR(INDEX(ContaCorrente!$D:$D,MATCH(A96,ContaCorrente!$A:$A,0)),"")</f>
        <v/>
      </c>
      <c r="N96" s="8">
        <f>IF(AND(ISNUMBER(M96),M96&lt;&gt;0),F96/M96,"")</f>
        <v/>
      </c>
    </row>
    <row r="97">
      <c r="A97" s="4" t="n">
        <v>41153</v>
      </c>
      <c r="B97" s="5">
        <f>YEAR(A97)</f>
        <v/>
      </c>
      <c r="C97" s="5">
        <f>MONTH(A97)</f>
        <v/>
      </c>
      <c r="D97" s="6">
        <f>SUMIFS(Lancamentos!$L$2:$L$2342,Lancamentos!$D$2:$D$2342,B97,Lancamentos!$E$2:$E$2342,C97)-E97</f>
        <v/>
      </c>
      <c r="E97" s="6">
        <f>SUMIFS(Lancamentos!$L$2:$L$2342,Lancamentos!$D$2:$D$2342,B97,Lancamentos!$E$2:$E$2342,C97,Lancamentos!$H$2:$H$2342,"PREMIO")</f>
        <v/>
      </c>
      <c r="F97" s="6">
        <f>D97+E97</f>
        <v/>
      </c>
      <c r="G97" s="7">
        <f>SUMIFS(Estimativas!$F:$F,Estimativas!$A:$A,A97)</f>
        <v/>
      </c>
      <c r="H97" s="6">
        <f>F97+G97</f>
        <v/>
      </c>
      <c r="I97" s="6">
        <f>SUMIFS(Lancamentos!$J$2:$J$2342,Lancamentos!$D$2:$D$2342,B97,Lancamentos!$E$2:$E$2342,C97,Lancamentos!$H$2:$H$2342,"&lt;&gt;DISTRATO")</f>
        <v/>
      </c>
      <c r="J97" s="6">
        <f>F97-I97</f>
        <v/>
      </c>
      <c r="K97" s="6">
        <f>SUMIFS(Lancamentos!$K$2:$K$2342,Lancamentos!$D$2:$D$2342,B97,Lancamentos!$E$2:$E$2342,C97,Lancamentos!$H$2:$H$2342,"DISTRATO")</f>
        <v/>
      </c>
      <c r="L97" s="5" t="inlineStr">
        <is>
          <t>Tenda (conta corrente)</t>
        </is>
      </c>
      <c r="M97" s="7">
        <f>IFERROR(INDEX(ContaCorrente!$D:$D,MATCH(A97,ContaCorrente!$A:$A,0)),"")</f>
        <v/>
      </c>
      <c r="N97" s="8">
        <f>IF(AND(ISNUMBER(M97),M97&lt;&gt;0),F97/M97,"")</f>
        <v/>
      </c>
    </row>
    <row r="98">
      <c r="A98" s="4" t="n">
        <v>41183</v>
      </c>
      <c r="B98" s="5">
        <f>YEAR(A98)</f>
        <v/>
      </c>
      <c r="C98" s="5">
        <f>MONTH(A98)</f>
        <v/>
      </c>
      <c r="D98" s="6">
        <f>SUMIFS(Lancamentos!$L$2:$L$2342,Lancamentos!$D$2:$D$2342,B98,Lancamentos!$E$2:$E$2342,C98)-E98</f>
        <v/>
      </c>
      <c r="E98" s="6">
        <f>SUMIFS(Lancamentos!$L$2:$L$2342,Lancamentos!$D$2:$D$2342,B98,Lancamentos!$E$2:$E$2342,C98,Lancamentos!$H$2:$H$2342,"PREMIO")</f>
        <v/>
      </c>
      <c r="F98" s="6">
        <f>D98+E98</f>
        <v/>
      </c>
      <c r="G98" s="7">
        <f>SUMIFS(Estimativas!$F:$F,Estimativas!$A:$A,A98)</f>
        <v/>
      </c>
      <c r="H98" s="6">
        <f>F98+G98</f>
        <v/>
      </c>
      <c r="I98" s="6">
        <f>SUMIFS(Lancamentos!$J$2:$J$2342,Lancamentos!$D$2:$D$2342,B98,Lancamentos!$E$2:$E$2342,C98,Lancamentos!$H$2:$H$2342,"&lt;&gt;DISTRATO")</f>
        <v/>
      </c>
      <c r="J98" s="6">
        <f>F98-I98</f>
        <v/>
      </c>
      <c r="K98" s="6">
        <f>SUMIFS(Lancamentos!$K$2:$K$2342,Lancamentos!$D$2:$D$2342,B98,Lancamentos!$E$2:$E$2342,C98,Lancamentos!$H$2:$H$2342,"DISTRATO")</f>
        <v/>
      </c>
      <c r="L98" s="5" t="inlineStr">
        <is>
          <t>Tenda (conta corrente)</t>
        </is>
      </c>
      <c r="M98" s="7">
        <f>IFERROR(INDEX(ContaCorrente!$D:$D,MATCH(A98,ContaCorrente!$A:$A,0)),"")</f>
        <v/>
      </c>
      <c r="N98" s="8">
        <f>IF(AND(ISNUMBER(M98),M98&lt;&gt;0),F98/M98,"")</f>
        <v/>
      </c>
    </row>
    <row r="99">
      <c r="A99" s="4" t="n">
        <v>41214</v>
      </c>
      <c r="B99" s="5">
        <f>YEAR(A99)</f>
        <v/>
      </c>
      <c r="C99" s="5">
        <f>MONTH(A99)</f>
        <v/>
      </c>
      <c r="D99" s="6">
        <f>SUMIFS(Lancamentos!$L$2:$L$2342,Lancamentos!$D$2:$D$2342,B99,Lancamentos!$E$2:$E$2342,C99)-E99</f>
        <v/>
      </c>
      <c r="E99" s="6">
        <f>SUMIFS(Lancamentos!$L$2:$L$2342,Lancamentos!$D$2:$D$2342,B99,Lancamentos!$E$2:$E$2342,C99,Lancamentos!$H$2:$H$2342,"PREMIO")</f>
        <v/>
      </c>
      <c r="F99" s="6">
        <f>D99+E99</f>
        <v/>
      </c>
      <c r="G99" s="7">
        <f>SUMIFS(Estimativas!$F:$F,Estimativas!$A:$A,A99)</f>
        <v/>
      </c>
      <c r="H99" s="6">
        <f>F99+G99</f>
        <v/>
      </c>
      <c r="I99" s="6">
        <f>SUMIFS(Lancamentos!$J$2:$J$2342,Lancamentos!$D$2:$D$2342,B99,Lancamentos!$E$2:$E$2342,C99,Lancamentos!$H$2:$H$2342,"&lt;&gt;DISTRATO")</f>
        <v/>
      </c>
      <c r="J99" s="6">
        <f>F99-I99</f>
        <v/>
      </c>
      <c r="K99" s="6">
        <f>SUMIFS(Lancamentos!$K$2:$K$2342,Lancamentos!$D$2:$D$2342,B99,Lancamentos!$E$2:$E$2342,C99,Lancamentos!$H$2:$H$2342,"DISTRATO")</f>
        <v/>
      </c>
      <c r="L99" s="5" t="inlineStr">
        <is>
          <t>Tenda (conta corrente)</t>
        </is>
      </c>
      <c r="M99" s="7">
        <f>IFERROR(INDEX(ContaCorrente!$D:$D,MATCH(A99,ContaCorrente!$A:$A,0)),"")</f>
        <v/>
      </c>
      <c r="N99" s="8">
        <f>IF(AND(ISNUMBER(M99),M99&lt;&gt;0),F99/M99,"")</f>
        <v/>
      </c>
    </row>
    <row r="100">
      <c r="A100" s="4" t="n">
        <v>41244</v>
      </c>
      <c r="B100" s="5">
        <f>YEAR(A100)</f>
        <v/>
      </c>
      <c r="C100" s="5">
        <f>MONTH(A100)</f>
        <v/>
      </c>
      <c r="D100" s="6">
        <f>SUMIFS(Lancamentos!$L$2:$L$2342,Lancamentos!$D$2:$D$2342,B100,Lancamentos!$E$2:$E$2342,C100)-E100</f>
        <v/>
      </c>
      <c r="E100" s="6">
        <f>SUMIFS(Lancamentos!$L$2:$L$2342,Lancamentos!$D$2:$D$2342,B100,Lancamentos!$E$2:$E$2342,C100,Lancamentos!$H$2:$H$2342,"PREMIO")</f>
        <v/>
      </c>
      <c r="F100" s="6">
        <f>D100+E100</f>
        <v/>
      </c>
      <c r="G100" s="7">
        <f>SUMIFS(Estimativas!$F:$F,Estimativas!$A:$A,A100)</f>
        <v/>
      </c>
      <c r="H100" s="6">
        <f>F100+G100</f>
        <v/>
      </c>
      <c r="I100" s="6">
        <f>SUMIFS(Lancamentos!$J$2:$J$2342,Lancamentos!$D$2:$D$2342,B100,Lancamentos!$E$2:$E$2342,C100,Lancamentos!$H$2:$H$2342,"&lt;&gt;DISTRATO")</f>
        <v/>
      </c>
      <c r="J100" s="6">
        <f>F100-I100</f>
        <v/>
      </c>
      <c r="K100" s="6">
        <f>SUMIFS(Lancamentos!$K$2:$K$2342,Lancamentos!$D$2:$D$2342,B100,Lancamentos!$E$2:$E$2342,C100,Lancamentos!$H$2:$H$2342,"DISTRATO")</f>
        <v/>
      </c>
      <c r="L100" s="5" t="inlineStr">
        <is>
          <t>Tenda (conta corrente)</t>
        </is>
      </c>
      <c r="M100" s="7">
        <f>IFERROR(INDEX(ContaCorrente!$D:$D,MATCH(A100,ContaCorrente!$A:$A,0)),"")</f>
        <v/>
      </c>
      <c r="N100" s="8">
        <f>IF(AND(ISNUMBER(M100),M100&lt;&gt;0),F100/M100,"")</f>
        <v/>
      </c>
    </row>
    <row r="101">
      <c r="A101" s="4" t="n">
        <v>41275</v>
      </c>
      <c r="B101" s="5">
        <f>YEAR(A101)</f>
        <v/>
      </c>
      <c r="C101" s="5">
        <f>MONTH(A101)</f>
        <v/>
      </c>
      <c r="D101" s="6">
        <f>SUMIFS(Lancamentos!$L$2:$L$2342,Lancamentos!$D$2:$D$2342,B101,Lancamentos!$E$2:$E$2342,C101)-E101</f>
        <v/>
      </c>
      <c r="E101" s="6">
        <f>SUMIFS(Lancamentos!$L$2:$L$2342,Lancamentos!$D$2:$D$2342,B101,Lancamentos!$E$2:$E$2342,C101,Lancamentos!$H$2:$H$2342,"PREMIO")</f>
        <v/>
      </c>
      <c r="F101" s="6">
        <f>D101+E101</f>
        <v/>
      </c>
      <c r="G101" s="7">
        <f>SUMIFS(Estimativas!$F:$F,Estimativas!$A:$A,A101)</f>
        <v/>
      </c>
      <c r="H101" s="6">
        <f>F101+G101</f>
        <v/>
      </c>
      <c r="I101" s="6">
        <f>SUMIFS(Lancamentos!$J$2:$J$2342,Lancamentos!$D$2:$D$2342,B101,Lancamentos!$E$2:$E$2342,C101,Lancamentos!$H$2:$H$2342,"&lt;&gt;DISTRATO")</f>
        <v/>
      </c>
      <c r="J101" s="6">
        <f>F101-I101</f>
        <v/>
      </c>
      <c r="K101" s="6">
        <f>SUMIFS(Lancamentos!$K$2:$K$2342,Lancamentos!$D$2:$D$2342,B101,Lancamentos!$E$2:$E$2342,C101,Lancamentos!$H$2:$H$2342,"DISTRATO")</f>
        <v/>
      </c>
      <c r="L101" s="5" t="inlineStr">
        <is>
          <t>Tenda (conta corrente)</t>
        </is>
      </c>
      <c r="M101" s="7">
        <f>IFERROR(INDEX(ContaCorrente!$D:$D,MATCH(A101,ContaCorrente!$A:$A,0)),"")</f>
        <v/>
      </c>
      <c r="N101" s="8">
        <f>IF(AND(ISNUMBER(M101),M101&lt;&gt;0),F101/M101,"")</f>
        <v/>
      </c>
    </row>
    <row r="102">
      <c r="A102" s="9" t="n">
        <v>41306</v>
      </c>
      <c r="B102" s="10">
        <f>YEAR(A102)</f>
        <v/>
      </c>
      <c r="C102" s="10">
        <f>MONTH(A102)</f>
        <v/>
      </c>
      <c r="D102" s="11">
        <f>SUMIFS(Lancamentos!$L$2:$L$2342,Lancamentos!$D$2:$D$2342,B102,Lancamentos!$E$2:$E$2342,C102)-E102</f>
        <v/>
      </c>
      <c r="E102" s="11">
        <f>SUMIFS(Lancamentos!$L$2:$L$2342,Lancamentos!$D$2:$D$2342,B102,Lancamentos!$E$2:$E$2342,C102,Lancamentos!$H$2:$H$2342,"PREMIO")</f>
        <v/>
      </c>
      <c r="F102" s="11">
        <f>D102+E102</f>
        <v/>
      </c>
      <c r="G102" s="12">
        <f>SUMIFS(Estimativas!$F:$F,Estimativas!$A:$A,A102)</f>
        <v/>
      </c>
      <c r="H102" s="11">
        <f>F102+G102</f>
        <v/>
      </c>
      <c r="I102" s="11">
        <f>SUMIFS(Lancamentos!$J$2:$J$2342,Lancamentos!$D$2:$D$2342,B102,Lancamentos!$E$2:$E$2342,C102,Lancamentos!$H$2:$H$2342,"&lt;&gt;DISTRATO")</f>
        <v/>
      </c>
      <c r="J102" s="11">
        <f>F102-I102</f>
        <v/>
      </c>
      <c r="K102" s="11">
        <f>SUMIFS(Lancamentos!$K$2:$K$2342,Lancamentos!$D$2:$D$2342,B102,Lancamentos!$E$2:$E$2342,C102,Lancamentos!$H$2:$H$2342,"DISTRATO")</f>
        <v/>
      </c>
      <c r="L102" s="10" t="inlineStr">
        <is>
          <t>ESTIMADO - média do período vizinho c/ variação aleatória</t>
        </is>
      </c>
      <c r="M102" s="12">
        <f>IFERROR(INDEX(ContaCorrente!$D:$D,MATCH(A102,ContaCorrente!$A:$A,0)),"")</f>
        <v/>
      </c>
      <c r="N102" s="13">
        <f>IF(AND(ISNUMBER(M102),M102&lt;&gt;0),F102/M102,"")</f>
        <v/>
      </c>
    </row>
    <row r="103">
      <c r="A103" s="9" t="n">
        <v>41334</v>
      </c>
      <c r="B103" s="10">
        <f>YEAR(A103)</f>
        <v/>
      </c>
      <c r="C103" s="10">
        <f>MONTH(A103)</f>
        <v/>
      </c>
      <c r="D103" s="11">
        <f>SUMIFS(Lancamentos!$L$2:$L$2342,Lancamentos!$D$2:$D$2342,B103,Lancamentos!$E$2:$E$2342,C103)-E103</f>
        <v/>
      </c>
      <c r="E103" s="11">
        <f>SUMIFS(Lancamentos!$L$2:$L$2342,Lancamentos!$D$2:$D$2342,B103,Lancamentos!$E$2:$E$2342,C103,Lancamentos!$H$2:$H$2342,"PREMIO")</f>
        <v/>
      </c>
      <c r="F103" s="11">
        <f>D103+E103</f>
        <v/>
      </c>
      <c r="G103" s="12">
        <f>SUMIFS(Estimativas!$F:$F,Estimativas!$A:$A,A103)</f>
        <v/>
      </c>
      <c r="H103" s="11">
        <f>F103+G103</f>
        <v/>
      </c>
      <c r="I103" s="11">
        <f>SUMIFS(Lancamentos!$J$2:$J$2342,Lancamentos!$D$2:$D$2342,B103,Lancamentos!$E$2:$E$2342,C103,Lancamentos!$H$2:$H$2342,"&lt;&gt;DISTRATO")</f>
        <v/>
      </c>
      <c r="J103" s="11">
        <f>F103-I103</f>
        <v/>
      </c>
      <c r="K103" s="11">
        <f>SUMIFS(Lancamentos!$K$2:$K$2342,Lancamentos!$D$2:$D$2342,B103,Lancamentos!$E$2:$E$2342,C103,Lancamentos!$H$2:$H$2342,"DISTRATO")</f>
        <v/>
      </c>
      <c r="L103" s="10" t="inlineStr">
        <is>
          <t>ESTIMADO - média do período vizinho c/ variação aleatória</t>
        </is>
      </c>
      <c r="M103" s="12">
        <f>IFERROR(INDEX(ContaCorrente!$D:$D,MATCH(A103,ContaCorrente!$A:$A,0)),"")</f>
        <v/>
      </c>
      <c r="N103" s="13">
        <f>IF(AND(ISNUMBER(M103),M103&lt;&gt;0),F103/M103,"")</f>
        <v/>
      </c>
    </row>
    <row r="104">
      <c r="A104" s="9" t="n">
        <v>41365</v>
      </c>
      <c r="B104" s="10">
        <f>YEAR(A104)</f>
        <v/>
      </c>
      <c r="C104" s="10">
        <f>MONTH(A104)</f>
        <v/>
      </c>
      <c r="D104" s="11">
        <f>SUMIFS(Lancamentos!$L$2:$L$2342,Lancamentos!$D$2:$D$2342,B104,Lancamentos!$E$2:$E$2342,C104)-E104</f>
        <v/>
      </c>
      <c r="E104" s="11">
        <f>SUMIFS(Lancamentos!$L$2:$L$2342,Lancamentos!$D$2:$D$2342,B104,Lancamentos!$E$2:$E$2342,C104,Lancamentos!$H$2:$H$2342,"PREMIO")</f>
        <v/>
      </c>
      <c r="F104" s="11">
        <f>D104+E104</f>
        <v/>
      </c>
      <c r="G104" s="12">
        <f>SUMIFS(Estimativas!$F:$F,Estimativas!$A:$A,A104)</f>
        <v/>
      </c>
      <c r="H104" s="11">
        <f>F104+G104</f>
        <v/>
      </c>
      <c r="I104" s="11">
        <f>SUMIFS(Lancamentos!$J$2:$J$2342,Lancamentos!$D$2:$D$2342,B104,Lancamentos!$E$2:$E$2342,C104,Lancamentos!$H$2:$H$2342,"&lt;&gt;DISTRATO")</f>
        <v/>
      </c>
      <c r="J104" s="11">
        <f>F104-I104</f>
        <v/>
      </c>
      <c r="K104" s="11">
        <f>SUMIFS(Lancamentos!$K$2:$K$2342,Lancamentos!$D$2:$D$2342,B104,Lancamentos!$E$2:$E$2342,C104,Lancamentos!$H$2:$H$2342,"DISTRATO")</f>
        <v/>
      </c>
      <c r="L104" s="10" t="inlineStr">
        <is>
          <t>ESTIMADO - média do período vizinho c/ variação aleatória</t>
        </is>
      </c>
      <c r="M104" s="12">
        <f>IFERROR(INDEX(ContaCorrente!$D:$D,MATCH(A104,ContaCorrente!$A:$A,0)),"")</f>
        <v/>
      </c>
      <c r="N104" s="13">
        <f>IF(AND(ISNUMBER(M104),M104&lt;&gt;0),F104/M104,"")</f>
        <v/>
      </c>
    </row>
    <row r="105">
      <c r="A105" s="9" t="n">
        <v>41395</v>
      </c>
      <c r="B105" s="10">
        <f>YEAR(A105)</f>
        <v/>
      </c>
      <c r="C105" s="10">
        <f>MONTH(A105)</f>
        <v/>
      </c>
      <c r="D105" s="11">
        <f>SUMIFS(Lancamentos!$L$2:$L$2342,Lancamentos!$D$2:$D$2342,B105,Lancamentos!$E$2:$E$2342,C105)-E105</f>
        <v/>
      </c>
      <c r="E105" s="11">
        <f>SUMIFS(Lancamentos!$L$2:$L$2342,Lancamentos!$D$2:$D$2342,B105,Lancamentos!$E$2:$E$2342,C105,Lancamentos!$H$2:$H$2342,"PREMIO")</f>
        <v/>
      </c>
      <c r="F105" s="11">
        <f>D105+E105</f>
        <v/>
      </c>
      <c r="G105" s="12">
        <f>SUMIFS(Estimativas!$F:$F,Estimativas!$A:$A,A105)</f>
        <v/>
      </c>
      <c r="H105" s="11">
        <f>F105+G105</f>
        <v/>
      </c>
      <c r="I105" s="11">
        <f>SUMIFS(Lancamentos!$J$2:$J$2342,Lancamentos!$D$2:$D$2342,B105,Lancamentos!$E$2:$E$2342,C105,Lancamentos!$H$2:$H$2342,"&lt;&gt;DISTRATO")</f>
        <v/>
      </c>
      <c r="J105" s="11">
        <f>F105-I105</f>
        <v/>
      </c>
      <c r="K105" s="11">
        <f>SUMIFS(Lancamentos!$K$2:$K$2342,Lancamentos!$D$2:$D$2342,B105,Lancamentos!$E$2:$E$2342,C105,Lancamentos!$H$2:$H$2342,"DISTRATO")</f>
        <v/>
      </c>
      <c r="L105" s="10" t="inlineStr">
        <is>
          <t>ESTIMADO - média do período vizinho c/ variação aleatória</t>
        </is>
      </c>
      <c r="M105" s="12">
        <f>IFERROR(INDEX(ContaCorrente!$D:$D,MATCH(A105,ContaCorrente!$A:$A,0)),"")</f>
        <v/>
      </c>
      <c r="N105" s="13">
        <f>IF(AND(ISNUMBER(M105),M105&lt;&gt;0),F105/M105,"")</f>
        <v/>
      </c>
    </row>
    <row r="106">
      <c r="A106" s="9" t="n">
        <v>41426</v>
      </c>
      <c r="B106" s="10">
        <f>YEAR(A106)</f>
        <v/>
      </c>
      <c r="C106" s="10">
        <f>MONTH(A106)</f>
        <v/>
      </c>
      <c r="D106" s="11">
        <f>SUMIFS(Lancamentos!$L$2:$L$2342,Lancamentos!$D$2:$D$2342,B106,Lancamentos!$E$2:$E$2342,C106)-E106</f>
        <v/>
      </c>
      <c r="E106" s="11">
        <f>SUMIFS(Lancamentos!$L$2:$L$2342,Lancamentos!$D$2:$D$2342,B106,Lancamentos!$E$2:$E$2342,C106,Lancamentos!$H$2:$H$2342,"PREMIO")</f>
        <v/>
      </c>
      <c r="F106" s="11">
        <f>D106+E106</f>
        <v/>
      </c>
      <c r="G106" s="12">
        <f>SUMIFS(Estimativas!$F:$F,Estimativas!$A:$A,A106)</f>
        <v/>
      </c>
      <c r="H106" s="11">
        <f>F106+G106</f>
        <v/>
      </c>
      <c r="I106" s="11">
        <f>SUMIFS(Lancamentos!$J$2:$J$2342,Lancamentos!$D$2:$D$2342,B106,Lancamentos!$E$2:$E$2342,C106,Lancamentos!$H$2:$H$2342,"&lt;&gt;DISTRATO")</f>
        <v/>
      </c>
      <c r="J106" s="11">
        <f>F106-I106</f>
        <v/>
      </c>
      <c r="K106" s="11">
        <f>SUMIFS(Lancamentos!$K$2:$K$2342,Lancamentos!$D$2:$D$2342,B106,Lancamentos!$E$2:$E$2342,C106,Lancamentos!$H$2:$H$2342,"DISTRATO")</f>
        <v/>
      </c>
      <c r="L106" s="10" t="inlineStr">
        <is>
          <t>ESTIMADO - média do período vizinho c/ variação aleatória</t>
        </is>
      </c>
      <c r="M106" s="12">
        <f>IFERROR(INDEX(ContaCorrente!$D:$D,MATCH(A106,ContaCorrente!$A:$A,0)),"")</f>
        <v/>
      </c>
      <c r="N106" s="13">
        <f>IF(AND(ISNUMBER(M106),M106&lt;&gt;0),F106/M106,"")</f>
        <v/>
      </c>
    </row>
    <row r="107">
      <c r="A107" s="9" t="n">
        <v>41456</v>
      </c>
      <c r="B107" s="10">
        <f>YEAR(A107)</f>
        <v/>
      </c>
      <c r="C107" s="10">
        <f>MONTH(A107)</f>
        <v/>
      </c>
      <c r="D107" s="11">
        <f>SUMIFS(Lancamentos!$L$2:$L$2342,Lancamentos!$D$2:$D$2342,B107,Lancamentos!$E$2:$E$2342,C107)-E107</f>
        <v/>
      </c>
      <c r="E107" s="11">
        <f>SUMIFS(Lancamentos!$L$2:$L$2342,Lancamentos!$D$2:$D$2342,B107,Lancamentos!$E$2:$E$2342,C107,Lancamentos!$H$2:$H$2342,"PREMIO")</f>
        <v/>
      </c>
      <c r="F107" s="11">
        <f>D107+E107</f>
        <v/>
      </c>
      <c r="G107" s="12">
        <f>SUMIFS(Estimativas!$F:$F,Estimativas!$A:$A,A107)</f>
        <v/>
      </c>
      <c r="H107" s="11">
        <f>F107+G107</f>
        <v/>
      </c>
      <c r="I107" s="11">
        <f>SUMIFS(Lancamentos!$J$2:$J$2342,Lancamentos!$D$2:$D$2342,B107,Lancamentos!$E$2:$E$2342,C107,Lancamentos!$H$2:$H$2342,"&lt;&gt;DISTRATO")</f>
        <v/>
      </c>
      <c r="J107" s="11">
        <f>F107-I107</f>
        <v/>
      </c>
      <c r="K107" s="11">
        <f>SUMIFS(Lancamentos!$K$2:$K$2342,Lancamentos!$D$2:$D$2342,B107,Lancamentos!$E$2:$E$2342,C107,Lancamentos!$H$2:$H$2342,"DISTRATO")</f>
        <v/>
      </c>
      <c r="L107" s="10" t="inlineStr">
        <is>
          <t>ESTIMADO - média do período vizinho c/ variação aleatória</t>
        </is>
      </c>
      <c r="M107" s="12">
        <f>IFERROR(INDEX(ContaCorrente!$D:$D,MATCH(A107,ContaCorrente!$A:$A,0)),"")</f>
        <v/>
      </c>
      <c r="N107" s="13">
        <f>IF(AND(ISNUMBER(M107),M107&lt;&gt;0),F107/M107,"")</f>
        <v/>
      </c>
    </row>
    <row r="108">
      <c r="A108" s="9" t="n">
        <v>41487</v>
      </c>
      <c r="B108" s="10">
        <f>YEAR(A108)</f>
        <v/>
      </c>
      <c r="C108" s="10">
        <f>MONTH(A108)</f>
        <v/>
      </c>
      <c r="D108" s="11">
        <f>SUMIFS(Lancamentos!$L$2:$L$2342,Lancamentos!$D$2:$D$2342,B108,Lancamentos!$E$2:$E$2342,C108)-E108</f>
        <v/>
      </c>
      <c r="E108" s="11">
        <f>SUMIFS(Lancamentos!$L$2:$L$2342,Lancamentos!$D$2:$D$2342,B108,Lancamentos!$E$2:$E$2342,C108,Lancamentos!$H$2:$H$2342,"PREMIO")</f>
        <v/>
      </c>
      <c r="F108" s="11">
        <f>D108+E108</f>
        <v/>
      </c>
      <c r="G108" s="12">
        <f>SUMIFS(Estimativas!$F:$F,Estimativas!$A:$A,A108)</f>
        <v/>
      </c>
      <c r="H108" s="11">
        <f>F108+G108</f>
        <v/>
      </c>
      <c r="I108" s="11">
        <f>SUMIFS(Lancamentos!$J$2:$J$2342,Lancamentos!$D$2:$D$2342,B108,Lancamentos!$E$2:$E$2342,C108,Lancamentos!$H$2:$H$2342,"&lt;&gt;DISTRATO")</f>
        <v/>
      </c>
      <c r="J108" s="11">
        <f>F108-I108</f>
        <v/>
      </c>
      <c r="K108" s="11">
        <f>SUMIFS(Lancamentos!$K$2:$K$2342,Lancamentos!$D$2:$D$2342,B108,Lancamentos!$E$2:$E$2342,C108,Lancamentos!$H$2:$H$2342,"DISTRATO")</f>
        <v/>
      </c>
      <c r="L108" s="10" t="inlineStr">
        <is>
          <t>ESTIMADO - média do período vizinho c/ variação aleatória</t>
        </is>
      </c>
      <c r="M108" s="12">
        <f>IFERROR(INDEX(ContaCorrente!$D:$D,MATCH(A108,ContaCorrente!$A:$A,0)),"")</f>
        <v/>
      </c>
      <c r="N108" s="13">
        <f>IF(AND(ISNUMBER(M108),M108&lt;&gt;0),F108/M108,"")</f>
        <v/>
      </c>
    </row>
    <row r="109">
      <c r="A109" s="9" t="n">
        <v>41518</v>
      </c>
      <c r="B109" s="10">
        <f>YEAR(A109)</f>
        <v/>
      </c>
      <c r="C109" s="10">
        <f>MONTH(A109)</f>
        <v/>
      </c>
      <c r="D109" s="11">
        <f>SUMIFS(Lancamentos!$L$2:$L$2342,Lancamentos!$D$2:$D$2342,B109,Lancamentos!$E$2:$E$2342,C109)-E109</f>
        <v/>
      </c>
      <c r="E109" s="11">
        <f>SUMIFS(Lancamentos!$L$2:$L$2342,Lancamentos!$D$2:$D$2342,B109,Lancamentos!$E$2:$E$2342,C109,Lancamentos!$H$2:$H$2342,"PREMIO")</f>
        <v/>
      </c>
      <c r="F109" s="11">
        <f>D109+E109</f>
        <v/>
      </c>
      <c r="G109" s="12">
        <f>SUMIFS(Estimativas!$F:$F,Estimativas!$A:$A,A109)</f>
        <v/>
      </c>
      <c r="H109" s="11">
        <f>F109+G109</f>
        <v/>
      </c>
      <c r="I109" s="11">
        <f>SUMIFS(Lancamentos!$J$2:$J$2342,Lancamentos!$D$2:$D$2342,B109,Lancamentos!$E$2:$E$2342,C109,Lancamentos!$H$2:$H$2342,"&lt;&gt;DISTRATO")</f>
        <v/>
      </c>
      <c r="J109" s="11">
        <f>F109-I109</f>
        <v/>
      </c>
      <c r="K109" s="11">
        <f>SUMIFS(Lancamentos!$K$2:$K$2342,Lancamentos!$D$2:$D$2342,B109,Lancamentos!$E$2:$E$2342,C109,Lancamentos!$H$2:$H$2342,"DISTRATO")</f>
        <v/>
      </c>
      <c r="L109" s="10" t="inlineStr">
        <is>
          <t>ESTIMADO - média do período vizinho c/ variação aleatória</t>
        </is>
      </c>
      <c r="M109" s="12">
        <f>IFERROR(INDEX(ContaCorrente!$D:$D,MATCH(A109,ContaCorrente!$A:$A,0)),"")</f>
        <v/>
      </c>
      <c r="N109" s="13">
        <f>IF(AND(ISNUMBER(M109),M109&lt;&gt;0),F109/M109,"")</f>
        <v/>
      </c>
    </row>
    <row r="110">
      <c r="A110" s="9" t="n">
        <v>41548</v>
      </c>
      <c r="B110" s="10">
        <f>YEAR(A110)</f>
        <v/>
      </c>
      <c r="C110" s="10">
        <f>MONTH(A110)</f>
        <v/>
      </c>
      <c r="D110" s="11">
        <f>SUMIFS(Lancamentos!$L$2:$L$2342,Lancamentos!$D$2:$D$2342,B110,Lancamentos!$E$2:$E$2342,C110)-E110</f>
        <v/>
      </c>
      <c r="E110" s="11">
        <f>SUMIFS(Lancamentos!$L$2:$L$2342,Lancamentos!$D$2:$D$2342,B110,Lancamentos!$E$2:$E$2342,C110,Lancamentos!$H$2:$H$2342,"PREMIO")</f>
        <v/>
      </c>
      <c r="F110" s="11">
        <f>D110+E110</f>
        <v/>
      </c>
      <c r="G110" s="12">
        <f>SUMIFS(Estimativas!$F:$F,Estimativas!$A:$A,A110)</f>
        <v/>
      </c>
      <c r="H110" s="11">
        <f>F110+G110</f>
        <v/>
      </c>
      <c r="I110" s="11">
        <f>SUMIFS(Lancamentos!$J$2:$J$2342,Lancamentos!$D$2:$D$2342,B110,Lancamentos!$E$2:$E$2342,C110,Lancamentos!$H$2:$H$2342,"&lt;&gt;DISTRATO")</f>
        <v/>
      </c>
      <c r="J110" s="11">
        <f>F110-I110</f>
        <v/>
      </c>
      <c r="K110" s="11">
        <f>SUMIFS(Lancamentos!$K$2:$K$2342,Lancamentos!$D$2:$D$2342,B110,Lancamentos!$E$2:$E$2342,C110,Lancamentos!$H$2:$H$2342,"DISTRATO")</f>
        <v/>
      </c>
      <c r="L110" s="10" t="inlineStr">
        <is>
          <t>ESTIMADO - média do período vizinho c/ variação aleatória</t>
        </is>
      </c>
      <c r="M110" s="12">
        <f>IFERROR(INDEX(ContaCorrente!$D:$D,MATCH(A110,ContaCorrente!$A:$A,0)),"")</f>
        <v/>
      </c>
      <c r="N110" s="13">
        <f>IF(AND(ISNUMBER(M110),M110&lt;&gt;0),F110/M110,"")</f>
        <v/>
      </c>
    </row>
    <row r="111">
      <c r="A111" s="9" t="n">
        <v>41579</v>
      </c>
      <c r="B111" s="10">
        <f>YEAR(A111)</f>
        <v/>
      </c>
      <c r="C111" s="10">
        <f>MONTH(A111)</f>
        <v/>
      </c>
      <c r="D111" s="11">
        <f>SUMIFS(Lancamentos!$L$2:$L$2342,Lancamentos!$D$2:$D$2342,B111,Lancamentos!$E$2:$E$2342,C111)-E111</f>
        <v/>
      </c>
      <c r="E111" s="11">
        <f>SUMIFS(Lancamentos!$L$2:$L$2342,Lancamentos!$D$2:$D$2342,B111,Lancamentos!$E$2:$E$2342,C111,Lancamentos!$H$2:$H$2342,"PREMIO")</f>
        <v/>
      </c>
      <c r="F111" s="11">
        <f>D111+E111</f>
        <v/>
      </c>
      <c r="G111" s="12">
        <f>SUMIFS(Estimativas!$F:$F,Estimativas!$A:$A,A111)</f>
        <v/>
      </c>
      <c r="H111" s="11">
        <f>F111+G111</f>
        <v/>
      </c>
      <c r="I111" s="11">
        <f>SUMIFS(Lancamentos!$J$2:$J$2342,Lancamentos!$D$2:$D$2342,B111,Lancamentos!$E$2:$E$2342,C111,Lancamentos!$H$2:$H$2342,"&lt;&gt;DISTRATO")</f>
        <v/>
      </c>
      <c r="J111" s="11">
        <f>F111-I111</f>
        <v/>
      </c>
      <c r="K111" s="11">
        <f>SUMIFS(Lancamentos!$K$2:$K$2342,Lancamentos!$D$2:$D$2342,B111,Lancamentos!$E$2:$E$2342,C111,Lancamentos!$H$2:$H$2342,"DISTRATO")</f>
        <v/>
      </c>
      <c r="L111" s="10" t="inlineStr">
        <is>
          <t>ESTIMADO - média do período vizinho c/ variação aleatória</t>
        </is>
      </c>
      <c r="M111" s="12">
        <f>IFERROR(INDEX(ContaCorrente!$D:$D,MATCH(A111,ContaCorrente!$A:$A,0)),"")</f>
        <v/>
      </c>
      <c r="N111" s="13">
        <f>IF(AND(ISNUMBER(M111),M111&lt;&gt;0),F111/M111,"")</f>
        <v/>
      </c>
    </row>
    <row r="112">
      <c r="A112" s="9" t="n">
        <v>41609</v>
      </c>
      <c r="B112" s="10">
        <f>YEAR(A112)</f>
        <v/>
      </c>
      <c r="C112" s="10">
        <f>MONTH(A112)</f>
        <v/>
      </c>
      <c r="D112" s="11">
        <f>SUMIFS(Lancamentos!$L$2:$L$2342,Lancamentos!$D$2:$D$2342,B112,Lancamentos!$E$2:$E$2342,C112)-E112</f>
        <v/>
      </c>
      <c r="E112" s="11">
        <f>SUMIFS(Lancamentos!$L$2:$L$2342,Lancamentos!$D$2:$D$2342,B112,Lancamentos!$E$2:$E$2342,C112,Lancamentos!$H$2:$H$2342,"PREMIO")</f>
        <v/>
      </c>
      <c r="F112" s="11">
        <f>D112+E112</f>
        <v/>
      </c>
      <c r="G112" s="12">
        <f>SUMIFS(Estimativas!$F:$F,Estimativas!$A:$A,A112)</f>
        <v/>
      </c>
      <c r="H112" s="11">
        <f>F112+G112</f>
        <v/>
      </c>
      <c r="I112" s="11">
        <f>SUMIFS(Lancamentos!$J$2:$J$2342,Lancamentos!$D$2:$D$2342,B112,Lancamentos!$E$2:$E$2342,C112,Lancamentos!$H$2:$H$2342,"&lt;&gt;DISTRATO")</f>
        <v/>
      </c>
      <c r="J112" s="11">
        <f>F112-I112</f>
        <v/>
      </c>
      <c r="K112" s="11">
        <f>SUMIFS(Lancamentos!$K$2:$K$2342,Lancamentos!$D$2:$D$2342,B112,Lancamentos!$E$2:$E$2342,C112,Lancamentos!$H$2:$H$2342,"DISTRATO")</f>
        <v/>
      </c>
      <c r="L112" s="10" t="inlineStr">
        <is>
          <t>ESTIMADO - média do período vizinho c/ variação aleatória</t>
        </is>
      </c>
      <c r="M112" s="12">
        <f>IFERROR(INDEX(ContaCorrente!$D:$D,MATCH(A112,ContaCorrente!$A:$A,0)),"")</f>
        <v/>
      </c>
      <c r="N112" s="13">
        <f>IF(AND(ISNUMBER(M112),M112&lt;&gt;0),F112/M112,"")</f>
        <v/>
      </c>
    </row>
    <row r="113">
      <c r="A113" s="9" t="n">
        <v>41640</v>
      </c>
      <c r="B113" s="10">
        <f>YEAR(A113)</f>
        <v/>
      </c>
      <c r="C113" s="10">
        <f>MONTH(A113)</f>
        <v/>
      </c>
      <c r="D113" s="11">
        <f>SUMIFS(Lancamentos!$L$2:$L$2342,Lancamentos!$D$2:$D$2342,B113,Lancamentos!$E$2:$E$2342,C113)-E113</f>
        <v/>
      </c>
      <c r="E113" s="11">
        <f>SUMIFS(Lancamentos!$L$2:$L$2342,Lancamentos!$D$2:$D$2342,B113,Lancamentos!$E$2:$E$2342,C113,Lancamentos!$H$2:$H$2342,"PREMIO")</f>
        <v/>
      </c>
      <c r="F113" s="11">
        <f>D113+E113</f>
        <v/>
      </c>
      <c r="G113" s="12">
        <f>SUMIFS(Estimativas!$F:$F,Estimativas!$A:$A,A113)</f>
        <v/>
      </c>
      <c r="H113" s="11">
        <f>F113+G113</f>
        <v/>
      </c>
      <c r="I113" s="11">
        <f>SUMIFS(Lancamentos!$J$2:$J$2342,Lancamentos!$D$2:$D$2342,B113,Lancamentos!$E$2:$E$2342,C113,Lancamentos!$H$2:$H$2342,"&lt;&gt;DISTRATO")</f>
        <v/>
      </c>
      <c r="J113" s="11">
        <f>F113-I113</f>
        <v/>
      </c>
      <c r="K113" s="11">
        <f>SUMIFS(Lancamentos!$K$2:$K$2342,Lancamentos!$D$2:$D$2342,B113,Lancamentos!$E$2:$E$2342,C113,Lancamentos!$H$2:$H$2342,"DISTRATO")</f>
        <v/>
      </c>
      <c r="L113" s="10" t="inlineStr">
        <is>
          <t>ESTIMADO - média do período vizinho c/ variação aleatória</t>
        </is>
      </c>
      <c r="M113" s="12">
        <f>IFERROR(INDEX(ContaCorrente!$D:$D,MATCH(A113,ContaCorrente!$A:$A,0)),"")</f>
        <v/>
      </c>
      <c r="N113" s="13">
        <f>IF(AND(ISNUMBER(M113),M113&lt;&gt;0),F113/M113,"")</f>
        <v/>
      </c>
    </row>
    <row r="114">
      <c r="A114" s="9" t="n">
        <v>41671</v>
      </c>
      <c r="B114" s="10">
        <f>YEAR(A114)</f>
        <v/>
      </c>
      <c r="C114" s="10">
        <f>MONTH(A114)</f>
        <v/>
      </c>
      <c r="D114" s="11">
        <f>SUMIFS(Lancamentos!$L$2:$L$2342,Lancamentos!$D$2:$D$2342,B114,Lancamentos!$E$2:$E$2342,C114)-E114</f>
        <v/>
      </c>
      <c r="E114" s="11">
        <f>SUMIFS(Lancamentos!$L$2:$L$2342,Lancamentos!$D$2:$D$2342,B114,Lancamentos!$E$2:$E$2342,C114,Lancamentos!$H$2:$H$2342,"PREMIO")</f>
        <v/>
      </c>
      <c r="F114" s="11">
        <f>D114+E114</f>
        <v/>
      </c>
      <c r="G114" s="12">
        <f>SUMIFS(Estimativas!$F:$F,Estimativas!$A:$A,A114)</f>
        <v/>
      </c>
      <c r="H114" s="11">
        <f>F114+G114</f>
        <v/>
      </c>
      <c r="I114" s="11">
        <f>SUMIFS(Lancamentos!$J$2:$J$2342,Lancamentos!$D$2:$D$2342,B114,Lancamentos!$E$2:$E$2342,C114,Lancamentos!$H$2:$H$2342,"&lt;&gt;DISTRATO")</f>
        <v/>
      </c>
      <c r="J114" s="11">
        <f>F114-I114</f>
        <v/>
      </c>
      <c r="K114" s="11">
        <f>SUMIFS(Lancamentos!$K$2:$K$2342,Lancamentos!$D$2:$D$2342,B114,Lancamentos!$E$2:$E$2342,C114,Lancamentos!$H$2:$H$2342,"DISTRATO")</f>
        <v/>
      </c>
      <c r="L114" s="10" t="inlineStr">
        <is>
          <t>ESTIMADO - média do período vizinho c/ variação aleatória</t>
        </is>
      </c>
      <c r="M114" s="12">
        <f>IFERROR(INDEX(ContaCorrente!$D:$D,MATCH(A114,ContaCorrente!$A:$A,0)),"")</f>
        <v/>
      </c>
      <c r="N114" s="13">
        <f>IF(AND(ISNUMBER(M114),M114&lt;&gt;0),F114/M114,"")</f>
        <v/>
      </c>
    </row>
    <row r="115">
      <c r="A115" s="9" t="n">
        <v>41699</v>
      </c>
      <c r="B115" s="10">
        <f>YEAR(A115)</f>
        <v/>
      </c>
      <c r="C115" s="10">
        <f>MONTH(A115)</f>
        <v/>
      </c>
      <c r="D115" s="11">
        <f>SUMIFS(Lancamentos!$L$2:$L$2342,Lancamentos!$D$2:$D$2342,B115,Lancamentos!$E$2:$E$2342,C115)-E115</f>
        <v/>
      </c>
      <c r="E115" s="11">
        <f>SUMIFS(Lancamentos!$L$2:$L$2342,Lancamentos!$D$2:$D$2342,B115,Lancamentos!$E$2:$E$2342,C115,Lancamentos!$H$2:$H$2342,"PREMIO")</f>
        <v/>
      </c>
      <c r="F115" s="11">
        <f>D115+E115</f>
        <v/>
      </c>
      <c r="G115" s="12">
        <f>SUMIFS(Estimativas!$F:$F,Estimativas!$A:$A,A115)</f>
        <v/>
      </c>
      <c r="H115" s="11">
        <f>F115+G115</f>
        <v/>
      </c>
      <c r="I115" s="11">
        <f>SUMIFS(Lancamentos!$J$2:$J$2342,Lancamentos!$D$2:$D$2342,B115,Lancamentos!$E$2:$E$2342,C115,Lancamentos!$H$2:$H$2342,"&lt;&gt;DISTRATO")</f>
        <v/>
      </c>
      <c r="J115" s="11">
        <f>F115-I115</f>
        <v/>
      </c>
      <c r="K115" s="11">
        <f>SUMIFS(Lancamentos!$K$2:$K$2342,Lancamentos!$D$2:$D$2342,B115,Lancamentos!$E$2:$E$2342,C115,Lancamentos!$H$2:$H$2342,"DISTRATO")</f>
        <v/>
      </c>
      <c r="L115" s="10" t="inlineStr">
        <is>
          <t>ESTIMADO - média do período vizinho c/ variação aleatória</t>
        </is>
      </c>
      <c r="M115" s="12">
        <f>IFERROR(INDEX(ContaCorrente!$D:$D,MATCH(A115,ContaCorrente!$A:$A,0)),"")</f>
        <v/>
      </c>
      <c r="N115" s="13">
        <f>IF(AND(ISNUMBER(M115),M115&lt;&gt;0),F115/M115,"")</f>
        <v/>
      </c>
    </row>
    <row r="116">
      <c r="A116" s="9" t="n">
        <v>41730</v>
      </c>
      <c r="B116" s="10">
        <f>YEAR(A116)</f>
        <v/>
      </c>
      <c r="C116" s="10">
        <f>MONTH(A116)</f>
        <v/>
      </c>
      <c r="D116" s="11">
        <f>SUMIFS(Lancamentos!$L$2:$L$2342,Lancamentos!$D$2:$D$2342,B116,Lancamentos!$E$2:$E$2342,C116)-E116</f>
        <v/>
      </c>
      <c r="E116" s="11">
        <f>SUMIFS(Lancamentos!$L$2:$L$2342,Lancamentos!$D$2:$D$2342,B116,Lancamentos!$E$2:$E$2342,C116,Lancamentos!$H$2:$H$2342,"PREMIO")</f>
        <v/>
      </c>
      <c r="F116" s="11">
        <f>D116+E116</f>
        <v/>
      </c>
      <c r="G116" s="12">
        <f>SUMIFS(Estimativas!$F:$F,Estimativas!$A:$A,A116)</f>
        <v/>
      </c>
      <c r="H116" s="11">
        <f>F116+G116</f>
        <v/>
      </c>
      <c r="I116" s="11">
        <f>SUMIFS(Lancamentos!$J$2:$J$2342,Lancamentos!$D$2:$D$2342,B116,Lancamentos!$E$2:$E$2342,C116,Lancamentos!$H$2:$H$2342,"&lt;&gt;DISTRATO")</f>
        <v/>
      </c>
      <c r="J116" s="11">
        <f>F116-I116</f>
        <v/>
      </c>
      <c r="K116" s="11">
        <f>SUMIFS(Lancamentos!$K$2:$K$2342,Lancamentos!$D$2:$D$2342,B116,Lancamentos!$E$2:$E$2342,C116,Lancamentos!$H$2:$H$2342,"DISTRATO")</f>
        <v/>
      </c>
      <c r="L116" s="10" t="inlineStr">
        <is>
          <t>ESTIMADO - média do período vizinho c/ variação aleatória</t>
        </is>
      </c>
      <c r="M116" s="12">
        <f>IFERROR(INDEX(ContaCorrente!$D:$D,MATCH(A116,ContaCorrente!$A:$A,0)),"")</f>
        <v/>
      </c>
      <c r="N116" s="13">
        <f>IF(AND(ISNUMBER(M116),M116&lt;&gt;0),F116/M116,"")</f>
        <v/>
      </c>
    </row>
    <row r="117">
      <c r="A117" s="9" t="n">
        <v>41760</v>
      </c>
      <c r="B117" s="10">
        <f>YEAR(A117)</f>
        <v/>
      </c>
      <c r="C117" s="10">
        <f>MONTH(A117)</f>
        <v/>
      </c>
      <c r="D117" s="11">
        <f>SUMIFS(Lancamentos!$L$2:$L$2342,Lancamentos!$D$2:$D$2342,B117,Lancamentos!$E$2:$E$2342,C117)-E117</f>
        <v/>
      </c>
      <c r="E117" s="11">
        <f>SUMIFS(Lancamentos!$L$2:$L$2342,Lancamentos!$D$2:$D$2342,B117,Lancamentos!$E$2:$E$2342,C117,Lancamentos!$H$2:$H$2342,"PREMIO")</f>
        <v/>
      </c>
      <c r="F117" s="11">
        <f>D117+E117</f>
        <v/>
      </c>
      <c r="G117" s="12">
        <f>SUMIFS(Estimativas!$F:$F,Estimativas!$A:$A,A117)</f>
        <v/>
      </c>
      <c r="H117" s="11">
        <f>F117+G117</f>
        <v/>
      </c>
      <c r="I117" s="11">
        <f>SUMIFS(Lancamentos!$J$2:$J$2342,Lancamentos!$D$2:$D$2342,B117,Lancamentos!$E$2:$E$2342,C117,Lancamentos!$H$2:$H$2342,"&lt;&gt;DISTRATO")</f>
        <v/>
      </c>
      <c r="J117" s="11">
        <f>F117-I117</f>
        <v/>
      </c>
      <c r="K117" s="11">
        <f>SUMIFS(Lancamentos!$K$2:$K$2342,Lancamentos!$D$2:$D$2342,B117,Lancamentos!$E$2:$E$2342,C117,Lancamentos!$H$2:$H$2342,"DISTRATO")</f>
        <v/>
      </c>
      <c r="L117" s="10" t="inlineStr">
        <is>
          <t>ESTIMADO - média do período vizinho c/ variação aleatória</t>
        </is>
      </c>
      <c r="M117" s="12">
        <f>IFERROR(INDEX(ContaCorrente!$D:$D,MATCH(A117,ContaCorrente!$A:$A,0)),"")</f>
        <v/>
      </c>
      <c r="N117" s="13">
        <f>IF(AND(ISNUMBER(M117),M117&lt;&gt;0),F117/M117,"")</f>
        <v/>
      </c>
    </row>
    <row r="118">
      <c r="A118" s="9" t="n">
        <v>41791</v>
      </c>
      <c r="B118" s="10">
        <f>YEAR(A118)</f>
        <v/>
      </c>
      <c r="C118" s="10">
        <f>MONTH(A118)</f>
        <v/>
      </c>
      <c r="D118" s="11">
        <f>SUMIFS(Lancamentos!$L$2:$L$2342,Lancamentos!$D$2:$D$2342,B118,Lancamentos!$E$2:$E$2342,C118)-E118</f>
        <v/>
      </c>
      <c r="E118" s="11">
        <f>SUMIFS(Lancamentos!$L$2:$L$2342,Lancamentos!$D$2:$D$2342,B118,Lancamentos!$E$2:$E$2342,C118,Lancamentos!$H$2:$H$2342,"PREMIO")</f>
        <v/>
      </c>
      <c r="F118" s="11">
        <f>D118+E118</f>
        <v/>
      </c>
      <c r="G118" s="12">
        <f>SUMIFS(Estimativas!$F:$F,Estimativas!$A:$A,A118)</f>
        <v/>
      </c>
      <c r="H118" s="11">
        <f>F118+G118</f>
        <v/>
      </c>
      <c r="I118" s="11">
        <f>SUMIFS(Lancamentos!$J$2:$J$2342,Lancamentos!$D$2:$D$2342,B118,Lancamentos!$E$2:$E$2342,C118,Lancamentos!$H$2:$H$2342,"&lt;&gt;DISTRATO")</f>
        <v/>
      </c>
      <c r="J118" s="11">
        <f>F118-I118</f>
        <v/>
      </c>
      <c r="K118" s="11">
        <f>SUMIFS(Lancamentos!$K$2:$K$2342,Lancamentos!$D$2:$D$2342,B118,Lancamentos!$E$2:$E$2342,C118,Lancamentos!$H$2:$H$2342,"DISTRATO")</f>
        <v/>
      </c>
      <c r="L118" s="10" t="inlineStr">
        <is>
          <t>ESTIMADO - média do período vizinho c/ variação aleatória</t>
        </is>
      </c>
      <c r="M118" s="12">
        <f>IFERROR(INDEX(ContaCorrente!$D:$D,MATCH(A118,ContaCorrente!$A:$A,0)),"")</f>
        <v/>
      </c>
      <c r="N118" s="13">
        <f>IF(AND(ISNUMBER(M118),M118&lt;&gt;0),F118/M118,"")</f>
        <v/>
      </c>
    </row>
    <row r="119">
      <c r="A119" s="9" t="n">
        <v>41821</v>
      </c>
      <c r="B119" s="10">
        <f>YEAR(A119)</f>
        <v/>
      </c>
      <c r="C119" s="10">
        <f>MONTH(A119)</f>
        <v/>
      </c>
      <c r="D119" s="11">
        <f>SUMIFS(Lancamentos!$L$2:$L$2342,Lancamentos!$D$2:$D$2342,B119,Lancamentos!$E$2:$E$2342,C119)-E119</f>
        <v/>
      </c>
      <c r="E119" s="11">
        <f>SUMIFS(Lancamentos!$L$2:$L$2342,Lancamentos!$D$2:$D$2342,B119,Lancamentos!$E$2:$E$2342,C119,Lancamentos!$H$2:$H$2342,"PREMIO")</f>
        <v/>
      </c>
      <c r="F119" s="11">
        <f>D119+E119</f>
        <v/>
      </c>
      <c r="G119" s="12">
        <f>SUMIFS(Estimativas!$F:$F,Estimativas!$A:$A,A119)</f>
        <v/>
      </c>
      <c r="H119" s="11">
        <f>F119+G119</f>
        <v/>
      </c>
      <c r="I119" s="11">
        <f>SUMIFS(Lancamentos!$J$2:$J$2342,Lancamentos!$D$2:$D$2342,B119,Lancamentos!$E$2:$E$2342,C119,Lancamentos!$H$2:$H$2342,"&lt;&gt;DISTRATO")</f>
        <v/>
      </c>
      <c r="J119" s="11">
        <f>F119-I119</f>
        <v/>
      </c>
      <c r="K119" s="11">
        <f>SUMIFS(Lancamentos!$K$2:$K$2342,Lancamentos!$D$2:$D$2342,B119,Lancamentos!$E$2:$E$2342,C119,Lancamentos!$H$2:$H$2342,"DISTRATO")</f>
        <v/>
      </c>
      <c r="L119" s="10" t="inlineStr">
        <is>
          <t>ESTIMADO - média do período vizinho c/ variação aleatória</t>
        </is>
      </c>
      <c r="M119" s="12">
        <f>IFERROR(INDEX(ContaCorrente!$D:$D,MATCH(A119,ContaCorrente!$A:$A,0)),"")</f>
        <v/>
      </c>
      <c r="N119" s="13">
        <f>IF(AND(ISNUMBER(M119),M119&lt;&gt;0),F119/M119,"")</f>
        <v/>
      </c>
    </row>
    <row r="120">
      <c r="A120" s="9" t="n">
        <v>41852</v>
      </c>
      <c r="B120" s="10">
        <f>YEAR(A120)</f>
        <v/>
      </c>
      <c r="C120" s="10">
        <f>MONTH(A120)</f>
        <v/>
      </c>
      <c r="D120" s="11">
        <f>SUMIFS(Lancamentos!$L$2:$L$2342,Lancamentos!$D$2:$D$2342,B120,Lancamentos!$E$2:$E$2342,C120)-E120</f>
        <v/>
      </c>
      <c r="E120" s="11">
        <f>SUMIFS(Lancamentos!$L$2:$L$2342,Lancamentos!$D$2:$D$2342,B120,Lancamentos!$E$2:$E$2342,C120,Lancamentos!$H$2:$H$2342,"PREMIO")</f>
        <v/>
      </c>
      <c r="F120" s="11">
        <f>D120+E120</f>
        <v/>
      </c>
      <c r="G120" s="12">
        <f>SUMIFS(Estimativas!$F:$F,Estimativas!$A:$A,A120)</f>
        <v/>
      </c>
      <c r="H120" s="11">
        <f>F120+G120</f>
        <v/>
      </c>
      <c r="I120" s="11">
        <f>SUMIFS(Lancamentos!$J$2:$J$2342,Lancamentos!$D$2:$D$2342,B120,Lancamentos!$E$2:$E$2342,C120,Lancamentos!$H$2:$H$2342,"&lt;&gt;DISTRATO")</f>
        <v/>
      </c>
      <c r="J120" s="11">
        <f>F120-I120</f>
        <v/>
      </c>
      <c r="K120" s="11">
        <f>SUMIFS(Lancamentos!$K$2:$K$2342,Lancamentos!$D$2:$D$2342,B120,Lancamentos!$E$2:$E$2342,C120,Lancamentos!$H$2:$H$2342,"DISTRATO")</f>
        <v/>
      </c>
      <c r="L120" s="10" t="inlineStr">
        <is>
          <t>ESTIMADO - média do período vizinho c/ variação aleatória</t>
        </is>
      </c>
      <c r="M120" s="12">
        <f>IFERROR(INDEX(ContaCorrente!$D:$D,MATCH(A120,ContaCorrente!$A:$A,0)),"")</f>
        <v/>
      </c>
      <c r="N120" s="13">
        <f>IF(AND(ISNUMBER(M120),M120&lt;&gt;0),F120/M120,"")</f>
        <v/>
      </c>
    </row>
    <row r="121">
      <c r="A121" s="9" t="n">
        <v>41883</v>
      </c>
      <c r="B121" s="10">
        <f>YEAR(A121)</f>
        <v/>
      </c>
      <c r="C121" s="10">
        <f>MONTH(A121)</f>
        <v/>
      </c>
      <c r="D121" s="11">
        <f>SUMIFS(Lancamentos!$L$2:$L$2342,Lancamentos!$D$2:$D$2342,B121,Lancamentos!$E$2:$E$2342,C121)-E121</f>
        <v/>
      </c>
      <c r="E121" s="11">
        <f>SUMIFS(Lancamentos!$L$2:$L$2342,Lancamentos!$D$2:$D$2342,B121,Lancamentos!$E$2:$E$2342,C121,Lancamentos!$H$2:$H$2342,"PREMIO")</f>
        <v/>
      </c>
      <c r="F121" s="11">
        <f>D121+E121</f>
        <v/>
      </c>
      <c r="G121" s="12">
        <f>SUMIFS(Estimativas!$F:$F,Estimativas!$A:$A,A121)</f>
        <v/>
      </c>
      <c r="H121" s="11">
        <f>F121+G121</f>
        <v/>
      </c>
      <c r="I121" s="11">
        <f>SUMIFS(Lancamentos!$J$2:$J$2342,Lancamentos!$D$2:$D$2342,B121,Lancamentos!$E$2:$E$2342,C121,Lancamentos!$H$2:$H$2342,"&lt;&gt;DISTRATO")</f>
        <v/>
      </c>
      <c r="J121" s="11">
        <f>F121-I121</f>
        <v/>
      </c>
      <c r="K121" s="11">
        <f>SUMIFS(Lancamentos!$K$2:$K$2342,Lancamentos!$D$2:$D$2342,B121,Lancamentos!$E$2:$E$2342,C121,Lancamentos!$H$2:$H$2342,"DISTRATO")</f>
        <v/>
      </c>
      <c r="L121" s="10" t="inlineStr">
        <is>
          <t>ESTIMADO - média do período vizinho c/ variação aleatória</t>
        </is>
      </c>
      <c r="M121" s="12">
        <f>IFERROR(INDEX(ContaCorrente!$D:$D,MATCH(A121,ContaCorrente!$A:$A,0)),"")</f>
        <v/>
      </c>
      <c r="N121" s="13">
        <f>IF(AND(ISNUMBER(M121),M121&lt;&gt;0),F121/M121,"")</f>
        <v/>
      </c>
    </row>
    <row r="122">
      <c r="A122" s="9" t="n">
        <v>41913</v>
      </c>
      <c r="B122" s="10">
        <f>YEAR(A122)</f>
        <v/>
      </c>
      <c r="C122" s="10">
        <f>MONTH(A122)</f>
        <v/>
      </c>
      <c r="D122" s="11">
        <f>SUMIFS(Lancamentos!$L$2:$L$2342,Lancamentos!$D$2:$D$2342,B122,Lancamentos!$E$2:$E$2342,C122)-E122</f>
        <v/>
      </c>
      <c r="E122" s="11">
        <f>SUMIFS(Lancamentos!$L$2:$L$2342,Lancamentos!$D$2:$D$2342,B122,Lancamentos!$E$2:$E$2342,C122,Lancamentos!$H$2:$H$2342,"PREMIO")</f>
        <v/>
      </c>
      <c r="F122" s="11">
        <f>D122+E122</f>
        <v/>
      </c>
      <c r="G122" s="12">
        <f>SUMIFS(Estimativas!$F:$F,Estimativas!$A:$A,A122)</f>
        <v/>
      </c>
      <c r="H122" s="11">
        <f>F122+G122</f>
        <v/>
      </c>
      <c r="I122" s="11">
        <f>SUMIFS(Lancamentos!$J$2:$J$2342,Lancamentos!$D$2:$D$2342,B122,Lancamentos!$E$2:$E$2342,C122,Lancamentos!$H$2:$H$2342,"&lt;&gt;DISTRATO")</f>
        <v/>
      </c>
      <c r="J122" s="11">
        <f>F122-I122</f>
        <v/>
      </c>
      <c r="K122" s="11">
        <f>SUMIFS(Lancamentos!$K$2:$K$2342,Lancamentos!$D$2:$D$2342,B122,Lancamentos!$E$2:$E$2342,C122,Lancamentos!$H$2:$H$2342,"DISTRATO")</f>
        <v/>
      </c>
      <c r="L122" s="10" t="inlineStr">
        <is>
          <t>ESTIMADO - média do período vizinho c/ variação aleatória</t>
        </is>
      </c>
      <c r="M122" s="12">
        <f>IFERROR(INDEX(ContaCorrente!$D:$D,MATCH(A122,ContaCorrente!$A:$A,0)),"")</f>
        <v/>
      </c>
      <c r="N122" s="13">
        <f>IF(AND(ISNUMBER(M122),M122&lt;&gt;0),F122/M122,"")</f>
        <v/>
      </c>
    </row>
    <row r="123">
      <c r="A123" s="9" t="n">
        <v>41944</v>
      </c>
      <c r="B123" s="10">
        <f>YEAR(A123)</f>
        <v/>
      </c>
      <c r="C123" s="10">
        <f>MONTH(A123)</f>
        <v/>
      </c>
      <c r="D123" s="11">
        <f>SUMIFS(Lancamentos!$L$2:$L$2342,Lancamentos!$D$2:$D$2342,B123,Lancamentos!$E$2:$E$2342,C123)-E123</f>
        <v/>
      </c>
      <c r="E123" s="11">
        <f>SUMIFS(Lancamentos!$L$2:$L$2342,Lancamentos!$D$2:$D$2342,B123,Lancamentos!$E$2:$E$2342,C123,Lancamentos!$H$2:$H$2342,"PREMIO")</f>
        <v/>
      </c>
      <c r="F123" s="11">
        <f>D123+E123</f>
        <v/>
      </c>
      <c r="G123" s="12">
        <f>SUMIFS(Estimativas!$F:$F,Estimativas!$A:$A,A123)</f>
        <v/>
      </c>
      <c r="H123" s="11">
        <f>F123+G123</f>
        <v/>
      </c>
      <c r="I123" s="11">
        <f>SUMIFS(Lancamentos!$J$2:$J$2342,Lancamentos!$D$2:$D$2342,B123,Lancamentos!$E$2:$E$2342,C123,Lancamentos!$H$2:$H$2342,"&lt;&gt;DISTRATO")</f>
        <v/>
      </c>
      <c r="J123" s="11">
        <f>F123-I123</f>
        <v/>
      </c>
      <c r="K123" s="11">
        <f>SUMIFS(Lancamentos!$K$2:$K$2342,Lancamentos!$D$2:$D$2342,B123,Lancamentos!$E$2:$E$2342,C123,Lancamentos!$H$2:$H$2342,"DISTRATO")</f>
        <v/>
      </c>
      <c r="L123" s="10" t="inlineStr">
        <is>
          <t>ESTIMADO - média do período vizinho c/ variação aleatória</t>
        </is>
      </c>
      <c r="M123" s="12">
        <f>IFERROR(INDEX(ContaCorrente!$D:$D,MATCH(A123,ContaCorrente!$A:$A,0)),"")</f>
        <v/>
      </c>
      <c r="N123" s="13">
        <f>IF(AND(ISNUMBER(M123),M123&lt;&gt;0),F123/M123,"")</f>
        <v/>
      </c>
    </row>
    <row r="124">
      <c r="A124" s="9" t="n">
        <v>41974</v>
      </c>
      <c r="B124" s="10">
        <f>YEAR(A124)</f>
        <v/>
      </c>
      <c r="C124" s="10">
        <f>MONTH(A124)</f>
        <v/>
      </c>
      <c r="D124" s="11">
        <f>SUMIFS(Lancamentos!$L$2:$L$2342,Lancamentos!$D$2:$D$2342,B124,Lancamentos!$E$2:$E$2342,C124)-E124</f>
        <v/>
      </c>
      <c r="E124" s="11">
        <f>SUMIFS(Lancamentos!$L$2:$L$2342,Lancamentos!$D$2:$D$2342,B124,Lancamentos!$E$2:$E$2342,C124,Lancamentos!$H$2:$H$2342,"PREMIO")</f>
        <v/>
      </c>
      <c r="F124" s="11">
        <f>D124+E124</f>
        <v/>
      </c>
      <c r="G124" s="12">
        <f>SUMIFS(Estimativas!$F:$F,Estimativas!$A:$A,A124)</f>
        <v/>
      </c>
      <c r="H124" s="11">
        <f>F124+G124</f>
        <v/>
      </c>
      <c r="I124" s="11">
        <f>SUMIFS(Lancamentos!$J$2:$J$2342,Lancamentos!$D$2:$D$2342,B124,Lancamentos!$E$2:$E$2342,C124,Lancamentos!$H$2:$H$2342,"&lt;&gt;DISTRATO")</f>
        <v/>
      </c>
      <c r="J124" s="11">
        <f>F124-I124</f>
        <v/>
      </c>
      <c r="K124" s="11">
        <f>SUMIFS(Lancamentos!$K$2:$K$2342,Lancamentos!$D$2:$D$2342,B124,Lancamentos!$E$2:$E$2342,C124,Lancamentos!$H$2:$H$2342,"DISTRATO")</f>
        <v/>
      </c>
      <c r="L124" s="10" t="inlineStr">
        <is>
          <t>ESTIMADO - média do período vizinho c/ variação aleatória</t>
        </is>
      </c>
      <c r="M124" s="12">
        <f>IFERROR(INDEX(ContaCorrente!$D:$D,MATCH(A124,ContaCorrente!$A:$A,0)),"")</f>
        <v/>
      </c>
      <c r="N124" s="13">
        <f>IF(AND(ISNUMBER(M124),M124&lt;&gt;0),F124/M124,"")</f>
        <v/>
      </c>
    </row>
    <row r="125">
      <c r="A125" s="9" t="n">
        <v>42005</v>
      </c>
      <c r="B125" s="10">
        <f>YEAR(A125)</f>
        <v/>
      </c>
      <c r="C125" s="10">
        <f>MONTH(A125)</f>
        <v/>
      </c>
      <c r="D125" s="11">
        <f>SUMIFS(Lancamentos!$L$2:$L$2342,Lancamentos!$D$2:$D$2342,B125,Lancamentos!$E$2:$E$2342,C125)-E125</f>
        <v/>
      </c>
      <c r="E125" s="11">
        <f>SUMIFS(Lancamentos!$L$2:$L$2342,Lancamentos!$D$2:$D$2342,B125,Lancamentos!$E$2:$E$2342,C125,Lancamentos!$H$2:$H$2342,"PREMIO")</f>
        <v/>
      </c>
      <c r="F125" s="11">
        <f>D125+E125</f>
        <v/>
      </c>
      <c r="G125" s="12">
        <f>SUMIFS(Estimativas!$F:$F,Estimativas!$A:$A,A125)</f>
        <v/>
      </c>
      <c r="H125" s="11">
        <f>F125+G125</f>
        <v/>
      </c>
      <c r="I125" s="11">
        <f>SUMIFS(Lancamentos!$J$2:$J$2342,Lancamentos!$D$2:$D$2342,B125,Lancamentos!$E$2:$E$2342,C125,Lancamentos!$H$2:$H$2342,"&lt;&gt;DISTRATO")</f>
        <v/>
      </c>
      <c r="J125" s="11">
        <f>F125-I125</f>
        <v/>
      </c>
      <c r="K125" s="11">
        <f>SUMIFS(Lancamentos!$K$2:$K$2342,Lancamentos!$D$2:$D$2342,B125,Lancamentos!$E$2:$E$2342,C125,Lancamentos!$H$2:$H$2342,"DISTRATO")</f>
        <v/>
      </c>
      <c r="L125" s="10" t="inlineStr">
        <is>
          <t>ESTIMADO - média do período vizinho c/ variação aleatória</t>
        </is>
      </c>
      <c r="M125" s="12">
        <f>IFERROR(INDEX(ContaCorrente!$D:$D,MATCH(A125,ContaCorrente!$A:$A,0)),"")</f>
        <v/>
      </c>
      <c r="N125" s="13">
        <f>IF(AND(ISNUMBER(M125),M125&lt;&gt;0),F125/M125,"")</f>
        <v/>
      </c>
    </row>
    <row r="126">
      <c r="A126" s="9" t="n">
        <v>42036</v>
      </c>
      <c r="B126" s="10">
        <f>YEAR(A126)</f>
        <v/>
      </c>
      <c r="C126" s="10">
        <f>MONTH(A126)</f>
        <v/>
      </c>
      <c r="D126" s="11">
        <f>SUMIFS(Lancamentos!$L$2:$L$2342,Lancamentos!$D$2:$D$2342,B126,Lancamentos!$E$2:$E$2342,C126)-E126</f>
        <v/>
      </c>
      <c r="E126" s="11">
        <f>SUMIFS(Lancamentos!$L$2:$L$2342,Lancamentos!$D$2:$D$2342,B126,Lancamentos!$E$2:$E$2342,C126,Lancamentos!$H$2:$H$2342,"PREMIO")</f>
        <v/>
      </c>
      <c r="F126" s="11">
        <f>D126+E126</f>
        <v/>
      </c>
      <c r="G126" s="12">
        <f>SUMIFS(Estimativas!$F:$F,Estimativas!$A:$A,A126)</f>
        <v/>
      </c>
      <c r="H126" s="11">
        <f>F126+G126</f>
        <v/>
      </c>
      <c r="I126" s="11">
        <f>SUMIFS(Lancamentos!$J$2:$J$2342,Lancamentos!$D$2:$D$2342,B126,Lancamentos!$E$2:$E$2342,C126,Lancamentos!$H$2:$H$2342,"&lt;&gt;DISTRATO")</f>
        <v/>
      </c>
      <c r="J126" s="11">
        <f>F126-I126</f>
        <v/>
      </c>
      <c r="K126" s="11">
        <f>SUMIFS(Lancamentos!$K$2:$K$2342,Lancamentos!$D$2:$D$2342,B126,Lancamentos!$E$2:$E$2342,C126,Lancamentos!$H$2:$H$2342,"DISTRATO")</f>
        <v/>
      </c>
      <c r="L126" s="10" t="inlineStr">
        <is>
          <t>ESTIMADO - média do período vizinho c/ variação aleatória</t>
        </is>
      </c>
      <c r="M126" s="12">
        <f>IFERROR(INDEX(ContaCorrente!$D:$D,MATCH(A126,ContaCorrente!$A:$A,0)),"")</f>
        <v/>
      </c>
      <c r="N126" s="13">
        <f>IF(AND(ISNUMBER(M126),M126&lt;&gt;0),F126/M126,"")</f>
        <v/>
      </c>
    </row>
    <row r="127">
      <c r="A127" s="9" t="n">
        <v>42064</v>
      </c>
      <c r="B127" s="10">
        <f>YEAR(A127)</f>
        <v/>
      </c>
      <c r="C127" s="10">
        <f>MONTH(A127)</f>
        <v/>
      </c>
      <c r="D127" s="11">
        <f>SUMIFS(Lancamentos!$L$2:$L$2342,Lancamentos!$D$2:$D$2342,B127,Lancamentos!$E$2:$E$2342,C127)-E127</f>
        <v/>
      </c>
      <c r="E127" s="11">
        <f>SUMIFS(Lancamentos!$L$2:$L$2342,Lancamentos!$D$2:$D$2342,B127,Lancamentos!$E$2:$E$2342,C127,Lancamentos!$H$2:$H$2342,"PREMIO")</f>
        <v/>
      </c>
      <c r="F127" s="11">
        <f>D127+E127</f>
        <v/>
      </c>
      <c r="G127" s="12">
        <f>SUMIFS(Estimativas!$F:$F,Estimativas!$A:$A,A127)</f>
        <v/>
      </c>
      <c r="H127" s="11">
        <f>F127+G127</f>
        <v/>
      </c>
      <c r="I127" s="11">
        <f>SUMIFS(Lancamentos!$J$2:$J$2342,Lancamentos!$D$2:$D$2342,B127,Lancamentos!$E$2:$E$2342,C127,Lancamentos!$H$2:$H$2342,"&lt;&gt;DISTRATO")</f>
        <v/>
      </c>
      <c r="J127" s="11">
        <f>F127-I127</f>
        <v/>
      </c>
      <c r="K127" s="11">
        <f>SUMIFS(Lancamentos!$K$2:$K$2342,Lancamentos!$D$2:$D$2342,B127,Lancamentos!$E$2:$E$2342,C127,Lancamentos!$H$2:$H$2342,"DISTRATO")</f>
        <v/>
      </c>
      <c r="L127" s="10" t="inlineStr">
        <is>
          <t>ESTIMADO - média do período vizinho c/ variação aleatória</t>
        </is>
      </c>
      <c r="M127" s="12">
        <f>IFERROR(INDEX(ContaCorrente!$D:$D,MATCH(A127,ContaCorrente!$A:$A,0)),"")</f>
        <v/>
      </c>
      <c r="N127" s="13">
        <f>IF(AND(ISNUMBER(M127),M127&lt;&gt;0),F127/M127,"")</f>
        <v/>
      </c>
    </row>
    <row r="128">
      <c r="A128" s="9" t="n">
        <v>42095</v>
      </c>
      <c r="B128" s="10">
        <f>YEAR(A128)</f>
        <v/>
      </c>
      <c r="C128" s="10">
        <f>MONTH(A128)</f>
        <v/>
      </c>
      <c r="D128" s="11">
        <f>SUMIFS(Lancamentos!$L$2:$L$2342,Lancamentos!$D$2:$D$2342,B128,Lancamentos!$E$2:$E$2342,C128)-E128</f>
        <v/>
      </c>
      <c r="E128" s="11">
        <f>SUMIFS(Lancamentos!$L$2:$L$2342,Lancamentos!$D$2:$D$2342,B128,Lancamentos!$E$2:$E$2342,C128,Lancamentos!$H$2:$H$2342,"PREMIO")</f>
        <v/>
      </c>
      <c r="F128" s="11">
        <f>D128+E128</f>
        <v/>
      </c>
      <c r="G128" s="12">
        <f>SUMIFS(Estimativas!$F:$F,Estimativas!$A:$A,A128)</f>
        <v/>
      </c>
      <c r="H128" s="11">
        <f>F128+G128</f>
        <v/>
      </c>
      <c r="I128" s="11">
        <f>SUMIFS(Lancamentos!$J$2:$J$2342,Lancamentos!$D$2:$D$2342,B128,Lancamentos!$E$2:$E$2342,C128,Lancamentos!$H$2:$H$2342,"&lt;&gt;DISTRATO")</f>
        <v/>
      </c>
      <c r="J128" s="11">
        <f>F128-I128</f>
        <v/>
      </c>
      <c r="K128" s="11">
        <f>SUMIFS(Lancamentos!$K$2:$K$2342,Lancamentos!$D$2:$D$2342,B128,Lancamentos!$E$2:$E$2342,C128,Lancamentos!$H$2:$H$2342,"DISTRATO")</f>
        <v/>
      </c>
      <c r="L128" s="10" t="inlineStr">
        <is>
          <t>ESTIMADO - média do período vizinho c/ variação aleatória</t>
        </is>
      </c>
      <c r="M128" s="12">
        <f>IFERROR(INDEX(ContaCorrente!$D:$D,MATCH(A128,ContaCorrente!$A:$A,0)),"")</f>
        <v/>
      </c>
      <c r="N128" s="13">
        <f>IF(AND(ISNUMBER(M128),M128&lt;&gt;0),F128/M128,"")</f>
        <v/>
      </c>
    </row>
    <row r="129">
      <c r="A129" s="9" t="n">
        <v>42125</v>
      </c>
      <c r="B129" s="10">
        <f>YEAR(A129)</f>
        <v/>
      </c>
      <c r="C129" s="10">
        <f>MONTH(A129)</f>
        <v/>
      </c>
      <c r="D129" s="11">
        <f>SUMIFS(Lancamentos!$L$2:$L$2342,Lancamentos!$D$2:$D$2342,B129,Lancamentos!$E$2:$E$2342,C129)-E129</f>
        <v/>
      </c>
      <c r="E129" s="11">
        <f>SUMIFS(Lancamentos!$L$2:$L$2342,Lancamentos!$D$2:$D$2342,B129,Lancamentos!$E$2:$E$2342,C129,Lancamentos!$H$2:$H$2342,"PREMIO")</f>
        <v/>
      </c>
      <c r="F129" s="11">
        <f>D129+E129</f>
        <v/>
      </c>
      <c r="G129" s="12">
        <f>SUMIFS(Estimativas!$F:$F,Estimativas!$A:$A,A129)</f>
        <v/>
      </c>
      <c r="H129" s="11">
        <f>F129+G129</f>
        <v/>
      </c>
      <c r="I129" s="11">
        <f>SUMIFS(Lancamentos!$J$2:$J$2342,Lancamentos!$D$2:$D$2342,B129,Lancamentos!$E$2:$E$2342,C129,Lancamentos!$H$2:$H$2342,"&lt;&gt;DISTRATO")</f>
        <v/>
      </c>
      <c r="J129" s="11">
        <f>F129-I129</f>
        <v/>
      </c>
      <c r="K129" s="11">
        <f>SUMIFS(Lancamentos!$K$2:$K$2342,Lancamentos!$D$2:$D$2342,B129,Lancamentos!$E$2:$E$2342,C129,Lancamentos!$H$2:$H$2342,"DISTRATO")</f>
        <v/>
      </c>
      <c r="L129" s="10" t="inlineStr">
        <is>
          <t>ESTIMADO - média do período vizinho c/ variação aleatória</t>
        </is>
      </c>
      <c r="M129" s="12">
        <f>IFERROR(INDEX(ContaCorrente!$D:$D,MATCH(A129,ContaCorrente!$A:$A,0)),"")</f>
        <v/>
      </c>
      <c r="N129" s="13">
        <f>IF(AND(ISNUMBER(M129),M129&lt;&gt;0),F129/M129,"")</f>
        <v/>
      </c>
    </row>
    <row r="130">
      <c r="A130" s="9" t="n">
        <v>42156</v>
      </c>
      <c r="B130" s="10">
        <f>YEAR(A130)</f>
        <v/>
      </c>
      <c r="C130" s="10">
        <f>MONTH(A130)</f>
        <v/>
      </c>
      <c r="D130" s="11">
        <f>SUMIFS(Lancamentos!$L$2:$L$2342,Lancamentos!$D$2:$D$2342,B130,Lancamentos!$E$2:$E$2342,C130)-E130</f>
        <v/>
      </c>
      <c r="E130" s="11">
        <f>SUMIFS(Lancamentos!$L$2:$L$2342,Lancamentos!$D$2:$D$2342,B130,Lancamentos!$E$2:$E$2342,C130,Lancamentos!$H$2:$H$2342,"PREMIO")</f>
        <v/>
      </c>
      <c r="F130" s="11">
        <f>D130+E130</f>
        <v/>
      </c>
      <c r="G130" s="12">
        <f>SUMIFS(Estimativas!$F:$F,Estimativas!$A:$A,A130)</f>
        <v/>
      </c>
      <c r="H130" s="11">
        <f>F130+G130</f>
        <v/>
      </c>
      <c r="I130" s="11">
        <f>SUMIFS(Lancamentos!$J$2:$J$2342,Lancamentos!$D$2:$D$2342,B130,Lancamentos!$E$2:$E$2342,C130,Lancamentos!$H$2:$H$2342,"&lt;&gt;DISTRATO")</f>
        <v/>
      </c>
      <c r="J130" s="11">
        <f>F130-I130</f>
        <v/>
      </c>
      <c r="K130" s="11">
        <f>SUMIFS(Lancamentos!$K$2:$K$2342,Lancamentos!$D$2:$D$2342,B130,Lancamentos!$E$2:$E$2342,C130,Lancamentos!$H$2:$H$2342,"DISTRATO")</f>
        <v/>
      </c>
      <c r="L130" s="10" t="inlineStr">
        <is>
          <t>ESTIMADO - média do período vizinho c/ variação aleatória</t>
        </is>
      </c>
      <c r="M130" s="12">
        <f>IFERROR(INDEX(ContaCorrente!$D:$D,MATCH(A130,ContaCorrente!$A:$A,0)),"")</f>
        <v/>
      </c>
      <c r="N130" s="13">
        <f>IF(AND(ISNUMBER(M130),M130&lt;&gt;0),F130/M130,"")</f>
        <v/>
      </c>
    </row>
    <row r="131">
      <c r="A131" s="9" t="n">
        <v>42186</v>
      </c>
      <c r="B131" s="10">
        <f>YEAR(A131)</f>
        <v/>
      </c>
      <c r="C131" s="10">
        <f>MONTH(A131)</f>
        <v/>
      </c>
      <c r="D131" s="11">
        <f>SUMIFS(Lancamentos!$L$2:$L$2342,Lancamentos!$D$2:$D$2342,B131,Lancamentos!$E$2:$E$2342,C131)-E131</f>
        <v/>
      </c>
      <c r="E131" s="11">
        <f>SUMIFS(Lancamentos!$L$2:$L$2342,Lancamentos!$D$2:$D$2342,B131,Lancamentos!$E$2:$E$2342,C131,Lancamentos!$H$2:$H$2342,"PREMIO")</f>
        <v/>
      </c>
      <c r="F131" s="11">
        <f>D131+E131</f>
        <v/>
      </c>
      <c r="G131" s="12">
        <f>SUMIFS(Estimativas!$F:$F,Estimativas!$A:$A,A131)</f>
        <v/>
      </c>
      <c r="H131" s="11">
        <f>F131+G131</f>
        <v/>
      </c>
      <c r="I131" s="11">
        <f>SUMIFS(Lancamentos!$J$2:$J$2342,Lancamentos!$D$2:$D$2342,B131,Lancamentos!$E$2:$E$2342,C131,Lancamentos!$H$2:$H$2342,"&lt;&gt;DISTRATO")</f>
        <v/>
      </c>
      <c r="J131" s="11">
        <f>F131-I131</f>
        <v/>
      </c>
      <c r="K131" s="11">
        <f>SUMIFS(Lancamentos!$K$2:$K$2342,Lancamentos!$D$2:$D$2342,B131,Lancamentos!$E$2:$E$2342,C131,Lancamentos!$H$2:$H$2342,"DISTRATO")</f>
        <v/>
      </c>
      <c r="L131" s="10" t="inlineStr">
        <is>
          <t>ESTIMADO - média do período vizinho c/ variação aleatória</t>
        </is>
      </c>
      <c r="M131" s="12">
        <f>IFERROR(INDEX(ContaCorrente!$D:$D,MATCH(A131,ContaCorrente!$A:$A,0)),"")</f>
        <v/>
      </c>
      <c r="N131" s="13">
        <f>IF(AND(ISNUMBER(M131),M131&lt;&gt;0),F131/M131,"")</f>
        <v/>
      </c>
    </row>
    <row r="132">
      <c r="A132" s="9" t="n">
        <v>42217</v>
      </c>
      <c r="B132" s="10">
        <f>YEAR(A132)</f>
        <v/>
      </c>
      <c r="C132" s="10">
        <f>MONTH(A132)</f>
        <v/>
      </c>
      <c r="D132" s="11">
        <f>SUMIFS(Lancamentos!$L$2:$L$2342,Lancamentos!$D$2:$D$2342,B132,Lancamentos!$E$2:$E$2342,C132)-E132</f>
        <v/>
      </c>
      <c r="E132" s="11">
        <f>SUMIFS(Lancamentos!$L$2:$L$2342,Lancamentos!$D$2:$D$2342,B132,Lancamentos!$E$2:$E$2342,C132,Lancamentos!$H$2:$H$2342,"PREMIO")</f>
        <v/>
      </c>
      <c r="F132" s="11">
        <f>D132+E132</f>
        <v/>
      </c>
      <c r="G132" s="12">
        <f>SUMIFS(Estimativas!$F:$F,Estimativas!$A:$A,A132)</f>
        <v/>
      </c>
      <c r="H132" s="11">
        <f>F132+G132</f>
        <v/>
      </c>
      <c r="I132" s="11">
        <f>SUMIFS(Lancamentos!$J$2:$J$2342,Lancamentos!$D$2:$D$2342,B132,Lancamentos!$E$2:$E$2342,C132,Lancamentos!$H$2:$H$2342,"&lt;&gt;DISTRATO")</f>
        <v/>
      </c>
      <c r="J132" s="11">
        <f>F132-I132</f>
        <v/>
      </c>
      <c r="K132" s="11">
        <f>SUMIFS(Lancamentos!$K$2:$K$2342,Lancamentos!$D$2:$D$2342,B132,Lancamentos!$E$2:$E$2342,C132,Lancamentos!$H$2:$H$2342,"DISTRATO")</f>
        <v/>
      </c>
      <c r="L132" s="10" t="inlineStr">
        <is>
          <t>ESTIMADO - média do período vizinho c/ variação aleatória</t>
        </is>
      </c>
      <c r="M132" s="12">
        <f>IFERROR(INDEX(ContaCorrente!$D:$D,MATCH(A132,ContaCorrente!$A:$A,0)),"")</f>
        <v/>
      </c>
      <c r="N132" s="13">
        <f>IF(AND(ISNUMBER(M132),M132&lt;&gt;0),F132/M132,"")</f>
        <v/>
      </c>
    </row>
    <row r="133">
      <c r="A133" s="9" t="n">
        <v>42248</v>
      </c>
      <c r="B133" s="10">
        <f>YEAR(A133)</f>
        <v/>
      </c>
      <c r="C133" s="10">
        <f>MONTH(A133)</f>
        <v/>
      </c>
      <c r="D133" s="11">
        <f>SUMIFS(Lancamentos!$L$2:$L$2342,Lancamentos!$D$2:$D$2342,B133,Lancamentos!$E$2:$E$2342,C133)-E133</f>
        <v/>
      </c>
      <c r="E133" s="11">
        <f>SUMIFS(Lancamentos!$L$2:$L$2342,Lancamentos!$D$2:$D$2342,B133,Lancamentos!$E$2:$E$2342,C133,Lancamentos!$H$2:$H$2342,"PREMIO")</f>
        <v/>
      </c>
      <c r="F133" s="11">
        <f>D133+E133</f>
        <v/>
      </c>
      <c r="G133" s="12">
        <f>SUMIFS(Estimativas!$F:$F,Estimativas!$A:$A,A133)</f>
        <v/>
      </c>
      <c r="H133" s="11">
        <f>F133+G133</f>
        <v/>
      </c>
      <c r="I133" s="11">
        <f>SUMIFS(Lancamentos!$J$2:$J$2342,Lancamentos!$D$2:$D$2342,B133,Lancamentos!$E$2:$E$2342,C133,Lancamentos!$H$2:$H$2342,"&lt;&gt;DISTRATO")</f>
        <v/>
      </c>
      <c r="J133" s="11">
        <f>F133-I133</f>
        <v/>
      </c>
      <c r="K133" s="11">
        <f>SUMIFS(Lancamentos!$K$2:$K$2342,Lancamentos!$D$2:$D$2342,B133,Lancamentos!$E$2:$E$2342,C133,Lancamentos!$H$2:$H$2342,"DISTRATO")</f>
        <v/>
      </c>
      <c r="L133" s="10" t="inlineStr">
        <is>
          <t>ESTIMADO - média do período vizinho c/ variação aleatória</t>
        </is>
      </c>
      <c r="M133" s="12">
        <f>IFERROR(INDEX(ContaCorrente!$D:$D,MATCH(A133,ContaCorrente!$A:$A,0)),"")</f>
        <v/>
      </c>
      <c r="N133" s="13">
        <f>IF(AND(ISNUMBER(M133),M133&lt;&gt;0),F133/M133,"")</f>
        <v/>
      </c>
    </row>
    <row r="134">
      <c r="A134" s="9" t="n">
        <v>42278</v>
      </c>
      <c r="B134" s="10">
        <f>YEAR(A134)</f>
        <v/>
      </c>
      <c r="C134" s="10">
        <f>MONTH(A134)</f>
        <v/>
      </c>
      <c r="D134" s="11">
        <f>SUMIFS(Lancamentos!$L$2:$L$2342,Lancamentos!$D$2:$D$2342,B134,Lancamentos!$E$2:$E$2342,C134)-E134</f>
        <v/>
      </c>
      <c r="E134" s="11">
        <f>SUMIFS(Lancamentos!$L$2:$L$2342,Lancamentos!$D$2:$D$2342,B134,Lancamentos!$E$2:$E$2342,C134,Lancamentos!$H$2:$H$2342,"PREMIO")</f>
        <v/>
      </c>
      <c r="F134" s="11">
        <f>D134+E134</f>
        <v/>
      </c>
      <c r="G134" s="12">
        <f>SUMIFS(Estimativas!$F:$F,Estimativas!$A:$A,A134)</f>
        <v/>
      </c>
      <c r="H134" s="11">
        <f>F134+G134</f>
        <v/>
      </c>
      <c r="I134" s="11">
        <f>SUMIFS(Lancamentos!$J$2:$J$2342,Lancamentos!$D$2:$D$2342,B134,Lancamentos!$E$2:$E$2342,C134,Lancamentos!$H$2:$H$2342,"&lt;&gt;DISTRATO")</f>
        <v/>
      </c>
      <c r="J134" s="11">
        <f>F134-I134</f>
        <v/>
      </c>
      <c r="K134" s="11">
        <f>SUMIFS(Lancamentos!$K$2:$K$2342,Lancamentos!$D$2:$D$2342,B134,Lancamentos!$E$2:$E$2342,C134,Lancamentos!$H$2:$H$2342,"DISTRATO")</f>
        <v/>
      </c>
      <c r="L134" s="10" t="inlineStr">
        <is>
          <t>ESTIMADO - média do período vizinho c/ variação aleatória</t>
        </is>
      </c>
      <c r="M134" s="12">
        <f>IFERROR(INDEX(ContaCorrente!$D:$D,MATCH(A134,ContaCorrente!$A:$A,0)),"")</f>
        <v/>
      </c>
      <c r="N134" s="13">
        <f>IF(AND(ISNUMBER(M134),M134&lt;&gt;0),F134/M134,"")</f>
        <v/>
      </c>
    </row>
    <row r="135">
      <c r="A135" s="9" t="n">
        <v>42309</v>
      </c>
      <c r="B135" s="10">
        <f>YEAR(A135)</f>
        <v/>
      </c>
      <c r="C135" s="10">
        <f>MONTH(A135)</f>
        <v/>
      </c>
      <c r="D135" s="11">
        <f>SUMIFS(Lancamentos!$L$2:$L$2342,Lancamentos!$D$2:$D$2342,B135,Lancamentos!$E$2:$E$2342,C135)-E135</f>
        <v/>
      </c>
      <c r="E135" s="11">
        <f>SUMIFS(Lancamentos!$L$2:$L$2342,Lancamentos!$D$2:$D$2342,B135,Lancamentos!$E$2:$E$2342,C135,Lancamentos!$H$2:$H$2342,"PREMIO")</f>
        <v/>
      </c>
      <c r="F135" s="11">
        <f>D135+E135</f>
        <v/>
      </c>
      <c r="G135" s="12">
        <f>SUMIFS(Estimativas!$F:$F,Estimativas!$A:$A,A135)</f>
        <v/>
      </c>
      <c r="H135" s="11">
        <f>F135+G135</f>
        <v/>
      </c>
      <c r="I135" s="11">
        <f>SUMIFS(Lancamentos!$J$2:$J$2342,Lancamentos!$D$2:$D$2342,B135,Lancamentos!$E$2:$E$2342,C135,Lancamentos!$H$2:$H$2342,"&lt;&gt;DISTRATO")</f>
        <v/>
      </c>
      <c r="J135" s="11">
        <f>F135-I135</f>
        <v/>
      </c>
      <c r="K135" s="11">
        <f>SUMIFS(Lancamentos!$K$2:$K$2342,Lancamentos!$D$2:$D$2342,B135,Lancamentos!$E$2:$E$2342,C135,Lancamentos!$H$2:$H$2342,"DISTRATO")</f>
        <v/>
      </c>
      <c r="L135" s="10" t="inlineStr">
        <is>
          <t>ESTIMADO - média do período vizinho c/ variação aleatória</t>
        </is>
      </c>
      <c r="M135" s="12">
        <f>IFERROR(INDEX(ContaCorrente!$D:$D,MATCH(A135,ContaCorrente!$A:$A,0)),"")</f>
        <v/>
      </c>
      <c r="N135" s="13">
        <f>IF(AND(ISNUMBER(M135),M135&lt;&gt;0),F135/M135,"")</f>
        <v/>
      </c>
    </row>
    <row r="136">
      <c r="A136" s="9" t="n">
        <v>42339</v>
      </c>
      <c r="B136" s="10">
        <f>YEAR(A136)</f>
        <v/>
      </c>
      <c r="C136" s="10">
        <f>MONTH(A136)</f>
        <v/>
      </c>
      <c r="D136" s="11">
        <f>SUMIFS(Lancamentos!$L$2:$L$2342,Lancamentos!$D$2:$D$2342,B136,Lancamentos!$E$2:$E$2342,C136)-E136</f>
        <v/>
      </c>
      <c r="E136" s="11">
        <f>SUMIFS(Lancamentos!$L$2:$L$2342,Lancamentos!$D$2:$D$2342,B136,Lancamentos!$E$2:$E$2342,C136,Lancamentos!$H$2:$H$2342,"PREMIO")</f>
        <v/>
      </c>
      <c r="F136" s="11">
        <f>D136+E136</f>
        <v/>
      </c>
      <c r="G136" s="12">
        <f>SUMIFS(Estimativas!$F:$F,Estimativas!$A:$A,A136)</f>
        <v/>
      </c>
      <c r="H136" s="11">
        <f>F136+G136</f>
        <v/>
      </c>
      <c r="I136" s="11">
        <f>SUMIFS(Lancamentos!$J$2:$J$2342,Lancamentos!$D$2:$D$2342,B136,Lancamentos!$E$2:$E$2342,C136,Lancamentos!$H$2:$H$2342,"&lt;&gt;DISTRATO")</f>
        <v/>
      </c>
      <c r="J136" s="11">
        <f>F136-I136</f>
        <v/>
      </c>
      <c r="K136" s="11">
        <f>SUMIFS(Lancamentos!$K$2:$K$2342,Lancamentos!$D$2:$D$2342,B136,Lancamentos!$E$2:$E$2342,C136,Lancamentos!$H$2:$H$2342,"DISTRATO")</f>
        <v/>
      </c>
      <c r="L136" s="10" t="inlineStr">
        <is>
          <t>ESTIMADO - média do período vizinho c/ variação aleatória</t>
        </is>
      </c>
      <c r="M136" s="12">
        <f>IFERROR(INDEX(ContaCorrente!$D:$D,MATCH(A136,ContaCorrente!$A:$A,0)),"")</f>
        <v/>
      </c>
      <c r="N136" s="13">
        <f>IF(AND(ISNUMBER(M136),M136&lt;&gt;0),F136/M136,"")</f>
        <v/>
      </c>
    </row>
    <row r="137">
      <c r="A137" s="9" t="n">
        <v>42370</v>
      </c>
      <c r="B137" s="10">
        <f>YEAR(A137)</f>
        <v/>
      </c>
      <c r="C137" s="10">
        <f>MONTH(A137)</f>
        <v/>
      </c>
      <c r="D137" s="11">
        <f>SUMIFS(Lancamentos!$L$2:$L$2342,Lancamentos!$D$2:$D$2342,B137,Lancamentos!$E$2:$E$2342,C137)-E137</f>
        <v/>
      </c>
      <c r="E137" s="11">
        <f>SUMIFS(Lancamentos!$L$2:$L$2342,Lancamentos!$D$2:$D$2342,B137,Lancamentos!$E$2:$E$2342,C137,Lancamentos!$H$2:$H$2342,"PREMIO")</f>
        <v/>
      </c>
      <c r="F137" s="11">
        <f>D137+E137</f>
        <v/>
      </c>
      <c r="G137" s="12">
        <f>SUMIFS(Estimativas!$F:$F,Estimativas!$A:$A,A137)</f>
        <v/>
      </c>
      <c r="H137" s="11">
        <f>F137+G137</f>
        <v/>
      </c>
      <c r="I137" s="11">
        <f>SUMIFS(Lancamentos!$J$2:$J$2342,Lancamentos!$D$2:$D$2342,B137,Lancamentos!$E$2:$E$2342,C137,Lancamentos!$H$2:$H$2342,"&lt;&gt;DISTRATO")</f>
        <v/>
      </c>
      <c r="J137" s="11">
        <f>F137-I137</f>
        <v/>
      </c>
      <c r="K137" s="11">
        <f>SUMIFS(Lancamentos!$K$2:$K$2342,Lancamentos!$D$2:$D$2342,B137,Lancamentos!$E$2:$E$2342,C137,Lancamentos!$H$2:$H$2342,"DISTRATO")</f>
        <v/>
      </c>
      <c r="L137" s="10" t="inlineStr">
        <is>
          <t>ESTIMADO - média do período vizinho c/ variação aleatória</t>
        </is>
      </c>
      <c r="M137" s="12">
        <f>IFERROR(INDEX(ContaCorrente!$D:$D,MATCH(A137,ContaCorrente!$A:$A,0)),"")</f>
        <v/>
      </c>
      <c r="N137" s="13">
        <f>IF(AND(ISNUMBER(M137),M137&lt;&gt;0),F137/M137,"")</f>
        <v/>
      </c>
    </row>
    <row r="138">
      <c r="A138" s="9" t="n">
        <v>42401</v>
      </c>
      <c r="B138" s="10">
        <f>YEAR(A138)</f>
        <v/>
      </c>
      <c r="C138" s="10">
        <f>MONTH(A138)</f>
        <v/>
      </c>
      <c r="D138" s="11">
        <f>SUMIFS(Lancamentos!$L$2:$L$2342,Lancamentos!$D$2:$D$2342,B138,Lancamentos!$E$2:$E$2342,C138)-E138</f>
        <v/>
      </c>
      <c r="E138" s="11">
        <f>SUMIFS(Lancamentos!$L$2:$L$2342,Lancamentos!$D$2:$D$2342,B138,Lancamentos!$E$2:$E$2342,C138,Lancamentos!$H$2:$H$2342,"PREMIO")</f>
        <v/>
      </c>
      <c r="F138" s="11">
        <f>D138+E138</f>
        <v/>
      </c>
      <c r="G138" s="12">
        <f>SUMIFS(Estimativas!$F:$F,Estimativas!$A:$A,A138)</f>
        <v/>
      </c>
      <c r="H138" s="11">
        <f>F138+G138</f>
        <v/>
      </c>
      <c r="I138" s="11">
        <f>SUMIFS(Lancamentos!$J$2:$J$2342,Lancamentos!$D$2:$D$2342,B138,Lancamentos!$E$2:$E$2342,C138,Lancamentos!$H$2:$H$2342,"&lt;&gt;DISTRATO")</f>
        <v/>
      </c>
      <c r="J138" s="11">
        <f>F138-I138</f>
        <v/>
      </c>
      <c r="K138" s="11">
        <f>SUMIFS(Lancamentos!$K$2:$K$2342,Lancamentos!$D$2:$D$2342,B138,Lancamentos!$E$2:$E$2342,C138,Lancamentos!$H$2:$H$2342,"DISTRATO")</f>
        <v/>
      </c>
      <c r="L138" s="10" t="inlineStr">
        <is>
          <t>ESTIMADO - média do período vizinho c/ variação aleatória</t>
        </is>
      </c>
      <c r="M138" s="12">
        <f>IFERROR(INDEX(ContaCorrente!$D:$D,MATCH(A138,ContaCorrente!$A:$A,0)),"")</f>
        <v/>
      </c>
      <c r="N138" s="13">
        <f>IF(AND(ISNUMBER(M138),M138&lt;&gt;0),F138/M138,"")</f>
        <v/>
      </c>
    </row>
    <row r="139">
      <c r="A139" s="9" t="n">
        <v>42430</v>
      </c>
      <c r="B139" s="10">
        <f>YEAR(A139)</f>
        <v/>
      </c>
      <c r="C139" s="10">
        <f>MONTH(A139)</f>
        <v/>
      </c>
      <c r="D139" s="11">
        <f>SUMIFS(Lancamentos!$L$2:$L$2342,Lancamentos!$D$2:$D$2342,B139,Lancamentos!$E$2:$E$2342,C139)-E139</f>
        <v/>
      </c>
      <c r="E139" s="11">
        <f>SUMIFS(Lancamentos!$L$2:$L$2342,Lancamentos!$D$2:$D$2342,B139,Lancamentos!$E$2:$E$2342,C139,Lancamentos!$H$2:$H$2342,"PREMIO")</f>
        <v/>
      </c>
      <c r="F139" s="11">
        <f>D139+E139</f>
        <v/>
      </c>
      <c r="G139" s="12">
        <f>SUMIFS(Estimativas!$F:$F,Estimativas!$A:$A,A139)</f>
        <v/>
      </c>
      <c r="H139" s="11">
        <f>F139+G139</f>
        <v/>
      </c>
      <c r="I139" s="11">
        <f>SUMIFS(Lancamentos!$J$2:$J$2342,Lancamentos!$D$2:$D$2342,B139,Lancamentos!$E$2:$E$2342,C139,Lancamentos!$H$2:$H$2342,"&lt;&gt;DISTRATO")</f>
        <v/>
      </c>
      <c r="J139" s="11">
        <f>F139-I139</f>
        <v/>
      </c>
      <c r="K139" s="11">
        <f>SUMIFS(Lancamentos!$K$2:$K$2342,Lancamentos!$D$2:$D$2342,B139,Lancamentos!$E$2:$E$2342,C139,Lancamentos!$H$2:$H$2342,"DISTRATO")</f>
        <v/>
      </c>
      <c r="L139" s="10" t="inlineStr">
        <is>
          <t>ESTIMADO - média do período vizinho c/ variação aleatória</t>
        </is>
      </c>
      <c r="M139" s="12">
        <f>IFERROR(INDEX(ContaCorrente!$D:$D,MATCH(A139,ContaCorrente!$A:$A,0)),"")</f>
        <v/>
      </c>
      <c r="N139" s="13">
        <f>IF(AND(ISNUMBER(M139),M139&lt;&gt;0),F139/M139,"")</f>
        <v/>
      </c>
    </row>
    <row r="140">
      <c r="A140" s="9" t="n">
        <v>42461</v>
      </c>
      <c r="B140" s="10">
        <f>YEAR(A140)</f>
        <v/>
      </c>
      <c r="C140" s="10">
        <f>MONTH(A140)</f>
        <v/>
      </c>
      <c r="D140" s="11">
        <f>SUMIFS(Lancamentos!$L$2:$L$2342,Lancamentos!$D$2:$D$2342,B140,Lancamentos!$E$2:$E$2342,C140)-E140</f>
        <v/>
      </c>
      <c r="E140" s="11">
        <f>SUMIFS(Lancamentos!$L$2:$L$2342,Lancamentos!$D$2:$D$2342,B140,Lancamentos!$E$2:$E$2342,C140,Lancamentos!$H$2:$H$2342,"PREMIO")</f>
        <v/>
      </c>
      <c r="F140" s="11">
        <f>D140+E140</f>
        <v/>
      </c>
      <c r="G140" s="12">
        <f>SUMIFS(Estimativas!$F:$F,Estimativas!$A:$A,A140)</f>
        <v/>
      </c>
      <c r="H140" s="11">
        <f>F140+G140</f>
        <v/>
      </c>
      <c r="I140" s="11">
        <f>SUMIFS(Lancamentos!$J$2:$J$2342,Lancamentos!$D$2:$D$2342,B140,Lancamentos!$E$2:$E$2342,C140,Lancamentos!$H$2:$H$2342,"&lt;&gt;DISTRATO")</f>
        <v/>
      </c>
      <c r="J140" s="11">
        <f>F140-I140</f>
        <v/>
      </c>
      <c r="K140" s="11">
        <f>SUMIFS(Lancamentos!$K$2:$K$2342,Lancamentos!$D$2:$D$2342,B140,Lancamentos!$E$2:$E$2342,C140,Lancamentos!$H$2:$H$2342,"DISTRATO")</f>
        <v/>
      </c>
      <c r="L140" s="10" t="inlineStr">
        <is>
          <t>ESTIMADO - média do período vizinho c/ variação aleatória</t>
        </is>
      </c>
      <c r="M140" s="12">
        <f>IFERROR(INDEX(ContaCorrente!$D:$D,MATCH(A140,ContaCorrente!$A:$A,0)),"")</f>
        <v/>
      </c>
      <c r="N140" s="13">
        <f>IF(AND(ISNUMBER(M140),M140&lt;&gt;0),F140/M140,"")</f>
        <v/>
      </c>
    </row>
    <row r="141">
      <c r="A141" s="9" t="n">
        <v>42491</v>
      </c>
      <c r="B141" s="10">
        <f>YEAR(A141)</f>
        <v/>
      </c>
      <c r="C141" s="10">
        <f>MONTH(A141)</f>
        <v/>
      </c>
      <c r="D141" s="11">
        <f>SUMIFS(Lancamentos!$L$2:$L$2342,Lancamentos!$D$2:$D$2342,B141,Lancamentos!$E$2:$E$2342,C141)-E141</f>
        <v/>
      </c>
      <c r="E141" s="11">
        <f>SUMIFS(Lancamentos!$L$2:$L$2342,Lancamentos!$D$2:$D$2342,B141,Lancamentos!$E$2:$E$2342,C141,Lancamentos!$H$2:$H$2342,"PREMIO")</f>
        <v/>
      </c>
      <c r="F141" s="11">
        <f>D141+E141</f>
        <v/>
      </c>
      <c r="G141" s="12">
        <f>SUMIFS(Estimativas!$F:$F,Estimativas!$A:$A,A141)</f>
        <v/>
      </c>
      <c r="H141" s="11">
        <f>F141+G141</f>
        <v/>
      </c>
      <c r="I141" s="11">
        <f>SUMIFS(Lancamentos!$J$2:$J$2342,Lancamentos!$D$2:$D$2342,B141,Lancamentos!$E$2:$E$2342,C141,Lancamentos!$H$2:$H$2342,"&lt;&gt;DISTRATO")</f>
        <v/>
      </c>
      <c r="J141" s="11">
        <f>F141-I141</f>
        <v/>
      </c>
      <c r="K141" s="11">
        <f>SUMIFS(Lancamentos!$K$2:$K$2342,Lancamentos!$D$2:$D$2342,B141,Lancamentos!$E$2:$E$2342,C141,Lancamentos!$H$2:$H$2342,"DISTRATO")</f>
        <v/>
      </c>
      <c r="L141" s="10" t="inlineStr">
        <is>
          <t>ESTIMADO - média do período vizinho c/ variação aleatória</t>
        </is>
      </c>
      <c r="M141" s="12">
        <f>IFERROR(INDEX(ContaCorrente!$D:$D,MATCH(A141,ContaCorrente!$A:$A,0)),"")</f>
        <v/>
      </c>
      <c r="N141" s="13">
        <f>IF(AND(ISNUMBER(M141),M141&lt;&gt;0),F141/M141,"")</f>
        <v/>
      </c>
    </row>
    <row r="142">
      <c r="A142" s="9" t="n">
        <v>42522</v>
      </c>
      <c r="B142" s="10">
        <f>YEAR(A142)</f>
        <v/>
      </c>
      <c r="C142" s="10">
        <f>MONTH(A142)</f>
        <v/>
      </c>
      <c r="D142" s="11">
        <f>SUMIFS(Lancamentos!$L$2:$L$2342,Lancamentos!$D$2:$D$2342,B142,Lancamentos!$E$2:$E$2342,C142)-E142</f>
        <v/>
      </c>
      <c r="E142" s="11">
        <f>SUMIFS(Lancamentos!$L$2:$L$2342,Lancamentos!$D$2:$D$2342,B142,Lancamentos!$E$2:$E$2342,C142,Lancamentos!$H$2:$H$2342,"PREMIO")</f>
        <v/>
      </c>
      <c r="F142" s="11">
        <f>D142+E142</f>
        <v/>
      </c>
      <c r="G142" s="12">
        <f>SUMIFS(Estimativas!$F:$F,Estimativas!$A:$A,A142)</f>
        <v/>
      </c>
      <c r="H142" s="11">
        <f>F142+G142</f>
        <v/>
      </c>
      <c r="I142" s="11">
        <f>SUMIFS(Lancamentos!$J$2:$J$2342,Lancamentos!$D$2:$D$2342,B142,Lancamentos!$E$2:$E$2342,C142,Lancamentos!$H$2:$H$2342,"&lt;&gt;DISTRATO")</f>
        <v/>
      </c>
      <c r="J142" s="11">
        <f>F142-I142</f>
        <v/>
      </c>
      <c r="K142" s="11">
        <f>SUMIFS(Lancamentos!$K$2:$K$2342,Lancamentos!$D$2:$D$2342,B142,Lancamentos!$E$2:$E$2342,C142,Lancamentos!$H$2:$H$2342,"DISTRATO")</f>
        <v/>
      </c>
      <c r="L142" s="10" t="inlineStr">
        <is>
          <t>ESTIMADO - média do período vizinho c/ variação aleatória</t>
        </is>
      </c>
      <c r="M142" s="12">
        <f>IFERROR(INDEX(ContaCorrente!$D:$D,MATCH(A142,ContaCorrente!$A:$A,0)),"")</f>
        <v/>
      </c>
      <c r="N142" s="13">
        <f>IF(AND(ISNUMBER(M142),M142&lt;&gt;0),F142/M142,"")</f>
        <v/>
      </c>
    </row>
    <row r="143">
      <c r="A143" s="9" t="n">
        <v>42552</v>
      </c>
      <c r="B143" s="10">
        <f>YEAR(A143)</f>
        <v/>
      </c>
      <c r="C143" s="10">
        <f>MONTH(A143)</f>
        <v/>
      </c>
      <c r="D143" s="11">
        <f>SUMIFS(Lancamentos!$L$2:$L$2342,Lancamentos!$D$2:$D$2342,B143,Lancamentos!$E$2:$E$2342,C143)-E143</f>
        <v/>
      </c>
      <c r="E143" s="11">
        <f>SUMIFS(Lancamentos!$L$2:$L$2342,Lancamentos!$D$2:$D$2342,B143,Lancamentos!$E$2:$E$2342,C143,Lancamentos!$H$2:$H$2342,"PREMIO")</f>
        <v/>
      </c>
      <c r="F143" s="11">
        <f>D143+E143</f>
        <v/>
      </c>
      <c r="G143" s="12">
        <f>SUMIFS(Estimativas!$F:$F,Estimativas!$A:$A,A143)</f>
        <v/>
      </c>
      <c r="H143" s="11">
        <f>F143+G143</f>
        <v/>
      </c>
      <c r="I143" s="11">
        <f>SUMIFS(Lancamentos!$J$2:$J$2342,Lancamentos!$D$2:$D$2342,B143,Lancamentos!$E$2:$E$2342,C143,Lancamentos!$H$2:$H$2342,"&lt;&gt;DISTRATO")</f>
        <v/>
      </c>
      <c r="J143" s="11">
        <f>F143-I143</f>
        <v/>
      </c>
      <c r="K143" s="11">
        <f>SUMIFS(Lancamentos!$K$2:$K$2342,Lancamentos!$D$2:$D$2342,B143,Lancamentos!$E$2:$E$2342,C143,Lancamentos!$H$2:$H$2342,"DISTRATO")</f>
        <v/>
      </c>
      <c r="L143" s="10" t="inlineStr">
        <is>
          <t>ESTIMADO - média do período vizinho c/ variação aleatória</t>
        </is>
      </c>
      <c r="M143" s="12">
        <f>IFERROR(INDEX(ContaCorrente!$D:$D,MATCH(A143,ContaCorrente!$A:$A,0)),"")</f>
        <v/>
      </c>
      <c r="N143" s="13">
        <f>IF(AND(ISNUMBER(M143),M143&lt;&gt;0),F143/M143,"")</f>
        <v/>
      </c>
    </row>
    <row r="144">
      <c r="A144" s="9" t="n">
        <v>42583</v>
      </c>
      <c r="B144" s="10">
        <f>YEAR(A144)</f>
        <v/>
      </c>
      <c r="C144" s="10">
        <f>MONTH(A144)</f>
        <v/>
      </c>
      <c r="D144" s="11">
        <f>SUMIFS(Lancamentos!$L$2:$L$2342,Lancamentos!$D$2:$D$2342,B144,Lancamentos!$E$2:$E$2342,C144)-E144</f>
        <v/>
      </c>
      <c r="E144" s="11">
        <f>SUMIFS(Lancamentos!$L$2:$L$2342,Lancamentos!$D$2:$D$2342,B144,Lancamentos!$E$2:$E$2342,C144,Lancamentos!$H$2:$H$2342,"PREMIO")</f>
        <v/>
      </c>
      <c r="F144" s="11">
        <f>D144+E144</f>
        <v/>
      </c>
      <c r="G144" s="12">
        <f>SUMIFS(Estimativas!$F:$F,Estimativas!$A:$A,A144)</f>
        <v/>
      </c>
      <c r="H144" s="11">
        <f>F144+G144</f>
        <v/>
      </c>
      <c r="I144" s="11">
        <f>SUMIFS(Lancamentos!$J$2:$J$2342,Lancamentos!$D$2:$D$2342,B144,Lancamentos!$E$2:$E$2342,C144,Lancamentos!$H$2:$H$2342,"&lt;&gt;DISTRATO")</f>
        <v/>
      </c>
      <c r="J144" s="11">
        <f>F144-I144</f>
        <v/>
      </c>
      <c r="K144" s="11">
        <f>SUMIFS(Lancamentos!$K$2:$K$2342,Lancamentos!$D$2:$D$2342,B144,Lancamentos!$E$2:$E$2342,C144,Lancamentos!$H$2:$H$2342,"DISTRATO")</f>
        <v/>
      </c>
      <c r="L144" s="10" t="inlineStr">
        <is>
          <t>ESTIMADO - média do período vizinho c/ variação aleatória</t>
        </is>
      </c>
      <c r="M144" s="12">
        <f>IFERROR(INDEX(ContaCorrente!$D:$D,MATCH(A144,ContaCorrente!$A:$A,0)),"")</f>
        <v/>
      </c>
      <c r="N144" s="13">
        <f>IF(AND(ISNUMBER(M144),M144&lt;&gt;0),F144/M144,"")</f>
        <v/>
      </c>
    </row>
    <row r="145">
      <c r="A145" s="9" t="n">
        <v>42614</v>
      </c>
      <c r="B145" s="10">
        <f>YEAR(A145)</f>
        <v/>
      </c>
      <c r="C145" s="10">
        <f>MONTH(A145)</f>
        <v/>
      </c>
      <c r="D145" s="11">
        <f>SUMIFS(Lancamentos!$L$2:$L$2342,Lancamentos!$D$2:$D$2342,B145,Lancamentos!$E$2:$E$2342,C145)-E145</f>
        <v/>
      </c>
      <c r="E145" s="11">
        <f>SUMIFS(Lancamentos!$L$2:$L$2342,Lancamentos!$D$2:$D$2342,B145,Lancamentos!$E$2:$E$2342,C145,Lancamentos!$H$2:$H$2342,"PREMIO")</f>
        <v/>
      </c>
      <c r="F145" s="11">
        <f>D145+E145</f>
        <v/>
      </c>
      <c r="G145" s="12">
        <f>SUMIFS(Estimativas!$F:$F,Estimativas!$A:$A,A145)</f>
        <v/>
      </c>
      <c r="H145" s="11">
        <f>F145+G145</f>
        <v/>
      </c>
      <c r="I145" s="11">
        <f>SUMIFS(Lancamentos!$J$2:$J$2342,Lancamentos!$D$2:$D$2342,B145,Lancamentos!$E$2:$E$2342,C145,Lancamentos!$H$2:$H$2342,"&lt;&gt;DISTRATO")</f>
        <v/>
      </c>
      <c r="J145" s="11">
        <f>F145-I145</f>
        <v/>
      </c>
      <c r="K145" s="11">
        <f>SUMIFS(Lancamentos!$K$2:$K$2342,Lancamentos!$D$2:$D$2342,B145,Lancamentos!$E$2:$E$2342,C145,Lancamentos!$H$2:$H$2342,"DISTRATO")</f>
        <v/>
      </c>
      <c r="L145" s="10" t="inlineStr">
        <is>
          <t>ESTIMADO - média do período vizinho c/ variação aleatória</t>
        </is>
      </c>
      <c r="M145" s="12">
        <f>IFERROR(INDEX(ContaCorrente!$D:$D,MATCH(A145,ContaCorrente!$A:$A,0)),"")</f>
        <v/>
      </c>
      <c r="N145" s="13">
        <f>IF(AND(ISNUMBER(M145),M145&lt;&gt;0),F145/M145,"")</f>
        <v/>
      </c>
    </row>
    <row r="146">
      <c r="A146" s="9" t="n">
        <v>42644</v>
      </c>
      <c r="B146" s="10">
        <f>YEAR(A146)</f>
        <v/>
      </c>
      <c r="C146" s="10">
        <f>MONTH(A146)</f>
        <v/>
      </c>
      <c r="D146" s="11">
        <f>SUMIFS(Lancamentos!$L$2:$L$2342,Lancamentos!$D$2:$D$2342,B146,Lancamentos!$E$2:$E$2342,C146)-E146</f>
        <v/>
      </c>
      <c r="E146" s="11">
        <f>SUMIFS(Lancamentos!$L$2:$L$2342,Lancamentos!$D$2:$D$2342,B146,Lancamentos!$E$2:$E$2342,C146,Lancamentos!$H$2:$H$2342,"PREMIO")</f>
        <v/>
      </c>
      <c r="F146" s="11">
        <f>D146+E146</f>
        <v/>
      </c>
      <c r="G146" s="12">
        <f>SUMIFS(Estimativas!$F:$F,Estimativas!$A:$A,A146)</f>
        <v/>
      </c>
      <c r="H146" s="11">
        <f>F146+G146</f>
        <v/>
      </c>
      <c r="I146" s="11">
        <f>SUMIFS(Lancamentos!$J$2:$J$2342,Lancamentos!$D$2:$D$2342,B146,Lancamentos!$E$2:$E$2342,C146,Lancamentos!$H$2:$H$2342,"&lt;&gt;DISTRATO")</f>
        <v/>
      </c>
      <c r="J146" s="11">
        <f>F146-I146</f>
        <v/>
      </c>
      <c r="K146" s="11">
        <f>SUMIFS(Lancamentos!$K$2:$K$2342,Lancamentos!$D$2:$D$2342,B146,Lancamentos!$E$2:$E$2342,C146,Lancamentos!$H$2:$H$2342,"DISTRATO")</f>
        <v/>
      </c>
      <c r="L146" s="10" t="inlineStr">
        <is>
          <t>ESTIMADO - média do período vizinho c/ variação aleatória</t>
        </is>
      </c>
      <c r="M146" s="12">
        <f>IFERROR(INDEX(ContaCorrente!$D:$D,MATCH(A146,ContaCorrente!$A:$A,0)),"")</f>
        <v/>
      </c>
      <c r="N146" s="13">
        <f>IF(AND(ISNUMBER(M146),M146&lt;&gt;0),F146/M146,"")</f>
        <v/>
      </c>
    </row>
    <row r="147">
      <c r="A147" s="9" t="n">
        <v>42675</v>
      </c>
      <c r="B147" s="10">
        <f>YEAR(A147)</f>
        <v/>
      </c>
      <c r="C147" s="10">
        <f>MONTH(A147)</f>
        <v/>
      </c>
      <c r="D147" s="11">
        <f>SUMIFS(Lancamentos!$L$2:$L$2342,Lancamentos!$D$2:$D$2342,B147,Lancamentos!$E$2:$E$2342,C147)-E147</f>
        <v/>
      </c>
      <c r="E147" s="11">
        <f>SUMIFS(Lancamentos!$L$2:$L$2342,Lancamentos!$D$2:$D$2342,B147,Lancamentos!$E$2:$E$2342,C147,Lancamentos!$H$2:$H$2342,"PREMIO")</f>
        <v/>
      </c>
      <c r="F147" s="11">
        <f>D147+E147</f>
        <v/>
      </c>
      <c r="G147" s="12">
        <f>SUMIFS(Estimativas!$F:$F,Estimativas!$A:$A,A147)</f>
        <v/>
      </c>
      <c r="H147" s="11">
        <f>F147+G147</f>
        <v/>
      </c>
      <c r="I147" s="11">
        <f>SUMIFS(Lancamentos!$J$2:$J$2342,Lancamentos!$D$2:$D$2342,B147,Lancamentos!$E$2:$E$2342,C147,Lancamentos!$H$2:$H$2342,"&lt;&gt;DISTRATO")</f>
        <v/>
      </c>
      <c r="J147" s="11">
        <f>F147-I147</f>
        <v/>
      </c>
      <c r="K147" s="11">
        <f>SUMIFS(Lancamentos!$K$2:$K$2342,Lancamentos!$D$2:$D$2342,B147,Lancamentos!$E$2:$E$2342,C147,Lancamentos!$H$2:$H$2342,"DISTRATO")</f>
        <v/>
      </c>
      <c r="L147" s="10" t="inlineStr">
        <is>
          <t>ESTIMADO - média do período vizinho c/ variação aleatória</t>
        </is>
      </c>
      <c r="M147" s="12">
        <f>IFERROR(INDEX(ContaCorrente!$D:$D,MATCH(A147,ContaCorrente!$A:$A,0)),"")</f>
        <v/>
      </c>
      <c r="N147" s="13">
        <f>IF(AND(ISNUMBER(M147),M147&lt;&gt;0),F147/M147,"")</f>
        <v/>
      </c>
    </row>
    <row r="148">
      <c r="A148" s="9" t="n">
        <v>42705</v>
      </c>
      <c r="B148" s="10">
        <f>YEAR(A148)</f>
        <v/>
      </c>
      <c r="C148" s="10">
        <f>MONTH(A148)</f>
        <v/>
      </c>
      <c r="D148" s="11">
        <f>SUMIFS(Lancamentos!$L$2:$L$2342,Lancamentos!$D$2:$D$2342,B148,Lancamentos!$E$2:$E$2342,C148)-E148</f>
        <v/>
      </c>
      <c r="E148" s="11">
        <f>SUMIFS(Lancamentos!$L$2:$L$2342,Lancamentos!$D$2:$D$2342,B148,Lancamentos!$E$2:$E$2342,C148,Lancamentos!$H$2:$H$2342,"PREMIO")</f>
        <v/>
      </c>
      <c r="F148" s="11">
        <f>D148+E148</f>
        <v/>
      </c>
      <c r="G148" s="12">
        <f>SUMIFS(Estimativas!$F:$F,Estimativas!$A:$A,A148)</f>
        <v/>
      </c>
      <c r="H148" s="11">
        <f>F148+G148</f>
        <v/>
      </c>
      <c r="I148" s="11">
        <f>SUMIFS(Lancamentos!$J$2:$J$2342,Lancamentos!$D$2:$D$2342,B148,Lancamentos!$E$2:$E$2342,C148,Lancamentos!$H$2:$H$2342,"&lt;&gt;DISTRATO")</f>
        <v/>
      </c>
      <c r="J148" s="11">
        <f>F148-I148</f>
        <v/>
      </c>
      <c r="K148" s="11">
        <f>SUMIFS(Lancamentos!$K$2:$K$2342,Lancamentos!$D$2:$D$2342,B148,Lancamentos!$E$2:$E$2342,C148,Lancamentos!$H$2:$H$2342,"DISTRATO")</f>
        <v/>
      </c>
      <c r="L148" s="10" t="inlineStr">
        <is>
          <t>ESTIMADO - média do período vizinho c/ variação aleatória</t>
        </is>
      </c>
      <c r="M148" s="12">
        <f>IFERROR(INDEX(ContaCorrente!$D:$D,MATCH(A148,ContaCorrente!$A:$A,0)),"")</f>
        <v/>
      </c>
      <c r="N148" s="13">
        <f>IF(AND(ISNUMBER(M148),M148&lt;&gt;0),F148/M148,"")</f>
        <v/>
      </c>
    </row>
    <row r="149">
      <c r="A149" s="9" t="n">
        <v>42736</v>
      </c>
      <c r="B149" s="10">
        <f>YEAR(A149)</f>
        <v/>
      </c>
      <c r="C149" s="10">
        <f>MONTH(A149)</f>
        <v/>
      </c>
      <c r="D149" s="11">
        <f>SUMIFS(Lancamentos!$L$2:$L$2342,Lancamentos!$D$2:$D$2342,B149,Lancamentos!$E$2:$E$2342,C149)-E149</f>
        <v/>
      </c>
      <c r="E149" s="11">
        <f>SUMIFS(Lancamentos!$L$2:$L$2342,Lancamentos!$D$2:$D$2342,B149,Lancamentos!$E$2:$E$2342,C149,Lancamentos!$H$2:$H$2342,"PREMIO")</f>
        <v/>
      </c>
      <c r="F149" s="11">
        <f>D149+E149</f>
        <v/>
      </c>
      <c r="G149" s="12">
        <f>SUMIFS(Estimativas!$F:$F,Estimativas!$A:$A,A149)</f>
        <v/>
      </c>
      <c r="H149" s="11">
        <f>F149+G149</f>
        <v/>
      </c>
      <c r="I149" s="11">
        <f>SUMIFS(Lancamentos!$J$2:$J$2342,Lancamentos!$D$2:$D$2342,B149,Lancamentos!$E$2:$E$2342,C149,Lancamentos!$H$2:$H$2342,"&lt;&gt;DISTRATO")</f>
        <v/>
      </c>
      <c r="J149" s="11">
        <f>F149-I149</f>
        <v/>
      </c>
      <c r="K149" s="11">
        <f>SUMIFS(Lancamentos!$K$2:$K$2342,Lancamentos!$D$2:$D$2342,B149,Lancamentos!$E$2:$E$2342,C149,Lancamentos!$H$2:$H$2342,"DISTRATO")</f>
        <v/>
      </c>
      <c r="L149" s="10" t="inlineStr">
        <is>
          <t>ESTIMADO - média do período vizinho c/ variação aleatória</t>
        </is>
      </c>
      <c r="M149" s="12">
        <f>IFERROR(INDEX(ContaCorrente!$D:$D,MATCH(A149,ContaCorrente!$A:$A,0)),"")</f>
        <v/>
      </c>
      <c r="N149" s="13">
        <f>IF(AND(ISNUMBER(M149),M149&lt;&gt;0),F149/M149,"")</f>
        <v/>
      </c>
    </row>
    <row r="150">
      <c r="A150" s="9" t="n">
        <v>42767</v>
      </c>
      <c r="B150" s="10">
        <f>YEAR(A150)</f>
        <v/>
      </c>
      <c r="C150" s="10">
        <f>MONTH(A150)</f>
        <v/>
      </c>
      <c r="D150" s="11">
        <f>SUMIFS(Lancamentos!$L$2:$L$2342,Lancamentos!$D$2:$D$2342,B150,Lancamentos!$E$2:$E$2342,C150)-E150</f>
        <v/>
      </c>
      <c r="E150" s="11">
        <f>SUMIFS(Lancamentos!$L$2:$L$2342,Lancamentos!$D$2:$D$2342,B150,Lancamentos!$E$2:$E$2342,C150,Lancamentos!$H$2:$H$2342,"PREMIO")</f>
        <v/>
      </c>
      <c r="F150" s="11">
        <f>D150+E150</f>
        <v/>
      </c>
      <c r="G150" s="12">
        <f>SUMIFS(Estimativas!$F:$F,Estimativas!$A:$A,A150)</f>
        <v/>
      </c>
      <c r="H150" s="11">
        <f>F150+G150</f>
        <v/>
      </c>
      <c r="I150" s="11">
        <f>SUMIFS(Lancamentos!$J$2:$J$2342,Lancamentos!$D$2:$D$2342,B150,Lancamentos!$E$2:$E$2342,C150,Lancamentos!$H$2:$H$2342,"&lt;&gt;DISTRATO")</f>
        <v/>
      </c>
      <c r="J150" s="11">
        <f>F150-I150</f>
        <v/>
      </c>
      <c r="K150" s="11">
        <f>SUMIFS(Lancamentos!$K$2:$K$2342,Lancamentos!$D$2:$D$2342,B150,Lancamentos!$E$2:$E$2342,C150,Lancamentos!$H$2:$H$2342,"DISTRATO")</f>
        <v/>
      </c>
      <c r="L150" s="10" t="inlineStr">
        <is>
          <t>ESTIMADO - média do período vizinho c/ variação aleatória</t>
        </is>
      </c>
      <c r="M150" s="12">
        <f>IFERROR(INDEX(ContaCorrente!$D:$D,MATCH(A150,ContaCorrente!$A:$A,0)),"")</f>
        <v/>
      </c>
      <c r="N150" s="13">
        <f>IF(AND(ISNUMBER(M150),M150&lt;&gt;0),F150/M150,"")</f>
        <v/>
      </c>
    </row>
    <row r="151">
      <c r="A151" s="9" t="n">
        <v>42795</v>
      </c>
      <c r="B151" s="10">
        <f>YEAR(A151)</f>
        <v/>
      </c>
      <c r="C151" s="10">
        <f>MONTH(A151)</f>
        <v/>
      </c>
      <c r="D151" s="11">
        <f>SUMIFS(Lancamentos!$L$2:$L$2342,Lancamentos!$D$2:$D$2342,B151,Lancamentos!$E$2:$E$2342,C151)-E151</f>
        <v/>
      </c>
      <c r="E151" s="11">
        <f>SUMIFS(Lancamentos!$L$2:$L$2342,Lancamentos!$D$2:$D$2342,B151,Lancamentos!$E$2:$E$2342,C151,Lancamentos!$H$2:$H$2342,"PREMIO")</f>
        <v/>
      </c>
      <c r="F151" s="11">
        <f>D151+E151</f>
        <v/>
      </c>
      <c r="G151" s="12">
        <f>SUMIFS(Estimativas!$F:$F,Estimativas!$A:$A,A151)</f>
        <v/>
      </c>
      <c r="H151" s="11">
        <f>F151+G151</f>
        <v/>
      </c>
      <c r="I151" s="11">
        <f>SUMIFS(Lancamentos!$J$2:$J$2342,Lancamentos!$D$2:$D$2342,B151,Lancamentos!$E$2:$E$2342,C151,Lancamentos!$H$2:$H$2342,"&lt;&gt;DISTRATO")</f>
        <v/>
      </c>
      <c r="J151" s="11">
        <f>F151-I151</f>
        <v/>
      </c>
      <c r="K151" s="11">
        <f>SUMIFS(Lancamentos!$K$2:$K$2342,Lancamentos!$D$2:$D$2342,B151,Lancamentos!$E$2:$E$2342,C151,Lancamentos!$H$2:$H$2342,"DISTRATO")</f>
        <v/>
      </c>
      <c r="L151" s="10" t="inlineStr">
        <is>
          <t>ESTIMADO - média do período vizinho c/ variação aleatória</t>
        </is>
      </c>
      <c r="M151" s="12">
        <f>IFERROR(INDEX(ContaCorrente!$D:$D,MATCH(A151,ContaCorrente!$A:$A,0)),"")</f>
        <v/>
      </c>
      <c r="N151" s="13">
        <f>IF(AND(ISNUMBER(M151),M151&lt;&gt;0),F151/M151,"")</f>
        <v/>
      </c>
    </row>
    <row r="152">
      <c r="A152" s="9" t="n">
        <v>42826</v>
      </c>
      <c r="B152" s="10">
        <f>YEAR(A152)</f>
        <v/>
      </c>
      <c r="C152" s="10">
        <f>MONTH(A152)</f>
        <v/>
      </c>
      <c r="D152" s="11">
        <f>SUMIFS(Lancamentos!$L$2:$L$2342,Lancamentos!$D$2:$D$2342,B152,Lancamentos!$E$2:$E$2342,C152)-E152</f>
        <v/>
      </c>
      <c r="E152" s="11">
        <f>SUMIFS(Lancamentos!$L$2:$L$2342,Lancamentos!$D$2:$D$2342,B152,Lancamentos!$E$2:$E$2342,C152,Lancamentos!$H$2:$H$2342,"PREMIO")</f>
        <v/>
      </c>
      <c r="F152" s="11">
        <f>D152+E152</f>
        <v/>
      </c>
      <c r="G152" s="12">
        <f>SUMIFS(Estimativas!$F:$F,Estimativas!$A:$A,A152)</f>
        <v/>
      </c>
      <c r="H152" s="11">
        <f>F152+G152</f>
        <v/>
      </c>
      <c r="I152" s="11">
        <f>SUMIFS(Lancamentos!$J$2:$J$2342,Lancamentos!$D$2:$D$2342,B152,Lancamentos!$E$2:$E$2342,C152,Lancamentos!$H$2:$H$2342,"&lt;&gt;DISTRATO")</f>
        <v/>
      </c>
      <c r="J152" s="11">
        <f>F152-I152</f>
        <v/>
      </c>
      <c r="K152" s="11">
        <f>SUMIFS(Lancamentos!$K$2:$K$2342,Lancamentos!$D$2:$D$2342,B152,Lancamentos!$E$2:$E$2342,C152,Lancamentos!$H$2:$H$2342,"DISTRATO")</f>
        <v/>
      </c>
      <c r="L152" s="10" t="inlineStr">
        <is>
          <t>ESTIMADO - média do período vizinho c/ variação aleatória</t>
        </is>
      </c>
      <c r="M152" s="12">
        <f>IFERROR(INDEX(ContaCorrente!$D:$D,MATCH(A152,ContaCorrente!$A:$A,0)),"")</f>
        <v/>
      </c>
      <c r="N152" s="13">
        <f>IF(AND(ISNUMBER(M152),M152&lt;&gt;0),F152/M152,"")</f>
        <v/>
      </c>
    </row>
    <row r="153">
      <c r="A153" s="9" t="n">
        <v>42856</v>
      </c>
      <c r="B153" s="10">
        <f>YEAR(A153)</f>
        <v/>
      </c>
      <c r="C153" s="10">
        <f>MONTH(A153)</f>
        <v/>
      </c>
      <c r="D153" s="11">
        <f>SUMIFS(Lancamentos!$L$2:$L$2342,Lancamentos!$D$2:$D$2342,B153,Lancamentos!$E$2:$E$2342,C153)-E153</f>
        <v/>
      </c>
      <c r="E153" s="11">
        <f>SUMIFS(Lancamentos!$L$2:$L$2342,Lancamentos!$D$2:$D$2342,B153,Lancamentos!$E$2:$E$2342,C153,Lancamentos!$H$2:$H$2342,"PREMIO")</f>
        <v/>
      </c>
      <c r="F153" s="11">
        <f>D153+E153</f>
        <v/>
      </c>
      <c r="G153" s="12">
        <f>SUMIFS(Estimativas!$F:$F,Estimativas!$A:$A,A153)</f>
        <v/>
      </c>
      <c r="H153" s="11">
        <f>F153+G153</f>
        <v/>
      </c>
      <c r="I153" s="11">
        <f>SUMIFS(Lancamentos!$J$2:$J$2342,Lancamentos!$D$2:$D$2342,B153,Lancamentos!$E$2:$E$2342,C153,Lancamentos!$H$2:$H$2342,"&lt;&gt;DISTRATO")</f>
        <v/>
      </c>
      <c r="J153" s="11">
        <f>F153-I153</f>
        <v/>
      </c>
      <c r="K153" s="11">
        <f>SUMIFS(Lancamentos!$K$2:$K$2342,Lancamentos!$D$2:$D$2342,B153,Lancamentos!$E$2:$E$2342,C153,Lancamentos!$H$2:$H$2342,"DISTRATO")</f>
        <v/>
      </c>
      <c r="L153" s="10" t="inlineStr">
        <is>
          <t>ESTIMADO - média do período vizinho c/ variação aleatória</t>
        </is>
      </c>
      <c r="M153" s="12">
        <f>IFERROR(INDEX(ContaCorrente!$D:$D,MATCH(A153,ContaCorrente!$A:$A,0)),"")</f>
        <v/>
      </c>
      <c r="N153" s="13">
        <f>IF(AND(ISNUMBER(M153),M153&lt;&gt;0),F153/M153,"")</f>
        <v/>
      </c>
    </row>
    <row r="154">
      <c r="A154" s="4" t="n">
        <v>42887</v>
      </c>
      <c r="B154" s="5">
        <f>YEAR(A154)</f>
        <v/>
      </c>
      <c r="C154" s="5">
        <f>MONTH(A154)</f>
        <v/>
      </c>
      <c r="D154" s="6">
        <f>SUMIFS(Lancamentos!$L$2:$L$2342,Lancamentos!$D$2:$D$2342,B154,Lancamentos!$E$2:$E$2342,C154)-E154</f>
        <v/>
      </c>
      <c r="E154" s="6">
        <f>SUMIFS(Lancamentos!$L$2:$L$2342,Lancamentos!$D$2:$D$2342,B154,Lancamentos!$E$2:$E$2342,C154,Lancamentos!$H$2:$H$2342,"PREMIO")</f>
        <v/>
      </c>
      <c r="F154" s="6">
        <f>D154+E154</f>
        <v/>
      </c>
      <c r="G154" s="7">
        <f>SUMIFS(Estimativas!$F:$F,Estimativas!$A:$A,A154)</f>
        <v/>
      </c>
      <c r="H154" s="6">
        <f>F154+G154</f>
        <v/>
      </c>
      <c r="I154" s="6">
        <f>SUMIFS(Lancamentos!$J$2:$J$2342,Lancamentos!$D$2:$D$2342,B154,Lancamentos!$E$2:$E$2342,C154,Lancamentos!$H$2:$H$2342,"&lt;&gt;DISTRATO")</f>
        <v/>
      </c>
      <c r="J154" s="6">
        <f>F154-I154</f>
        <v/>
      </c>
      <c r="K154" s="6">
        <f>SUMIFS(Lancamentos!$K$2:$K$2342,Lancamentos!$D$2:$D$2342,B154,Lancamentos!$E$2:$E$2342,C154,Lancamentos!$H$2:$H$2342,"DISTRATO")</f>
        <v/>
      </c>
      <c r="L154" s="5" t="inlineStr">
        <is>
          <t>Pago</t>
        </is>
      </c>
      <c r="M154" s="7">
        <f>IFERROR(INDEX(ContaCorrente!$D:$D,MATCH(A154,ContaCorrente!$A:$A,0)),"")</f>
        <v/>
      </c>
      <c r="N154" s="8">
        <f>IF(AND(ISNUMBER(M154),M154&lt;&gt;0),F154/M154,"")</f>
        <v/>
      </c>
    </row>
    <row r="155">
      <c r="A155" s="4" t="n">
        <v>42917</v>
      </c>
      <c r="B155" s="5">
        <f>YEAR(A155)</f>
        <v/>
      </c>
      <c r="C155" s="5">
        <f>MONTH(A155)</f>
        <v/>
      </c>
      <c r="D155" s="6">
        <f>SUMIFS(Lancamentos!$L$2:$L$2342,Lancamentos!$D$2:$D$2342,B155,Lancamentos!$E$2:$E$2342,C155)-E155</f>
        <v/>
      </c>
      <c r="E155" s="6">
        <f>SUMIFS(Lancamentos!$L$2:$L$2342,Lancamentos!$D$2:$D$2342,B155,Lancamentos!$E$2:$E$2342,C155,Lancamentos!$H$2:$H$2342,"PREMIO")</f>
        <v/>
      </c>
      <c r="F155" s="6">
        <f>D155+E155</f>
        <v/>
      </c>
      <c r="G155" s="7">
        <f>SUMIFS(Estimativas!$F:$F,Estimativas!$A:$A,A155)</f>
        <v/>
      </c>
      <c r="H155" s="6">
        <f>F155+G155</f>
        <v/>
      </c>
      <c r="I155" s="6">
        <f>SUMIFS(Lancamentos!$J$2:$J$2342,Lancamentos!$D$2:$D$2342,B155,Lancamentos!$E$2:$E$2342,C155,Lancamentos!$H$2:$H$2342,"&lt;&gt;DISTRATO")</f>
        <v/>
      </c>
      <c r="J155" s="6">
        <f>F155-I155</f>
        <v/>
      </c>
      <c r="K155" s="6">
        <f>SUMIFS(Lancamentos!$K$2:$K$2342,Lancamentos!$D$2:$D$2342,B155,Lancamentos!$E$2:$E$2342,C155,Lancamentos!$H$2:$H$2342,"DISTRATO")</f>
        <v/>
      </c>
      <c r="L155" s="5" t="inlineStr">
        <is>
          <t>Pago</t>
        </is>
      </c>
      <c r="M155" s="7">
        <f>IFERROR(INDEX(ContaCorrente!$D:$D,MATCH(A155,ContaCorrente!$A:$A,0)),"")</f>
        <v/>
      </c>
      <c r="N155" s="8">
        <f>IF(AND(ISNUMBER(M155),M155&lt;&gt;0),F155/M155,"")</f>
        <v/>
      </c>
    </row>
    <row r="156">
      <c r="A156" s="4" t="n">
        <v>42948</v>
      </c>
      <c r="B156" s="5">
        <f>YEAR(A156)</f>
        <v/>
      </c>
      <c r="C156" s="5">
        <f>MONTH(A156)</f>
        <v/>
      </c>
      <c r="D156" s="6">
        <f>SUMIFS(Lancamentos!$L$2:$L$2342,Lancamentos!$D$2:$D$2342,B156,Lancamentos!$E$2:$E$2342,C156)-E156</f>
        <v/>
      </c>
      <c r="E156" s="6">
        <f>SUMIFS(Lancamentos!$L$2:$L$2342,Lancamentos!$D$2:$D$2342,B156,Lancamentos!$E$2:$E$2342,C156,Lancamentos!$H$2:$H$2342,"PREMIO")</f>
        <v/>
      </c>
      <c r="F156" s="6">
        <f>D156+E156</f>
        <v/>
      </c>
      <c r="G156" s="7">
        <f>SUMIFS(Estimativas!$F:$F,Estimativas!$A:$A,A156)</f>
        <v/>
      </c>
      <c r="H156" s="6">
        <f>F156+G156</f>
        <v/>
      </c>
      <c r="I156" s="6">
        <f>SUMIFS(Lancamentos!$J$2:$J$2342,Lancamentos!$D$2:$D$2342,B156,Lancamentos!$E$2:$E$2342,C156,Lancamentos!$H$2:$H$2342,"&lt;&gt;DISTRATO")</f>
        <v/>
      </c>
      <c r="J156" s="6">
        <f>F156-I156</f>
        <v/>
      </c>
      <c r="K156" s="6">
        <f>SUMIFS(Lancamentos!$K$2:$K$2342,Lancamentos!$D$2:$D$2342,B156,Lancamentos!$E$2:$E$2342,C156,Lancamentos!$H$2:$H$2342,"DISTRATO")</f>
        <v/>
      </c>
      <c r="L156" s="5" t="inlineStr">
        <is>
          <t>Pago</t>
        </is>
      </c>
      <c r="M156" s="7">
        <f>IFERROR(INDEX(ContaCorrente!$D:$D,MATCH(A156,ContaCorrente!$A:$A,0)),"")</f>
        <v/>
      </c>
      <c r="N156" s="8">
        <f>IF(AND(ISNUMBER(M156),M156&lt;&gt;0),F156/M156,"")</f>
        <v/>
      </c>
    </row>
    <row r="157">
      <c r="A157" s="4" t="n">
        <v>42979</v>
      </c>
      <c r="B157" s="5">
        <f>YEAR(A157)</f>
        <v/>
      </c>
      <c r="C157" s="5">
        <f>MONTH(A157)</f>
        <v/>
      </c>
      <c r="D157" s="6">
        <f>SUMIFS(Lancamentos!$L$2:$L$2342,Lancamentos!$D$2:$D$2342,B157,Lancamentos!$E$2:$E$2342,C157)-E157</f>
        <v/>
      </c>
      <c r="E157" s="6">
        <f>SUMIFS(Lancamentos!$L$2:$L$2342,Lancamentos!$D$2:$D$2342,B157,Lancamentos!$E$2:$E$2342,C157,Lancamentos!$H$2:$H$2342,"PREMIO")</f>
        <v/>
      </c>
      <c r="F157" s="6">
        <f>D157+E157</f>
        <v/>
      </c>
      <c r="G157" s="7">
        <f>SUMIFS(Estimativas!$F:$F,Estimativas!$A:$A,A157)</f>
        <v/>
      </c>
      <c r="H157" s="6">
        <f>F157+G157</f>
        <v/>
      </c>
      <c r="I157" s="6">
        <f>SUMIFS(Lancamentos!$J$2:$J$2342,Lancamentos!$D$2:$D$2342,B157,Lancamentos!$E$2:$E$2342,C157,Lancamentos!$H$2:$H$2342,"&lt;&gt;DISTRATO")</f>
        <v/>
      </c>
      <c r="J157" s="6">
        <f>F157-I157</f>
        <v/>
      </c>
      <c r="K157" s="6">
        <f>SUMIFS(Lancamentos!$K$2:$K$2342,Lancamentos!$D$2:$D$2342,B157,Lancamentos!$E$2:$E$2342,C157,Lancamentos!$H$2:$H$2342,"DISTRATO")</f>
        <v/>
      </c>
      <c r="L157" s="5" t="inlineStr">
        <is>
          <t>Pago</t>
        </is>
      </c>
      <c r="M157" s="7">
        <f>IFERROR(INDEX(ContaCorrente!$D:$D,MATCH(A157,ContaCorrente!$A:$A,0)),"")</f>
        <v/>
      </c>
      <c r="N157" s="8">
        <f>IF(AND(ISNUMBER(M157),M157&lt;&gt;0),F157/M157,"")</f>
        <v/>
      </c>
    </row>
    <row r="158">
      <c r="A158" s="4" t="n">
        <v>43009</v>
      </c>
      <c r="B158" s="5">
        <f>YEAR(A158)</f>
        <v/>
      </c>
      <c r="C158" s="5">
        <f>MONTH(A158)</f>
        <v/>
      </c>
      <c r="D158" s="6">
        <f>SUMIFS(Lancamentos!$L$2:$L$2342,Lancamentos!$D$2:$D$2342,B158,Lancamentos!$E$2:$E$2342,C158)-E158</f>
        <v/>
      </c>
      <c r="E158" s="6">
        <f>SUMIFS(Lancamentos!$L$2:$L$2342,Lancamentos!$D$2:$D$2342,B158,Lancamentos!$E$2:$E$2342,C158,Lancamentos!$H$2:$H$2342,"PREMIO")</f>
        <v/>
      </c>
      <c r="F158" s="6">
        <f>D158+E158</f>
        <v/>
      </c>
      <c r="G158" s="7">
        <f>SUMIFS(Estimativas!$F:$F,Estimativas!$A:$A,A158)</f>
        <v/>
      </c>
      <c r="H158" s="6">
        <f>F158+G158</f>
        <v/>
      </c>
      <c r="I158" s="6">
        <f>SUMIFS(Lancamentos!$J$2:$J$2342,Lancamentos!$D$2:$D$2342,B158,Lancamentos!$E$2:$E$2342,C158,Lancamentos!$H$2:$H$2342,"&lt;&gt;DISTRATO")</f>
        <v/>
      </c>
      <c r="J158" s="6">
        <f>F158-I158</f>
        <v/>
      </c>
      <c r="K158" s="6">
        <f>SUMIFS(Lancamentos!$K$2:$K$2342,Lancamentos!$D$2:$D$2342,B158,Lancamentos!$E$2:$E$2342,C158,Lancamentos!$H$2:$H$2342,"DISTRATO")</f>
        <v/>
      </c>
      <c r="L158" s="5" t="inlineStr">
        <is>
          <t>Pago</t>
        </is>
      </c>
      <c r="M158" s="7">
        <f>IFERROR(INDEX(ContaCorrente!$D:$D,MATCH(A158,ContaCorrente!$A:$A,0)),"")</f>
        <v/>
      </c>
      <c r="N158" s="8">
        <f>IF(AND(ISNUMBER(M158),M158&lt;&gt;0),F158/M158,"")</f>
        <v/>
      </c>
    </row>
    <row r="159">
      <c r="A159" s="4" t="n">
        <v>43040</v>
      </c>
      <c r="B159" s="5">
        <f>YEAR(A159)</f>
        <v/>
      </c>
      <c r="C159" s="5">
        <f>MONTH(A159)</f>
        <v/>
      </c>
      <c r="D159" s="6">
        <f>SUMIFS(Lancamentos!$L$2:$L$2342,Lancamentos!$D$2:$D$2342,B159,Lancamentos!$E$2:$E$2342,C159)-E159</f>
        <v/>
      </c>
      <c r="E159" s="6">
        <f>SUMIFS(Lancamentos!$L$2:$L$2342,Lancamentos!$D$2:$D$2342,B159,Lancamentos!$E$2:$E$2342,C159,Lancamentos!$H$2:$H$2342,"PREMIO")</f>
        <v/>
      </c>
      <c r="F159" s="6">
        <f>D159+E159</f>
        <v/>
      </c>
      <c r="G159" s="7">
        <f>SUMIFS(Estimativas!$F:$F,Estimativas!$A:$A,A159)</f>
        <v/>
      </c>
      <c r="H159" s="6">
        <f>F159+G159</f>
        <v/>
      </c>
      <c r="I159" s="6">
        <f>SUMIFS(Lancamentos!$J$2:$J$2342,Lancamentos!$D$2:$D$2342,B159,Lancamentos!$E$2:$E$2342,C159,Lancamentos!$H$2:$H$2342,"&lt;&gt;DISTRATO")</f>
        <v/>
      </c>
      <c r="J159" s="6">
        <f>F159-I159</f>
        <v/>
      </c>
      <c r="K159" s="6">
        <f>SUMIFS(Lancamentos!$K$2:$K$2342,Lancamentos!$D$2:$D$2342,B159,Lancamentos!$E$2:$E$2342,C159,Lancamentos!$H$2:$H$2342,"DISTRATO")</f>
        <v/>
      </c>
      <c r="L159" s="5" t="inlineStr">
        <is>
          <t>Pago</t>
        </is>
      </c>
      <c r="M159" s="7">
        <f>IFERROR(INDEX(ContaCorrente!$D:$D,MATCH(A159,ContaCorrente!$A:$A,0)),"")</f>
        <v/>
      </c>
      <c r="N159" s="8">
        <f>IF(AND(ISNUMBER(M159),M159&lt;&gt;0),F159/M159,"")</f>
        <v/>
      </c>
    </row>
    <row r="160">
      <c r="A160" s="4" t="n">
        <v>43070</v>
      </c>
      <c r="B160" s="5">
        <f>YEAR(A160)</f>
        <v/>
      </c>
      <c r="C160" s="5">
        <f>MONTH(A160)</f>
        <v/>
      </c>
      <c r="D160" s="6">
        <f>SUMIFS(Lancamentos!$L$2:$L$2342,Lancamentos!$D$2:$D$2342,B160,Lancamentos!$E$2:$E$2342,C160)-E160</f>
        <v/>
      </c>
      <c r="E160" s="6">
        <f>SUMIFS(Lancamentos!$L$2:$L$2342,Lancamentos!$D$2:$D$2342,B160,Lancamentos!$E$2:$E$2342,C160,Lancamentos!$H$2:$H$2342,"PREMIO")</f>
        <v/>
      </c>
      <c r="F160" s="6">
        <f>D160+E160</f>
        <v/>
      </c>
      <c r="G160" s="7">
        <f>SUMIFS(Estimativas!$F:$F,Estimativas!$A:$A,A160)</f>
        <v/>
      </c>
      <c r="H160" s="6">
        <f>F160+G160</f>
        <v/>
      </c>
      <c r="I160" s="6">
        <f>SUMIFS(Lancamentos!$J$2:$J$2342,Lancamentos!$D$2:$D$2342,B160,Lancamentos!$E$2:$E$2342,C160,Lancamentos!$H$2:$H$2342,"&lt;&gt;DISTRATO")</f>
        <v/>
      </c>
      <c r="J160" s="6">
        <f>F160-I160</f>
        <v/>
      </c>
      <c r="K160" s="6">
        <f>SUMIFS(Lancamentos!$K$2:$K$2342,Lancamentos!$D$2:$D$2342,B160,Lancamentos!$E$2:$E$2342,C160,Lancamentos!$H$2:$H$2342,"DISTRATO")</f>
        <v/>
      </c>
      <c r="L160" s="5" t="inlineStr">
        <is>
          <t>Pago</t>
        </is>
      </c>
      <c r="M160" s="7">
        <f>IFERROR(INDEX(ContaCorrente!$D:$D,MATCH(A160,ContaCorrente!$A:$A,0)),"")</f>
        <v/>
      </c>
      <c r="N160" s="8">
        <f>IF(AND(ISNUMBER(M160),M160&lt;&gt;0),F160/M160,"")</f>
        <v/>
      </c>
    </row>
    <row r="161">
      <c r="A161" s="4" t="n">
        <v>43101</v>
      </c>
      <c r="B161" s="5">
        <f>YEAR(A161)</f>
        <v/>
      </c>
      <c r="C161" s="5">
        <f>MONTH(A161)</f>
        <v/>
      </c>
      <c r="D161" s="6">
        <f>SUMIFS(Lancamentos!$L$2:$L$2342,Lancamentos!$D$2:$D$2342,B161,Lancamentos!$E$2:$E$2342,C161)-E161</f>
        <v/>
      </c>
      <c r="E161" s="6">
        <f>SUMIFS(Lancamentos!$L$2:$L$2342,Lancamentos!$D$2:$D$2342,B161,Lancamentos!$E$2:$E$2342,C161,Lancamentos!$H$2:$H$2342,"PREMIO")</f>
        <v/>
      </c>
      <c r="F161" s="6">
        <f>D161+E161</f>
        <v/>
      </c>
      <c r="G161" s="7">
        <f>SUMIFS(Estimativas!$F:$F,Estimativas!$A:$A,A161)</f>
        <v/>
      </c>
      <c r="H161" s="6">
        <f>F161+G161</f>
        <v/>
      </c>
      <c r="I161" s="6">
        <f>SUMIFS(Lancamentos!$J$2:$J$2342,Lancamentos!$D$2:$D$2342,B161,Lancamentos!$E$2:$E$2342,C161,Lancamentos!$H$2:$H$2342,"&lt;&gt;DISTRATO")</f>
        <v/>
      </c>
      <c r="J161" s="6">
        <f>F161-I161</f>
        <v/>
      </c>
      <c r="K161" s="6">
        <f>SUMIFS(Lancamentos!$K$2:$K$2342,Lancamentos!$D$2:$D$2342,B161,Lancamentos!$E$2:$E$2342,C161,Lancamentos!$H$2:$H$2342,"DISTRATO")</f>
        <v/>
      </c>
      <c r="L161" s="5" t="inlineStr">
        <is>
          <t>Pago</t>
        </is>
      </c>
      <c r="M161" s="7">
        <f>IFERROR(INDEX(ContaCorrente!$D:$D,MATCH(A161,ContaCorrente!$A:$A,0)),"")</f>
        <v/>
      </c>
      <c r="N161" s="8">
        <f>IF(AND(ISNUMBER(M161),M161&lt;&gt;0),F161/M161,"")</f>
        <v/>
      </c>
    </row>
    <row r="162">
      <c r="A162" s="4" t="n">
        <v>43132</v>
      </c>
      <c r="B162" s="5">
        <f>YEAR(A162)</f>
        <v/>
      </c>
      <c r="C162" s="5">
        <f>MONTH(A162)</f>
        <v/>
      </c>
      <c r="D162" s="6">
        <f>SUMIFS(Lancamentos!$L$2:$L$2342,Lancamentos!$D$2:$D$2342,B162,Lancamentos!$E$2:$E$2342,C162)-E162</f>
        <v/>
      </c>
      <c r="E162" s="6">
        <f>SUMIFS(Lancamentos!$L$2:$L$2342,Lancamentos!$D$2:$D$2342,B162,Lancamentos!$E$2:$E$2342,C162,Lancamentos!$H$2:$H$2342,"PREMIO")</f>
        <v/>
      </c>
      <c r="F162" s="6">
        <f>D162+E162</f>
        <v/>
      </c>
      <c r="G162" s="7">
        <f>SUMIFS(Estimativas!$F:$F,Estimativas!$A:$A,A162)</f>
        <v/>
      </c>
      <c r="H162" s="6">
        <f>F162+G162</f>
        <v/>
      </c>
      <c r="I162" s="6">
        <f>SUMIFS(Lancamentos!$J$2:$J$2342,Lancamentos!$D$2:$D$2342,B162,Lancamentos!$E$2:$E$2342,C162,Lancamentos!$H$2:$H$2342,"&lt;&gt;DISTRATO")</f>
        <v/>
      </c>
      <c r="J162" s="6">
        <f>F162-I162</f>
        <v/>
      </c>
      <c r="K162" s="6">
        <f>SUMIFS(Lancamentos!$K$2:$K$2342,Lancamentos!$D$2:$D$2342,B162,Lancamentos!$E$2:$E$2342,C162,Lancamentos!$H$2:$H$2342,"DISTRATO")</f>
        <v/>
      </c>
      <c r="L162" s="5" t="inlineStr">
        <is>
          <t>Pago</t>
        </is>
      </c>
      <c r="M162" s="7">
        <f>IFERROR(INDEX(ContaCorrente!$D:$D,MATCH(A162,ContaCorrente!$A:$A,0)),"")</f>
        <v/>
      </c>
      <c r="N162" s="8">
        <f>IF(AND(ISNUMBER(M162),M162&lt;&gt;0),F162/M162,"")</f>
        <v/>
      </c>
    </row>
    <row r="163">
      <c r="A163" s="4" t="n">
        <v>43160</v>
      </c>
      <c r="B163" s="5">
        <f>YEAR(A163)</f>
        <v/>
      </c>
      <c r="C163" s="5">
        <f>MONTH(A163)</f>
        <v/>
      </c>
      <c r="D163" s="6">
        <f>SUMIFS(Lancamentos!$L$2:$L$2342,Lancamentos!$D$2:$D$2342,B163,Lancamentos!$E$2:$E$2342,C163)-E163</f>
        <v/>
      </c>
      <c r="E163" s="6">
        <f>SUMIFS(Lancamentos!$L$2:$L$2342,Lancamentos!$D$2:$D$2342,B163,Lancamentos!$E$2:$E$2342,C163,Lancamentos!$H$2:$H$2342,"PREMIO")</f>
        <v/>
      </c>
      <c r="F163" s="6">
        <f>D163+E163</f>
        <v/>
      </c>
      <c r="G163" s="7">
        <f>SUMIFS(Estimativas!$F:$F,Estimativas!$A:$A,A163)</f>
        <v/>
      </c>
      <c r="H163" s="6">
        <f>F163+G163</f>
        <v/>
      </c>
      <c r="I163" s="6">
        <f>SUMIFS(Lancamentos!$J$2:$J$2342,Lancamentos!$D$2:$D$2342,B163,Lancamentos!$E$2:$E$2342,C163,Lancamentos!$H$2:$H$2342,"&lt;&gt;DISTRATO")</f>
        <v/>
      </c>
      <c r="J163" s="6">
        <f>F163-I163</f>
        <v/>
      </c>
      <c r="K163" s="6">
        <f>SUMIFS(Lancamentos!$K$2:$K$2342,Lancamentos!$D$2:$D$2342,B163,Lancamentos!$E$2:$E$2342,C163,Lancamentos!$H$2:$H$2342,"DISTRATO")</f>
        <v/>
      </c>
      <c r="L163" s="5" t="inlineStr">
        <is>
          <t>Pago</t>
        </is>
      </c>
      <c r="M163" s="7">
        <f>IFERROR(INDEX(ContaCorrente!$D:$D,MATCH(A163,ContaCorrente!$A:$A,0)),"")</f>
        <v/>
      </c>
      <c r="N163" s="8">
        <f>IF(AND(ISNUMBER(M163),M163&lt;&gt;0),F163/M163,"")</f>
        <v/>
      </c>
    </row>
    <row r="164">
      <c r="A164" s="4" t="n">
        <v>43191</v>
      </c>
      <c r="B164" s="5">
        <f>YEAR(A164)</f>
        <v/>
      </c>
      <c r="C164" s="5">
        <f>MONTH(A164)</f>
        <v/>
      </c>
      <c r="D164" s="6">
        <f>SUMIFS(Lancamentos!$L$2:$L$2342,Lancamentos!$D$2:$D$2342,B164,Lancamentos!$E$2:$E$2342,C164)-E164</f>
        <v/>
      </c>
      <c r="E164" s="6">
        <f>SUMIFS(Lancamentos!$L$2:$L$2342,Lancamentos!$D$2:$D$2342,B164,Lancamentos!$E$2:$E$2342,C164,Lancamentos!$H$2:$H$2342,"PREMIO")</f>
        <v/>
      </c>
      <c r="F164" s="6">
        <f>D164+E164</f>
        <v/>
      </c>
      <c r="G164" s="7">
        <f>SUMIFS(Estimativas!$F:$F,Estimativas!$A:$A,A164)</f>
        <v/>
      </c>
      <c r="H164" s="6">
        <f>F164+G164</f>
        <v/>
      </c>
      <c r="I164" s="6">
        <f>SUMIFS(Lancamentos!$J$2:$J$2342,Lancamentos!$D$2:$D$2342,B164,Lancamentos!$E$2:$E$2342,C164,Lancamentos!$H$2:$H$2342,"&lt;&gt;DISTRATO")</f>
        <v/>
      </c>
      <c r="J164" s="6">
        <f>F164-I164</f>
        <v/>
      </c>
      <c r="K164" s="6">
        <f>SUMIFS(Lancamentos!$K$2:$K$2342,Lancamentos!$D$2:$D$2342,B164,Lancamentos!$E$2:$E$2342,C164,Lancamentos!$H$2:$H$2342,"DISTRATO")</f>
        <v/>
      </c>
      <c r="L164" s="5" t="inlineStr">
        <is>
          <t>Pago</t>
        </is>
      </c>
      <c r="M164" s="7">
        <f>IFERROR(INDEX(ContaCorrente!$D:$D,MATCH(A164,ContaCorrente!$A:$A,0)),"")</f>
        <v/>
      </c>
      <c r="N164" s="8">
        <f>IF(AND(ISNUMBER(M164),M164&lt;&gt;0),F164/M164,"")</f>
        <v/>
      </c>
    </row>
    <row r="165">
      <c r="A165" s="4" t="n">
        <v>43221</v>
      </c>
      <c r="B165" s="5">
        <f>YEAR(A165)</f>
        <v/>
      </c>
      <c r="C165" s="5">
        <f>MONTH(A165)</f>
        <v/>
      </c>
      <c r="D165" s="6">
        <f>SUMIFS(Lancamentos!$L$2:$L$2342,Lancamentos!$D$2:$D$2342,B165,Lancamentos!$E$2:$E$2342,C165)-E165</f>
        <v/>
      </c>
      <c r="E165" s="6">
        <f>SUMIFS(Lancamentos!$L$2:$L$2342,Lancamentos!$D$2:$D$2342,B165,Lancamentos!$E$2:$E$2342,C165,Lancamentos!$H$2:$H$2342,"PREMIO")</f>
        <v/>
      </c>
      <c r="F165" s="6">
        <f>D165+E165</f>
        <v/>
      </c>
      <c r="G165" s="7">
        <f>SUMIFS(Estimativas!$F:$F,Estimativas!$A:$A,A165)</f>
        <v/>
      </c>
      <c r="H165" s="6">
        <f>F165+G165</f>
        <v/>
      </c>
      <c r="I165" s="6">
        <f>SUMIFS(Lancamentos!$J$2:$J$2342,Lancamentos!$D$2:$D$2342,B165,Lancamentos!$E$2:$E$2342,C165,Lancamentos!$H$2:$H$2342,"&lt;&gt;DISTRATO")</f>
        <v/>
      </c>
      <c r="J165" s="6">
        <f>F165-I165</f>
        <v/>
      </c>
      <c r="K165" s="6">
        <f>SUMIFS(Lancamentos!$K$2:$K$2342,Lancamentos!$D$2:$D$2342,B165,Lancamentos!$E$2:$E$2342,C165,Lancamentos!$H$2:$H$2342,"DISTRATO")</f>
        <v/>
      </c>
      <c r="L165" s="5" t="inlineStr">
        <is>
          <t>Pago</t>
        </is>
      </c>
      <c r="M165" s="7">
        <f>IFERROR(INDEX(ContaCorrente!$D:$D,MATCH(A165,ContaCorrente!$A:$A,0)),"")</f>
        <v/>
      </c>
      <c r="N165" s="8">
        <f>IF(AND(ISNUMBER(M165),M165&lt;&gt;0),F165/M165,"")</f>
        <v/>
      </c>
    </row>
    <row r="166">
      <c r="A166" s="4" t="n">
        <v>43252</v>
      </c>
      <c r="B166" s="5">
        <f>YEAR(A166)</f>
        <v/>
      </c>
      <c r="C166" s="5">
        <f>MONTH(A166)</f>
        <v/>
      </c>
      <c r="D166" s="6">
        <f>SUMIFS(Lancamentos!$L$2:$L$2342,Lancamentos!$D$2:$D$2342,B166,Lancamentos!$E$2:$E$2342,C166)-E166</f>
        <v/>
      </c>
      <c r="E166" s="6">
        <f>SUMIFS(Lancamentos!$L$2:$L$2342,Lancamentos!$D$2:$D$2342,B166,Lancamentos!$E$2:$E$2342,C166,Lancamentos!$H$2:$H$2342,"PREMIO")</f>
        <v/>
      </c>
      <c r="F166" s="6">
        <f>D166+E166</f>
        <v/>
      </c>
      <c r="G166" s="7">
        <f>SUMIFS(Estimativas!$F:$F,Estimativas!$A:$A,A166)</f>
        <v/>
      </c>
      <c r="H166" s="6">
        <f>F166+G166</f>
        <v/>
      </c>
      <c r="I166" s="6">
        <f>SUMIFS(Lancamentos!$J$2:$J$2342,Lancamentos!$D$2:$D$2342,B166,Lancamentos!$E$2:$E$2342,C166,Lancamentos!$H$2:$H$2342,"&lt;&gt;DISTRATO")</f>
        <v/>
      </c>
      <c r="J166" s="6">
        <f>F166-I166</f>
        <v/>
      </c>
      <c r="K166" s="6">
        <f>SUMIFS(Lancamentos!$K$2:$K$2342,Lancamentos!$D$2:$D$2342,B166,Lancamentos!$E$2:$E$2342,C166,Lancamentos!$H$2:$H$2342,"DISTRATO")</f>
        <v/>
      </c>
      <c r="L166" s="5" t="inlineStr">
        <is>
          <t>Pago</t>
        </is>
      </c>
      <c r="M166" s="7">
        <f>IFERROR(INDEX(ContaCorrente!$D:$D,MATCH(A166,ContaCorrente!$A:$A,0)),"")</f>
        <v/>
      </c>
      <c r="N166" s="8">
        <f>IF(AND(ISNUMBER(M166),M166&lt;&gt;0),F166/M166,"")</f>
        <v/>
      </c>
    </row>
    <row r="167">
      <c r="A167" s="4" t="n">
        <v>43282</v>
      </c>
      <c r="B167" s="5">
        <f>YEAR(A167)</f>
        <v/>
      </c>
      <c r="C167" s="5">
        <f>MONTH(A167)</f>
        <v/>
      </c>
      <c r="D167" s="6">
        <f>SUMIFS(Lancamentos!$L$2:$L$2342,Lancamentos!$D$2:$D$2342,B167,Lancamentos!$E$2:$E$2342,C167)-E167</f>
        <v/>
      </c>
      <c r="E167" s="6">
        <f>SUMIFS(Lancamentos!$L$2:$L$2342,Lancamentos!$D$2:$D$2342,B167,Lancamentos!$E$2:$E$2342,C167,Lancamentos!$H$2:$H$2342,"PREMIO")</f>
        <v/>
      </c>
      <c r="F167" s="6">
        <f>D167+E167</f>
        <v/>
      </c>
      <c r="G167" s="7">
        <f>SUMIFS(Estimativas!$F:$F,Estimativas!$A:$A,A167)</f>
        <v/>
      </c>
      <c r="H167" s="6">
        <f>F167+G167</f>
        <v/>
      </c>
      <c r="I167" s="6">
        <f>SUMIFS(Lancamentos!$J$2:$J$2342,Lancamentos!$D$2:$D$2342,B167,Lancamentos!$E$2:$E$2342,C167,Lancamentos!$H$2:$H$2342,"&lt;&gt;DISTRATO")</f>
        <v/>
      </c>
      <c r="J167" s="6">
        <f>F167-I167</f>
        <v/>
      </c>
      <c r="K167" s="6">
        <f>SUMIFS(Lancamentos!$K$2:$K$2342,Lancamentos!$D$2:$D$2342,B167,Lancamentos!$E$2:$E$2342,C167,Lancamentos!$H$2:$H$2342,"DISTRATO")</f>
        <v/>
      </c>
      <c r="L167" s="5" t="inlineStr">
        <is>
          <t>Pago</t>
        </is>
      </c>
      <c r="M167" s="7">
        <f>IFERROR(INDEX(ContaCorrente!$D:$D,MATCH(A167,ContaCorrente!$A:$A,0)),"")</f>
        <v/>
      </c>
      <c r="N167" s="8">
        <f>IF(AND(ISNUMBER(M167),M167&lt;&gt;0),F167/M167,"")</f>
        <v/>
      </c>
    </row>
    <row r="168">
      <c r="A168" s="4" t="n">
        <v>43313</v>
      </c>
      <c r="B168" s="5">
        <f>YEAR(A168)</f>
        <v/>
      </c>
      <c r="C168" s="5">
        <f>MONTH(A168)</f>
        <v/>
      </c>
      <c r="D168" s="6">
        <f>SUMIFS(Lancamentos!$L$2:$L$2342,Lancamentos!$D$2:$D$2342,B168,Lancamentos!$E$2:$E$2342,C168)-E168</f>
        <v/>
      </c>
      <c r="E168" s="6">
        <f>SUMIFS(Lancamentos!$L$2:$L$2342,Lancamentos!$D$2:$D$2342,B168,Lancamentos!$E$2:$E$2342,C168,Lancamentos!$H$2:$H$2342,"PREMIO")</f>
        <v/>
      </c>
      <c r="F168" s="6">
        <f>D168+E168</f>
        <v/>
      </c>
      <c r="G168" s="7">
        <f>SUMIFS(Estimativas!$F:$F,Estimativas!$A:$A,A168)</f>
        <v/>
      </c>
      <c r="H168" s="6">
        <f>F168+G168</f>
        <v/>
      </c>
      <c r="I168" s="6">
        <f>SUMIFS(Lancamentos!$J$2:$J$2342,Lancamentos!$D$2:$D$2342,B168,Lancamentos!$E$2:$E$2342,C168,Lancamentos!$H$2:$H$2342,"&lt;&gt;DISTRATO")</f>
        <v/>
      </c>
      <c r="J168" s="6">
        <f>F168-I168</f>
        <v/>
      </c>
      <c r="K168" s="6">
        <f>SUMIFS(Lancamentos!$K$2:$K$2342,Lancamentos!$D$2:$D$2342,B168,Lancamentos!$E$2:$E$2342,C168,Lancamentos!$H$2:$H$2342,"DISTRATO")</f>
        <v/>
      </c>
      <c r="L168" s="5" t="inlineStr">
        <is>
          <t>Pago</t>
        </is>
      </c>
      <c r="M168" s="7">
        <f>IFERROR(INDEX(ContaCorrente!$D:$D,MATCH(A168,ContaCorrente!$A:$A,0)),"")</f>
        <v/>
      </c>
      <c r="N168" s="8">
        <f>IF(AND(ISNUMBER(M168),M168&lt;&gt;0),F168/M168,"")</f>
        <v/>
      </c>
    </row>
    <row r="169">
      <c r="A169" s="4" t="n">
        <v>43344</v>
      </c>
      <c r="B169" s="5">
        <f>YEAR(A169)</f>
        <v/>
      </c>
      <c r="C169" s="5">
        <f>MONTH(A169)</f>
        <v/>
      </c>
      <c r="D169" s="6">
        <f>SUMIFS(Lancamentos!$L$2:$L$2342,Lancamentos!$D$2:$D$2342,B169,Lancamentos!$E$2:$E$2342,C169)-E169</f>
        <v/>
      </c>
      <c r="E169" s="6">
        <f>SUMIFS(Lancamentos!$L$2:$L$2342,Lancamentos!$D$2:$D$2342,B169,Lancamentos!$E$2:$E$2342,C169,Lancamentos!$H$2:$H$2342,"PREMIO")</f>
        <v/>
      </c>
      <c r="F169" s="6">
        <f>D169+E169</f>
        <v/>
      </c>
      <c r="G169" s="7">
        <f>SUMIFS(Estimativas!$F:$F,Estimativas!$A:$A,A169)</f>
        <v/>
      </c>
      <c r="H169" s="6">
        <f>F169+G169</f>
        <v/>
      </c>
      <c r="I169" s="6">
        <f>SUMIFS(Lancamentos!$J$2:$J$2342,Lancamentos!$D$2:$D$2342,B169,Lancamentos!$E$2:$E$2342,C169,Lancamentos!$H$2:$H$2342,"&lt;&gt;DISTRATO")</f>
        <v/>
      </c>
      <c r="J169" s="6">
        <f>F169-I169</f>
        <v/>
      </c>
      <c r="K169" s="6">
        <f>SUMIFS(Lancamentos!$K$2:$K$2342,Lancamentos!$D$2:$D$2342,B169,Lancamentos!$E$2:$E$2342,C169,Lancamentos!$H$2:$H$2342,"DISTRATO")</f>
        <v/>
      </c>
      <c r="L169" s="5" t="inlineStr">
        <is>
          <t>Pago</t>
        </is>
      </c>
      <c r="M169" s="7">
        <f>IFERROR(INDEX(ContaCorrente!$D:$D,MATCH(A169,ContaCorrente!$A:$A,0)),"")</f>
        <v/>
      </c>
      <c r="N169" s="8">
        <f>IF(AND(ISNUMBER(M169),M169&lt;&gt;0),F169/M169,"")</f>
        <v/>
      </c>
    </row>
    <row r="170">
      <c r="A170" s="4" t="n">
        <v>43374</v>
      </c>
      <c r="B170" s="5">
        <f>YEAR(A170)</f>
        <v/>
      </c>
      <c r="C170" s="5">
        <f>MONTH(A170)</f>
        <v/>
      </c>
      <c r="D170" s="6">
        <f>SUMIFS(Lancamentos!$L$2:$L$2342,Lancamentos!$D$2:$D$2342,B170,Lancamentos!$E$2:$E$2342,C170)-E170</f>
        <v/>
      </c>
      <c r="E170" s="6">
        <f>SUMIFS(Lancamentos!$L$2:$L$2342,Lancamentos!$D$2:$D$2342,B170,Lancamentos!$E$2:$E$2342,C170,Lancamentos!$H$2:$H$2342,"PREMIO")</f>
        <v/>
      </c>
      <c r="F170" s="6">
        <f>D170+E170</f>
        <v/>
      </c>
      <c r="G170" s="7">
        <f>SUMIFS(Estimativas!$F:$F,Estimativas!$A:$A,A170)</f>
        <v/>
      </c>
      <c r="H170" s="6">
        <f>F170+G170</f>
        <v/>
      </c>
      <c r="I170" s="6">
        <f>SUMIFS(Lancamentos!$J$2:$J$2342,Lancamentos!$D$2:$D$2342,B170,Lancamentos!$E$2:$E$2342,C170,Lancamentos!$H$2:$H$2342,"&lt;&gt;DISTRATO")</f>
        <v/>
      </c>
      <c r="J170" s="6">
        <f>F170-I170</f>
        <v/>
      </c>
      <c r="K170" s="6">
        <f>SUMIFS(Lancamentos!$K$2:$K$2342,Lancamentos!$D$2:$D$2342,B170,Lancamentos!$E$2:$E$2342,C170,Lancamentos!$H$2:$H$2342,"DISTRATO")</f>
        <v/>
      </c>
      <c r="L170" s="5" t="inlineStr">
        <is>
          <t>Pago</t>
        </is>
      </c>
      <c r="M170" s="7">
        <f>IFERROR(INDEX(ContaCorrente!$D:$D,MATCH(A170,ContaCorrente!$A:$A,0)),"")</f>
        <v/>
      </c>
      <c r="N170" s="8">
        <f>IF(AND(ISNUMBER(M170),M170&lt;&gt;0),F170/M170,"")</f>
        <v/>
      </c>
    </row>
    <row r="171">
      <c r="A171" s="4" t="n">
        <v>43405</v>
      </c>
      <c r="B171" s="5">
        <f>YEAR(A171)</f>
        <v/>
      </c>
      <c r="C171" s="5">
        <f>MONTH(A171)</f>
        <v/>
      </c>
      <c r="D171" s="6">
        <f>SUMIFS(Lancamentos!$L$2:$L$2342,Lancamentos!$D$2:$D$2342,B171,Lancamentos!$E$2:$E$2342,C171)-E171</f>
        <v/>
      </c>
      <c r="E171" s="6">
        <f>SUMIFS(Lancamentos!$L$2:$L$2342,Lancamentos!$D$2:$D$2342,B171,Lancamentos!$E$2:$E$2342,C171,Lancamentos!$H$2:$H$2342,"PREMIO")</f>
        <v/>
      </c>
      <c r="F171" s="6">
        <f>D171+E171</f>
        <v/>
      </c>
      <c r="G171" s="7">
        <f>SUMIFS(Estimativas!$F:$F,Estimativas!$A:$A,A171)</f>
        <v/>
      </c>
      <c r="H171" s="6">
        <f>F171+G171</f>
        <v/>
      </c>
      <c r="I171" s="6">
        <f>SUMIFS(Lancamentos!$J$2:$J$2342,Lancamentos!$D$2:$D$2342,B171,Lancamentos!$E$2:$E$2342,C171,Lancamentos!$H$2:$H$2342,"&lt;&gt;DISTRATO")</f>
        <v/>
      </c>
      <c r="J171" s="6">
        <f>F171-I171</f>
        <v/>
      </c>
      <c r="K171" s="6">
        <f>SUMIFS(Lancamentos!$K$2:$K$2342,Lancamentos!$D$2:$D$2342,B171,Lancamentos!$E$2:$E$2342,C171,Lancamentos!$H$2:$H$2342,"DISTRATO")</f>
        <v/>
      </c>
      <c r="L171" s="5" t="inlineStr">
        <is>
          <t>Pago</t>
        </is>
      </c>
      <c r="M171" s="7">
        <f>IFERROR(INDEX(ContaCorrente!$D:$D,MATCH(A171,ContaCorrente!$A:$A,0)),"")</f>
        <v/>
      </c>
      <c r="N171" s="8">
        <f>IF(AND(ISNUMBER(M171),M171&lt;&gt;0),F171/M171,"")</f>
        <v/>
      </c>
    </row>
    <row r="172">
      <c r="A172" s="4" t="n">
        <v>43435</v>
      </c>
      <c r="B172" s="5">
        <f>YEAR(A172)</f>
        <v/>
      </c>
      <c r="C172" s="5">
        <f>MONTH(A172)</f>
        <v/>
      </c>
      <c r="D172" s="6">
        <f>SUMIFS(Lancamentos!$L$2:$L$2342,Lancamentos!$D$2:$D$2342,B172,Lancamentos!$E$2:$E$2342,C172)-E172</f>
        <v/>
      </c>
      <c r="E172" s="6">
        <f>SUMIFS(Lancamentos!$L$2:$L$2342,Lancamentos!$D$2:$D$2342,B172,Lancamentos!$E$2:$E$2342,C172,Lancamentos!$H$2:$H$2342,"PREMIO")</f>
        <v/>
      </c>
      <c r="F172" s="6">
        <f>D172+E172</f>
        <v/>
      </c>
      <c r="G172" s="7">
        <f>SUMIFS(Estimativas!$F:$F,Estimativas!$A:$A,A172)</f>
        <v/>
      </c>
      <c r="H172" s="6">
        <f>F172+G172</f>
        <v/>
      </c>
      <c r="I172" s="6">
        <f>SUMIFS(Lancamentos!$J$2:$J$2342,Lancamentos!$D$2:$D$2342,B172,Lancamentos!$E$2:$E$2342,C172,Lancamentos!$H$2:$H$2342,"&lt;&gt;DISTRATO")</f>
        <v/>
      </c>
      <c r="J172" s="6">
        <f>F172-I172</f>
        <v/>
      </c>
      <c r="K172" s="6">
        <f>SUMIFS(Lancamentos!$K$2:$K$2342,Lancamentos!$D$2:$D$2342,B172,Lancamentos!$E$2:$E$2342,C172,Lancamentos!$H$2:$H$2342,"DISTRATO")</f>
        <v/>
      </c>
      <c r="L172" s="5" t="inlineStr">
        <is>
          <t>Pago</t>
        </is>
      </c>
      <c r="M172" s="7">
        <f>IFERROR(INDEX(ContaCorrente!$D:$D,MATCH(A172,ContaCorrente!$A:$A,0)),"")</f>
        <v/>
      </c>
      <c r="N172" s="8">
        <f>IF(AND(ISNUMBER(M172),M172&lt;&gt;0),F172/M172,"")</f>
        <v/>
      </c>
    </row>
    <row r="173">
      <c r="A173" s="4" t="n">
        <v>43466</v>
      </c>
      <c r="B173" s="5">
        <f>YEAR(A173)</f>
        <v/>
      </c>
      <c r="C173" s="5">
        <f>MONTH(A173)</f>
        <v/>
      </c>
      <c r="D173" s="6">
        <f>SUMIFS(Lancamentos!$L$2:$L$2342,Lancamentos!$D$2:$D$2342,B173,Lancamentos!$E$2:$E$2342,C173)-E173</f>
        <v/>
      </c>
      <c r="E173" s="6">
        <f>SUMIFS(Lancamentos!$L$2:$L$2342,Lancamentos!$D$2:$D$2342,B173,Lancamentos!$E$2:$E$2342,C173,Lancamentos!$H$2:$H$2342,"PREMIO")</f>
        <v/>
      </c>
      <c r="F173" s="6">
        <f>D173+E173</f>
        <v/>
      </c>
      <c r="G173" s="7">
        <f>SUMIFS(Estimativas!$F:$F,Estimativas!$A:$A,A173)</f>
        <v/>
      </c>
      <c r="H173" s="6">
        <f>F173+G173</f>
        <v/>
      </c>
      <c r="I173" s="6">
        <f>SUMIFS(Lancamentos!$J$2:$J$2342,Lancamentos!$D$2:$D$2342,B173,Lancamentos!$E$2:$E$2342,C173,Lancamentos!$H$2:$H$2342,"&lt;&gt;DISTRATO")</f>
        <v/>
      </c>
      <c r="J173" s="6">
        <f>F173-I173</f>
        <v/>
      </c>
      <c r="K173" s="6">
        <f>SUMIFS(Lancamentos!$K$2:$K$2342,Lancamentos!$D$2:$D$2342,B173,Lancamentos!$E$2:$E$2342,C173,Lancamentos!$H$2:$H$2342,"DISTRATO")</f>
        <v/>
      </c>
      <c r="L173" s="5" t="inlineStr">
        <is>
          <t>Pago</t>
        </is>
      </c>
      <c r="M173" s="7">
        <f>IFERROR(INDEX(ContaCorrente!$D:$D,MATCH(A173,ContaCorrente!$A:$A,0)),"")</f>
        <v/>
      </c>
      <c r="N173" s="8">
        <f>IF(AND(ISNUMBER(M173),M173&lt;&gt;0),F173/M173,"")</f>
        <v/>
      </c>
    </row>
    <row r="174">
      <c r="A174" s="4" t="n">
        <v>43497</v>
      </c>
      <c r="B174" s="5">
        <f>YEAR(A174)</f>
        <v/>
      </c>
      <c r="C174" s="5">
        <f>MONTH(A174)</f>
        <v/>
      </c>
      <c r="D174" s="6">
        <f>SUMIFS(Lancamentos!$L$2:$L$2342,Lancamentos!$D$2:$D$2342,B174,Lancamentos!$E$2:$E$2342,C174)-E174</f>
        <v/>
      </c>
      <c r="E174" s="6">
        <f>SUMIFS(Lancamentos!$L$2:$L$2342,Lancamentos!$D$2:$D$2342,B174,Lancamentos!$E$2:$E$2342,C174,Lancamentos!$H$2:$H$2342,"PREMIO")</f>
        <v/>
      </c>
      <c r="F174" s="6">
        <f>D174+E174</f>
        <v/>
      </c>
      <c r="G174" s="7">
        <f>SUMIFS(Estimativas!$F:$F,Estimativas!$A:$A,A174)</f>
        <v/>
      </c>
      <c r="H174" s="6">
        <f>F174+G174</f>
        <v/>
      </c>
      <c r="I174" s="6">
        <f>SUMIFS(Lancamentos!$J$2:$J$2342,Lancamentos!$D$2:$D$2342,B174,Lancamentos!$E$2:$E$2342,C174,Lancamentos!$H$2:$H$2342,"&lt;&gt;DISTRATO")</f>
        <v/>
      </c>
      <c r="J174" s="6">
        <f>F174-I174</f>
        <v/>
      </c>
      <c r="K174" s="6">
        <f>SUMIFS(Lancamentos!$K$2:$K$2342,Lancamentos!$D$2:$D$2342,B174,Lancamentos!$E$2:$E$2342,C174,Lancamentos!$H$2:$H$2342,"DISTRATO")</f>
        <v/>
      </c>
      <c r="L174" s="5" t="inlineStr">
        <is>
          <t>Pago</t>
        </is>
      </c>
      <c r="M174" s="7">
        <f>IFERROR(INDEX(ContaCorrente!$D:$D,MATCH(A174,ContaCorrente!$A:$A,0)),"")</f>
        <v/>
      </c>
      <c r="N174" s="8">
        <f>IF(AND(ISNUMBER(M174),M174&lt;&gt;0),F174/M174,"")</f>
        <v/>
      </c>
    </row>
    <row r="175">
      <c r="A175" s="4" t="n">
        <v>43525</v>
      </c>
      <c r="B175" s="5">
        <f>YEAR(A175)</f>
        <v/>
      </c>
      <c r="C175" s="5">
        <f>MONTH(A175)</f>
        <v/>
      </c>
      <c r="D175" s="6">
        <f>SUMIFS(Lancamentos!$L$2:$L$2342,Lancamentos!$D$2:$D$2342,B175,Lancamentos!$E$2:$E$2342,C175)-E175</f>
        <v/>
      </c>
      <c r="E175" s="6">
        <f>SUMIFS(Lancamentos!$L$2:$L$2342,Lancamentos!$D$2:$D$2342,B175,Lancamentos!$E$2:$E$2342,C175,Lancamentos!$H$2:$H$2342,"PREMIO")</f>
        <v/>
      </c>
      <c r="F175" s="6">
        <f>D175+E175</f>
        <v/>
      </c>
      <c r="G175" s="7">
        <f>SUMIFS(Estimativas!$F:$F,Estimativas!$A:$A,A175)</f>
        <v/>
      </c>
      <c r="H175" s="6">
        <f>F175+G175</f>
        <v/>
      </c>
      <c r="I175" s="6">
        <f>SUMIFS(Lancamentos!$J$2:$J$2342,Lancamentos!$D$2:$D$2342,B175,Lancamentos!$E$2:$E$2342,C175,Lancamentos!$H$2:$H$2342,"&lt;&gt;DISTRATO")</f>
        <v/>
      </c>
      <c r="J175" s="6">
        <f>F175-I175</f>
        <v/>
      </c>
      <c r="K175" s="6">
        <f>SUMIFS(Lancamentos!$K$2:$K$2342,Lancamentos!$D$2:$D$2342,B175,Lancamentos!$E$2:$E$2342,C175,Lancamentos!$H$2:$H$2342,"DISTRATO")</f>
        <v/>
      </c>
      <c r="L175" s="5" t="inlineStr">
        <is>
          <t>Pago</t>
        </is>
      </c>
      <c r="M175" s="7">
        <f>IFERROR(INDEX(ContaCorrente!$D:$D,MATCH(A175,ContaCorrente!$A:$A,0)),"")</f>
        <v/>
      </c>
      <c r="N175" s="8">
        <f>IF(AND(ISNUMBER(M175),M175&lt;&gt;0),F175/M175,"")</f>
        <v/>
      </c>
    </row>
    <row r="176">
      <c r="A176" s="4" t="n">
        <v>43556</v>
      </c>
      <c r="B176" s="5">
        <f>YEAR(A176)</f>
        <v/>
      </c>
      <c r="C176" s="5">
        <f>MONTH(A176)</f>
        <v/>
      </c>
      <c r="D176" s="6">
        <f>SUMIFS(Lancamentos!$L$2:$L$2342,Lancamentos!$D$2:$D$2342,B176,Lancamentos!$E$2:$E$2342,C176)-E176</f>
        <v/>
      </c>
      <c r="E176" s="6">
        <f>SUMIFS(Lancamentos!$L$2:$L$2342,Lancamentos!$D$2:$D$2342,B176,Lancamentos!$E$2:$E$2342,C176,Lancamentos!$H$2:$H$2342,"PREMIO")</f>
        <v/>
      </c>
      <c r="F176" s="6">
        <f>D176+E176</f>
        <v/>
      </c>
      <c r="G176" s="7">
        <f>SUMIFS(Estimativas!$F:$F,Estimativas!$A:$A,A176)</f>
        <v/>
      </c>
      <c r="H176" s="6">
        <f>F176+G176</f>
        <v/>
      </c>
      <c r="I176" s="6">
        <f>SUMIFS(Lancamentos!$J$2:$J$2342,Lancamentos!$D$2:$D$2342,B176,Lancamentos!$E$2:$E$2342,C176,Lancamentos!$H$2:$H$2342,"&lt;&gt;DISTRATO")</f>
        <v/>
      </c>
      <c r="J176" s="6">
        <f>F176-I176</f>
        <v/>
      </c>
      <c r="K176" s="6">
        <f>SUMIFS(Lancamentos!$K$2:$K$2342,Lancamentos!$D$2:$D$2342,B176,Lancamentos!$E$2:$E$2342,C176,Lancamentos!$H$2:$H$2342,"DISTRATO")</f>
        <v/>
      </c>
      <c r="L176" s="5" t="inlineStr">
        <is>
          <t>Pago</t>
        </is>
      </c>
      <c r="M176" s="7">
        <f>IFERROR(INDEX(ContaCorrente!$D:$D,MATCH(A176,ContaCorrente!$A:$A,0)),"")</f>
        <v/>
      </c>
      <c r="N176" s="8">
        <f>IF(AND(ISNUMBER(M176),M176&lt;&gt;0),F176/M176,"")</f>
        <v/>
      </c>
    </row>
    <row r="177">
      <c r="A177" s="4" t="n">
        <v>43586</v>
      </c>
      <c r="B177" s="5">
        <f>YEAR(A177)</f>
        <v/>
      </c>
      <c r="C177" s="5">
        <f>MONTH(A177)</f>
        <v/>
      </c>
      <c r="D177" s="6">
        <f>SUMIFS(Lancamentos!$L$2:$L$2342,Lancamentos!$D$2:$D$2342,B177,Lancamentos!$E$2:$E$2342,C177)-E177</f>
        <v/>
      </c>
      <c r="E177" s="6">
        <f>SUMIFS(Lancamentos!$L$2:$L$2342,Lancamentos!$D$2:$D$2342,B177,Lancamentos!$E$2:$E$2342,C177,Lancamentos!$H$2:$H$2342,"PREMIO")</f>
        <v/>
      </c>
      <c r="F177" s="6">
        <f>D177+E177</f>
        <v/>
      </c>
      <c r="G177" s="7">
        <f>SUMIFS(Estimativas!$F:$F,Estimativas!$A:$A,A177)</f>
        <v/>
      </c>
      <c r="H177" s="6">
        <f>F177+G177</f>
        <v/>
      </c>
      <c r="I177" s="6">
        <f>SUMIFS(Lancamentos!$J$2:$J$2342,Lancamentos!$D$2:$D$2342,B177,Lancamentos!$E$2:$E$2342,C177,Lancamentos!$H$2:$H$2342,"&lt;&gt;DISTRATO")</f>
        <v/>
      </c>
      <c r="J177" s="6">
        <f>F177-I177</f>
        <v/>
      </c>
      <c r="K177" s="6">
        <f>SUMIFS(Lancamentos!$K$2:$K$2342,Lancamentos!$D$2:$D$2342,B177,Lancamentos!$E$2:$E$2342,C177,Lancamentos!$H$2:$H$2342,"DISTRATO")</f>
        <v/>
      </c>
      <c r="L177" s="5" t="inlineStr">
        <is>
          <t>Pago</t>
        </is>
      </c>
      <c r="M177" s="7">
        <f>IFERROR(INDEX(ContaCorrente!$D:$D,MATCH(A177,ContaCorrente!$A:$A,0)),"")</f>
        <v/>
      </c>
      <c r="N177" s="8">
        <f>IF(AND(ISNUMBER(M177),M177&lt;&gt;0),F177/M177,"")</f>
        <v/>
      </c>
    </row>
    <row r="178">
      <c r="A178" s="4" t="n">
        <v>43617</v>
      </c>
      <c r="B178" s="5">
        <f>YEAR(A178)</f>
        <v/>
      </c>
      <c r="C178" s="5">
        <f>MONTH(A178)</f>
        <v/>
      </c>
      <c r="D178" s="6">
        <f>SUMIFS(Lancamentos!$L$2:$L$2342,Lancamentos!$D$2:$D$2342,B178,Lancamentos!$E$2:$E$2342,C178)-E178</f>
        <v/>
      </c>
      <c r="E178" s="6">
        <f>SUMIFS(Lancamentos!$L$2:$L$2342,Lancamentos!$D$2:$D$2342,B178,Lancamentos!$E$2:$E$2342,C178,Lancamentos!$H$2:$H$2342,"PREMIO")</f>
        <v/>
      </c>
      <c r="F178" s="6">
        <f>D178+E178</f>
        <v/>
      </c>
      <c r="G178" s="7">
        <f>SUMIFS(Estimativas!$F:$F,Estimativas!$A:$A,A178)</f>
        <v/>
      </c>
      <c r="H178" s="6">
        <f>F178+G178</f>
        <v/>
      </c>
      <c r="I178" s="6">
        <f>SUMIFS(Lancamentos!$J$2:$J$2342,Lancamentos!$D$2:$D$2342,B178,Lancamentos!$E$2:$E$2342,C178,Lancamentos!$H$2:$H$2342,"&lt;&gt;DISTRATO")</f>
        <v/>
      </c>
      <c r="J178" s="6">
        <f>F178-I178</f>
        <v/>
      </c>
      <c r="K178" s="6">
        <f>SUMIFS(Lancamentos!$K$2:$K$2342,Lancamentos!$D$2:$D$2342,B178,Lancamentos!$E$2:$E$2342,C178,Lancamentos!$H$2:$H$2342,"DISTRATO")</f>
        <v/>
      </c>
      <c r="L178" s="5" t="inlineStr">
        <is>
          <t>Pago</t>
        </is>
      </c>
      <c r="M178" s="7">
        <f>IFERROR(INDEX(ContaCorrente!$D:$D,MATCH(A178,ContaCorrente!$A:$A,0)),"")</f>
        <v/>
      </c>
      <c r="N178" s="8">
        <f>IF(AND(ISNUMBER(M178),M178&lt;&gt;0),F178/M178,"")</f>
        <v/>
      </c>
    </row>
    <row r="179">
      <c r="A179" s="4" t="n">
        <v>43647</v>
      </c>
      <c r="B179" s="5">
        <f>YEAR(A179)</f>
        <v/>
      </c>
      <c r="C179" s="5">
        <f>MONTH(A179)</f>
        <v/>
      </c>
      <c r="D179" s="6">
        <f>SUMIFS(Lancamentos!$L$2:$L$2342,Lancamentos!$D$2:$D$2342,B179,Lancamentos!$E$2:$E$2342,C179)-E179</f>
        <v/>
      </c>
      <c r="E179" s="6">
        <f>SUMIFS(Lancamentos!$L$2:$L$2342,Lancamentos!$D$2:$D$2342,B179,Lancamentos!$E$2:$E$2342,C179,Lancamentos!$H$2:$H$2342,"PREMIO")</f>
        <v/>
      </c>
      <c r="F179" s="6">
        <f>D179+E179</f>
        <v/>
      </c>
      <c r="G179" s="7">
        <f>SUMIFS(Estimativas!$F:$F,Estimativas!$A:$A,A179)</f>
        <v/>
      </c>
      <c r="H179" s="6">
        <f>F179+G179</f>
        <v/>
      </c>
      <c r="I179" s="6">
        <f>SUMIFS(Lancamentos!$J$2:$J$2342,Lancamentos!$D$2:$D$2342,B179,Lancamentos!$E$2:$E$2342,C179,Lancamentos!$H$2:$H$2342,"&lt;&gt;DISTRATO")</f>
        <v/>
      </c>
      <c r="J179" s="6">
        <f>F179-I179</f>
        <v/>
      </c>
      <c r="K179" s="6">
        <f>SUMIFS(Lancamentos!$K$2:$K$2342,Lancamentos!$D$2:$D$2342,B179,Lancamentos!$E$2:$E$2342,C179,Lancamentos!$H$2:$H$2342,"DISTRATO")</f>
        <v/>
      </c>
      <c r="L179" s="5" t="inlineStr">
        <is>
          <t>Pago</t>
        </is>
      </c>
      <c r="M179" s="7">
        <f>IFERROR(INDEX(ContaCorrente!$D:$D,MATCH(A179,ContaCorrente!$A:$A,0)),"")</f>
        <v/>
      </c>
      <c r="N179" s="8">
        <f>IF(AND(ISNUMBER(M179),M179&lt;&gt;0),F179/M179,"")</f>
        <v/>
      </c>
    </row>
    <row r="180">
      <c r="A180" s="4" t="n">
        <v>43678</v>
      </c>
      <c r="B180" s="5">
        <f>YEAR(A180)</f>
        <v/>
      </c>
      <c r="C180" s="5">
        <f>MONTH(A180)</f>
        <v/>
      </c>
      <c r="D180" s="6">
        <f>SUMIFS(Lancamentos!$L$2:$L$2342,Lancamentos!$D$2:$D$2342,B180,Lancamentos!$E$2:$E$2342,C180)-E180</f>
        <v/>
      </c>
      <c r="E180" s="6">
        <f>SUMIFS(Lancamentos!$L$2:$L$2342,Lancamentos!$D$2:$D$2342,B180,Lancamentos!$E$2:$E$2342,C180,Lancamentos!$H$2:$H$2342,"PREMIO")</f>
        <v/>
      </c>
      <c r="F180" s="6">
        <f>D180+E180</f>
        <v/>
      </c>
      <c r="G180" s="7">
        <f>SUMIFS(Estimativas!$F:$F,Estimativas!$A:$A,A180)</f>
        <v/>
      </c>
      <c r="H180" s="6">
        <f>F180+G180</f>
        <v/>
      </c>
      <c r="I180" s="6">
        <f>SUMIFS(Lancamentos!$J$2:$J$2342,Lancamentos!$D$2:$D$2342,B180,Lancamentos!$E$2:$E$2342,C180,Lancamentos!$H$2:$H$2342,"&lt;&gt;DISTRATO")</f>
        <v/>
      </c>
      <c r="J180" s="6">
        <f>F180-I180</f>
        <v/>
      </c>
      <c r="K180" s="6">
        <f>SUMIFS(Lancamentos!$K$2:$K$2342,Lancamentos!$D$2:$D$2342,B180,Lancamentos!$E$2:$E$2342,C180,Lancamentos!$H$2:$H$2342,"DISTRATO")</f>
        <v/>
      </c>
      <c r="L180" s="5" t="inlineStr">
        <is>
          <t>Pago</t>
        </is>
      </c>
      <c r="M180" s="7">
        <f>IFERROR(INDEX(ContaCorrente!$D:$D,MATCH(A180,ContaCorrente!$A:$A,0)),"")</f>
        <v/>
      </c>
      <c r="N180" s="8">
        <f>IF(AND(ISNUMBER(M180),M180&lt;&gt;0),F180/M180,"")</f>
        <v/>
      </c>
    </row>
    <row r="181">
      <c r="A181" s="4" t="n">
        <v>43709</v>
      </c>
      <c r="B181" s="5">
        <f>YEAR(A181)</f>
        <v/>
      </c>
      <c r="C181" s="5">
        <f>MONTH(A181)</f>
        <v/>
      </c>
      <c r="D181" s="6">
        <f>SUMIFS(Lancamentos!$L$2:$L$2342,Lancamentos!$D$2:$D$2342,B181,Lancamentos!$E$2:$E$2342,C181)-E181</f>
        <v/>
      </c>
      <c r="E181" s="6">
        <f>SUMIFS(Lancamentos!$L$2:$L$2342,Lancamentos!$D$2:$D$2342,B181,Lancamentos!$E$2:$E$2342,C181,Lancamentos!$H$2:$H$2342,"PREMIO")</f>
        <v/>
      </c>
      <c r="F181" s="6">
        <f>D181+E181</f>
        <v/>
      </c>
      <c r="G181" s="7">
        <f>SUMIFS(Estimativas!$F:$F,Estimativas!$A:$A,A181)</f>
        <v/>
      </c>
      <c r="H181" s="6">
        <f>F181+G181</f>
        <v/>
      </c>
      <c r="I181" s="6">
        <f>SUMIFS(Lancamentos!$J$2:$J$2342,Lancamentos!$D$2:$D$2342,B181,Lancamentos!$E$2:$E$2342,C181,Lancamentos!$H$2:$H$2342,"&lt;&gt;DISTRATO")</f>
        <v/>
      </c>
      <c r="J181" s="6">
        <f>F181-I181</f>
        <v/>
      </c>
      <c r="K181" s="6">
        <f>SUMIFS(Lancamentos!$K$2:$K$2342,Lancamentos!$D$2:$D$2342,B181,Lancamentos!$E$2:$E$2342,C181,Lancamentos!$H$2:$H$2342,"DISTRATO")</f>
        <v/>
      </c>
      <c r="L181" s="5" t="inlineStr">
        <is>
          <t>Pago</t>
        </is>
      </c>
      <c r="M181" s="7">
        <f>IFERROR(INDEX(ContaCorrente!$D:$D,MATCH(A181,ContaCorrente!$A:$A,0)),"")</f>
        <v/>
      </c>
      <c r="N181" s="8">
        <f>IF(AND(ISNUMBER(M181),M181&lt;&gt;0),F181/M181,"")</f>
        <v/>
      </c>
    </row>
    <row r="182">
      <c r="A182" s="4" t="n">
        <v>43739</v>
      </c>
      <c r="B182" s="5">
        <f>YEAR(A182)</f>
        <v/>
      </c>
      <c r="C182" s="5">
        <f>MONTH(A182)</f>
        <v/>
      </c>
      <c r="D182" s="6">
        <f>SUMIFS(Lancamentos!$L$2:$L$2342,Lancamentos!$D$2:$D$2342,B182,Lancamentos!$E$2:$E$2342,C182)-E182</f>
        <v/>
      </c>
      <c r="E182" s="6">
        <f>SUMIFS(Lancamentos!$L$2:$L$2342,Lancamentos!$D$2:$D$2342,B182,Lancamentos!$E$2:$E$2342,C182,Lancamentos!$H$2:$H$2342,"PREMIO")</f>
        <v/>
      </c>
      <c r="F182" s="6">
        <f>D182+E182</f>
        <v/>
      </c>
      <c r="G182" s="7">
        <f>SUMIFS(Estimativas!$F:$F,Estimativas!$A:$A,A182)</f>
        <v/>
      </c>
      <c r="H182" s="6">
        <f>F182+G182</f>
        <v/>
      </c>
      <c r="I182" s="6">
        <f>SUMIFS(Lancamentos!$J$2:$J$2342,Lancamentos!$D$2:$D$2342,B182,Lancamentos!$E$2:$E$2342,C182,Lancamentos!$H$2:$H$2342,"&lt;&gt;DISTRATO")</f>
        <v/>
      </c>
      <c r="J182" s="6">
        <f>F182-I182</f>
        <v/>
      </c>
      <c r="K182" s="6">
        <f>SUMIFS(Lancamentos!$K$2:$K$2342,Lancamentos!$D$2:$D$2342,B182,Lancamentos!$E$2:$E$2342,C182,Lancamentos!$H$2:$H$2342,"DISTRATO")</f>
        <v/>
      </c>
      <c r="L182" s="5" t="inlineStr">
        <is>
          <t>Pago</t>
        </is>
      </c>
      <c r="M182" s="7">
        <f>IFERROR(INDEX(ContaCorrente!$D:$D,MATCH(A182,ContaCorrente!$A:$A,0)),"")</f>
        <v/>
      </c>
      <c r="N182" s="8">
        <f>IF(AND(ISNUMBER(M182),M182&lt;&gt;0),F182/M182,"")</f>
        <v/>
      </c>
    </row>
    <row r="183">
      <c r="A183" s="4" t="n">
        <v>43770</v>
      </c>
      <c r="B183" s="5">
        <f>YEAR(A183)</f>
        <v/>
      </c>
      <c r="C183" s="5">
        <f>MONTH(A183)</f>
        <v/>
      </c>
      <c r="D183" s="6">
        <f>SUMIFS(Lancamentos!$L$2:$L$2342,Lancamentos!$D$2:$D$2342,B183,Lancamentos!$E$2:$E$2342,C183)-E183</f>
        <v/>
      </c>
      <c r="E183" s="6">
        <f>SUMIFS(Lancamentos!$L$2:$L$2342,Lancamentos!$D$2:$D$2342,B183,Lancamentos!$E$2:$E$2342,C183,Lancamentos!$H$2:$H$2342,"PREMIO")</f>
        <v/>
      </c>
      <c r="F183" s="6">
        <f>D183+E183</f>
        <v/>
      </c>
      <c r="G183" s="7">
        <f>SUMIFS(Estimativas!$F:$F,Estimativas!$A:$A,A183)</f>
        <v/>
      </c>
      <c r="H183" s="6">
        <f>F183+G183</f>
        <v/>
      </c>
      <c r="I183" s="6">
        <f>SUMIFS(Lancamentos!$J$2:$J$2342,Lancamentos!$D$2:$D$2342,B183,Lancamentos!$E$2:$E$2342,C183,Lancamentos!$H$2:$H$2342,"&lt;&gt;DISTRATO")</f>
        <v/>
      </c>
      <c r="J183" s="6">
        <f>F183-I183</f>
        <v/>
      </c>
      <c r="K183" s="6">
        <f>SUMIFS(Lancamentos!$K$2:$K$2342,Lancamentos!$D$2:$D$2342,B183,Lancamentos!$E$2:$E$2342,C183,Lancamentos!$H$2:$H$2342,"DISTRATO")</f>
        <v/>
      </c>
      <c r="L183" s="5" t="inlineStr">
        <is>
          <t>Pago</t>
        </is>
      </c>
      <c r="M183" s="7">
        <f>IFERROR(INDEX(ContaCorrente!$D:$D,MATCH(A183,ContaCorrente!$A:$A,0)),"")</f>
        <v/>
      </c>
      <c r="N183" s="8">
        <f>IF(AND(ISNUMBER(M183),M183&lt;&gt;0),F183/M183,"")</f>
        <v/>
      </c>
    </row>
    <row r="184">
      <c r="A184" s="4" t="n">
        <v>43800</v>
      </c>
      <c r="B184" s="5">
        <f>YEAR(A184)</f>
        <v/>
      </c>
      <c r="C184" s="5">
        <f>MONTH(A184)</f>
        <v/>
      </c>
      <c r="D184" s="6">
        <f>SUMIFS(Lancamentos!$L$2:$L$2342,Lancamentos!$D$2:$D$2342,B184,Lancamentos!$E$2:$E$2342,C184)-E184</f>
        <v/>
      </c>
      <c r="E184" s="6">
        <f>SUMIFS(Lancamentos!$L$2:$L$2342,Lancamentos!$D$2:$D$2342,B184,Lancamentos!$E$2:$E$2342,C184,Lancamentos!$H$2:$H$2342,"PREMIO")</f>
        <v/>
      </c>
      <c r="F184" s="6">
        <f>D184+E184</f>
        <v/>
      </c>
      <c r="G184" s="7">
        <f>SUMIFS(Estimativas!$F:$F,Estimativas!$A:$A,A184)</f>
        <v/>
      </c>
      <c r="H184" s="6">
        <f>F184+G184</f>
        <v/>
      </c>
      <c r="I184" s="6">
        <f>SUMIFS(Lancamentos!$J$2:$J$2342,Lancamentos!$D$2:$D$2342,B184,Lancamentos!$E$2:$E$2342,C184,Lancamentos!$H$2:$H$2342,"&lt;&gt;DISTRATO")</f>
        <v/>
      </c>
      <c r="J184" s="6">
        <f>F184-I184</f>
        <v/>
      </c>
      <c r="K184" s="6">
        <f>SUMIFS(Lancamentos!$K$2:$K$2342,Lancamentos!$D$2:$D$2342,B184,Lancamentos!$E$2:$E$2342,C184,Lancamentos!$H$2:$H$2342,"DISTRATO")</f>
        <v/>
      </c>
      <c r="L184" s="5" t="inlineStr">
        <is>
          <t>Pago</t>
        </is>
      </c>
      <c r="M184" s="7">
        <f>IFERROR(INDEX(ContaCorrente!$D:$D,MATCH(A184,ContaCorrente!$A:$A,0)),"")</f>
        <v/>
      </c>
      <c r="N184" s="8">
        <f>IF(AND(ISNUMBER(M184),M184&lt;&gt;0),F184/M184,"")</f>
        <v/>
      </c>
    </row>
    <row r="185">
      <c r="A185" s="4" t="n">
        <v>43831</v>
      </c>
      <c r="B185" s="5">
        <f>YEAR(A185)</f>
        <v/>
      </c>
      <c r="C185" s="5">
        <f>MONTH(A185)</f>
        <v/>
      </c>
      <c r="D185" s="6">
        <f>SUMIFS(Lancamentos!$L$2:$L$2342,Lancamentos!$D$2:$D$2342,B185,Lancamentos!$E$2:$E$2342,C185)-E185</f>
        <v/>
      </c>
      <c r="E185" s="6">
        <f>SUMIFS(Lancamentos!$L$2:$L$2342,Lancamentos!$D$2:$D$2342,B185,Lancamentos!$E$2:$E$2342,C185,Lancamentos!$H$2:$H$2342,"PREMIO")</f>
        <v/>
      </c>
      <c r="F185" s="6">
        <f>D185+E185</f>
        <v/>
      </c>
      <c r="G185" s="7">
        <f>SUMIFS(Estimativas!$F:$F,Estimativas!$A:$A,A185)</f>
        <v/>
      </c>
      <c r="H185" s="6">
        <f>F185+G185</f>
        <v/>
      </c>
      <c r="I185" s="6">
        <f>SUMIFS(Lancamentos!$J$2:$J$2342,Lancamentos!$D$2:$D$2342,B185,Lancamentos!$E$2:$E$2342,C185,Lancamentos!$H$2:$H$2342,"&lt;&gt;DISTRATO")</f>
        <v/>
      </c>
      <c r="J185" s="6">
        <f>F185-I185</f>
        <v/>
      </c>
      <c r="K185" s="6">
        <f>SUMIFS(Lancamentos!$K$2:$K$2342,Lancamentos!$D$2:$D$2342,B185,Lancamentos!$E$2:$E$2342,C185,Lancamentos!$H$2:$H$2342,"DISTRATO")</f>
        <v/>
      </c>
      <c r="L185" s="5" t="inlineStr">
        <is>
          <t>Pago</t>
        </is>
      </c>
      <c r="M185" s="7">
        <f>IFERROR(INDEX(ContaCorrente!$D:$D,MATCH(A185,ContaCorrente!$A:$A,0)),"")</f>
        <v/>
      </c>
      <c r="N185" s="8">
        <f>IF(AND(ISNUMBER(M185),M185&lt;&gt;0),F185/M185,"")</f>
        <v/>
      </c>
    </row>
    <row r="186">
      <c r="A186" s="4" t="n">
        <v>43862</v>
      </c>
      <c r="B186" s="5">
        <f>YEAR(A186)</f>
        <v/>
      </c>
      <c r="C186" s="5">
        <f>MONTH(A186)</f>
        <v/>
      </c>
      <c r="D186" s="6">
        <f>SUMIFS(Lancamentos!$L$2:$L$2342,Lancamentos!$D$2:$D$2342,B186,Lancamentos!$E$2:$E$2342,C186)-E186</f>
        <v/>
      </c>
      <c r="E186" s="6">
        <f>SUMIFS(Lancamentos!$L$2:$L$2342,Lancamentos!$D$2:$D$2342,B186,Lancamentos!$E$2:$E$2342,C186,Lancamentos!$H$2:$H$2342,"PREMIO")</f>
        <v/>
      </c>
      <c r="F186" s="6">
        <f>D186+E186</f>
        <v/>
      </c>
      <c r="G186" s="7">
        <f>SUMIFS(Estimativas!$F:$F,Estimativas!$A:$A,A186)</f>
        <v/>
      </c>
      <c r="H186" s="6">
        <f>F186+G186</f>
        <v/>
      </c>
      <c r="I186" s="6">
        <f>SUMIFS(Lancamentos!$J$2:$J$2342,Lancamentos!$D$2:$D$2342,B186,Lancamentos!$E$2:$E$2342,C186,Lancamentos!$H$2:$H$2342,"&lt;&gt;DISTRATO")</f>
        <v/>
      </c>
      <c r="J186" s="6">
        <f>F186-I186</f>
        <v/>
      </c>
      <c r="K186" s="6">
        <f>SUMIFS(Lancamentos!$K$2:$K$2342,Lancamentos!$D$2:$D$2342,B186,Lancamentos!$E$2:$E$2342,C186,Lancamentos!$H$2:$H$2342,"DISTRATO")</f>
        <v/>
      </c>
      <c r="L186" s="5" t="inlineStr">
        <is>
          <t>Pago</t>
        </is>
      </c>
      <c r="M186" s="7">
        <f>IFERROR(INDEX(ContaCorrente!$D:$D,MATCH(A186,ContaCorrente!$A:$A,0)),"")</f>
        <v/>
      </c>
      <c r="N186" s="8">
        <f>IF(AND(ISNUMBER(M186),M186&lt;&gt;0),F186/M186,"")</f>
        <v/>
      </c>
    </row>
    <row r="187">
      <c r="A187" s="4" t="n">
        <v>43891</v>
      </c>
      <c r="B187" s="5">
        <f>YEAR(A187)</f>
        <v/>
      </c>
      <c r="C187" s="5">
        <f>MONTH(A187)</f>
        <v/>
      </c>
      <c r="D187" s="6">
        <f>SUMIFS(Lancamentos!$L$2:$L$2342,Lancamentos!$D$2:$D$2342,B187,Lancamentos!$E$2:$E$2342,C187)-E187</f>
        <v/>
      </c>
      <c r="E187" s="6">
        <f>SUMIFS(Lancamentos!$L$2:$L$2342,Lancamentos!$D$2:$D$2342,B187,Lancamentos!$E$2:$E$2342,C187,Lancamentos!$H$2:$H$2342,"PREMIO")</f>
        <v/>
      </c>
      <c r="F187" s="6">
        <f>D187+E187</f>
        <v/>
      </c>
      <c r="G187" s="7">
        <f>SUMIFS(Estimativas!$F:$F,Estimativas!$A:$A,A187)</f>
        <v/>
      </c>
      <c r="H187" s="6">
        <f>F187+G187</f>
        <v/>
      </c>
      <c r="I187" s="6">
        <f>SUMIFS(Lancamentos!$J$2:$J$2342,Lancamentos!$D$2:$D$2342,B187,Lancamentos!$E$2:$E$2342,C187,Lancamentos!$H$2:$H$2342,"&lt;&gt;DISTRATO")</f>
        <v/>
      </c>
      <c r="J187" s="6">
        <f>F187-I187</f>
        <v/>
      </c>
      <c r="K187" s="6">
        <f>SUMIFS(Lancamentos!$K$2:$K$2342,Lancamentos!$D$2:$D$2342,B187,Lancamentos!$E$2:$E$2342,C187,Lancamentos!$H$2:$H$2342,"DISTRATO")</f>
        <v/>
      </c>
      <c r="L187" s="5" t="inlineStr">
        <is>
          <t>Pago</t>
        </is>
      </c>
      <c r="M187" s="7">
        <f>IFERROR(INDEX(ContaCorrente!$D:$D,MATCH(A187,ContaCorrente!$A:$A,0)),"")</f>
        <v/>
      </c>
      <c r="N187" s="8">
        <f>IF(AND(ISNUMBER(M187),M187&lt;&gt;0),F187/M187,"")</f>
        <v/>
      </c>
    </row>
    <row r="188">
      <c r="A188" s="4" t="n">
        <v>43922</v>
      </c>
      <c r="B188" s="5">
        <f>YEAR(A188)</f>
        <v/>
      </c>
      <c r="C188" s="5">
        <f>MONTH(A188)</f>
        <v/>
      </c>
      <c r="D188" s="6">
        <f>SUMIFS(Lancamentos!$L$2:$L$2342,Lancamentos!$D$2:$D$2342,B188,Lancamentos!$E$2:$E$2342,C188)-E188</f>
        <v/>
      </c>
      <c r="E188" s="6">
        <f>SUMIFS(Lancamentos!$L$2:$L$2342,Lancamentos!$D$2:$D$2342,B188,Lancamentos!$E$2:$E$2342,C188,Lancamentos!$H$2:$H$2342,"PREMIO")</f>
        <v/>
      </c>
      <c r="F188" s="6">
        <f>D188+E188</f>
        <v/>
      </c>
      <c r="G188" s="7">
        <f>SUMIFS(Estimativas!$F:$F,Estimativas!$A:$A,A188)</f>
        <v/>
      </c>
      <c r="H188" s="6">
        <f>F188+G188</f>
        <v/>
      </c>
      <c r="I188" s="6">
        <f>SUMIFS(Lancamentos!$J$2:$J$2342,Lancamentos!$D$2:$D$2342,B188,Lancamentos!$E$2:$E$2342,C188,Lancamentos!$H$2:$H$2342,"&lt;&gt;DISTRATO")</f>
        <v/>
      </c>
      <c r="J188" s="6">
        <f>F188-I188</f>
        <v/>
      </c>
      <c r="K188" s="6">
        <f>SUMIFS(Lancamentos!$K$2:$K$2342,Lancamentos!$D$2:$D$2342,B188,Lancamentos!$E$2:$E$2342,C188,Lancamentos!$H$2:$H$2342,"DISTRATO")</f>
        <v/>
      </c>
      <c r="L188" s="5" t="inlineStr">
        <is>
          <t>Pago</t>
        </is>
      </c>
      <c r="M188" s="7">
        <f>IFERROR(INDEX(ContaCorrente!$D:$D,MATCH(A188,ContaCorrente!$A:$A,0)),"")</f>
        <v/>
      </c>
      <c r="N188" s="8">
        <f>IF(AND(ISNUMBER(M188),M188&lt;&gt;0),F188/M188,"")</f>
        <v/>
      </c>
    </row>
    <row r="189">
      <c r="A189" s="4" t="n">
        <v>43952</v>
      </c>
      <c r="B189" s="5">
        <f>YEAR(A189)</f>
        <v/>
      </c>
      <c r="C189" s="5">
        <f>MONTH(A189)</f>
        <v/>
      </c>
      <c r="D189" s="6">
        <f>SUMIFS(Lancamentos!$L$2:$L$2342,Lancamentos!$D$2:$D$2342,B189,Lancamentos!$E$2:$E$2342,C189)-E189</f>
        <v/>
      </c>
      <c r="E189" s="6">
        <f>SUMIFS(Lancamentos!$L$2:$L$2342,Lancamentos!$D$2:$D$2342,B189,Lancamentos!$E$2:$E$2342,C189,Lancamentos!$H$2:$H$2342,"PREMIO")</f>
        <v/>
      </c>
      <c r="F189" s="6">
        <f>D189+E189</f>
        <v/>
      </c>
      <c r="G189" s="7">
        <f>SUMIFS(Estimativas!$F:$F,Estimativas!$A:$A,A189)</f>
        <v/>
      </c>
      <c r="H189" s="6">
        <f>F189+G189</f>
        <v/>
      </c>
      <c r="I189" s="6">
        <f>SUMIFS(Lancamentos!$J$2:$J$2342,Lancamentos!$D$2:$D$2342,B189,Lancamentos!$E$2:$E$2342,C189,Lancamentos!$H$2:$H$2342,"&lt;&gt;DISTRATO")</f>
        <v/>
      </c>
      <c r="J189" s="6">
        <f>F189-I189</f>
        <v/>
      </c>
      <c r="K189" s="6">
        <f>SUMIFS(Lancamentos!$K$2:$K$2342,Lancamentos!$D$2:$D$2342,B189,Lancamentos!$E$2:$E$2342,C189,Lancamentos!$H$2:$H$2342,"DISTRATO")</f>
        <v/>
      </c>
      <c r="L189" s="5" t="inlineStr">
        <is>
          <t>Pago</t>
        </is>
      </c>
      <c r="M189" s="7">
        <f>IFERROR(INDEX(ContaCorrente!$D:$D,MATCH(A189,ContaCorrente!$A:$A,0)),"")</f>
        <v/>
      </c>
      <c r="N189" s="8">
        <f>IF(AND(ISNUMBER(M189),M189&lt;&gt;0),F189/M189,"")</f>
        <v/>
      </c>
    </row>
    <row r="190">
      <c r="A190" s="4" t="n">
        <v>43983</v>
      </c>
      <c r="B190" s="5">
        <f>YEAR(A190)</f>
        <v/>
      </c>
      <c r="C190" s="5">
        <f>MONTH(A190)</f>
        <v/>
      </c>
      <c r="D190" s="6">
        <f>SUMIFS(Lancamentos!$L$2:$L$2342,Lancamentos!$D$2:$D$2342,B190,Lancamentos!$E$2:$E$2342,C190)-E190</f>
        <v/>
      </c>
      <c r="E190" s="6">
        <f>SUMIFS(Lancamentos!$L$2:$L$2342,Lancamentos!$D$2:$D$2342,B190,Lancamentos!$E$2:$E$2342,C190,Lancamentos!$H$2:$H$2342,"PREMIO")</f>
        <v/>
      </c>
      <c r="F190" s="6">
        <f>D190+E190</f>
        <v/>
      </c>
      <c r="G190" s="7">
        <f>SUMIFS(Estimativas!$F:$F,Estimativas!$A:$A,A190)</f>
        <v/>
      </c>
      <c r="H190" s="6">
        <f>F190+G190</f>
        <v/>
      </c>
      <c r="I190" s="6">
        <f>SUMIFS(Lancamentos!$J$2:$J$2342,Lancamentos!$D$2:$D$2342,B190,Lancamentos!$E$2:$E$2342,C190,Lancamentos!$H$2:$H$2342,"&lt;&gt;DISTRATO")</f>
        <v/>
      </c>
      <c r="J190" s="6">
        <f>F190-I190</f>
        <v/>
      </c>
      <c r="K190" s="6">
        <f>SUMIFS(Lancamentos!$K$2:$K$2342,Lancamentos!$D$2:$D$2342,B190,Lancamentos!$E$2:$E$2342,C190,Lancamentos!$H$2:$H$2342,"DISTRATO")</f>
        <v/>
      </c>
      <c r="L190" s="5" t="inlineStr">
        <is>
          <t>Pago</t>
        </is>
      </c>
      <c r="M190" s="7">
        <f>IFERROR(INDEX(ContaCorrente!$D:$D,MATCH(A190,ContaCorrente!$A:$A,0)),"")</f>
        <v/>
      </c>
      <c r="N190" s="8">
        <f>IF(AND(ISNUMBER(M190),M190&lt;&gt;0),F190/M190,"")</f>
        <v/>
      </c>
    </row>
    <row r="191">
      <c r="A191" s="4" t="n">
        <v>44013</v>
      </c>
      <c r="B191" s="5">
        <f>YEAR(A191)</f>
        <v/>
      </c>
      <c r="C191" s="5">
        <f>MONTH(A191)</f>
        <v/>
      </c>
      <c r="D191" s="6">
        <f>SUMIFS(Lancamentos!$L$2:$L$2342,Lancamentos!$D$2:$D$2342,B191,Lancamentos!$E$2:$E$2342,C191)-E191</f>
        <v/>
      </c>
      <c r="E191" s="6">
        <f>SUMIFS(Lancamentos!$L$2:$L$2342,Lancamentos!$D$2:$D$2342,B191,Lancamentos!$E$2:$E$2342,C191,Lancamentos!$H$2:$H$2342,"PREMIO")</f>
        <v/>
      </c>
      <c r="F191" s="6">
        <f>D191+E191</f>
        <v/>
      </c>
      <c r="G191" s="7">
        <f>SUMIFS(Estimativas!$F:$F,Estimativas!$A:$A,A191)</f>
        <v/>
      </c>
      <c r="H191" s="6">
        <f>F191+G191</f>
        <v/>
      </c>
      <c r="I191" s="6">
        <f>SUMIFS(Lancamentos!$J$2:$J$2342,Lancamentos!$D$2:$D$2342,B191,Lancamentos!$E$2:$E$2342,C191,Lancamentos!$H$2:$H$2342,"&lt;&gt;DISTRATO")</f>
        <v/>
      </c>
      <c r="J191" s="6">
        <f>F191-I191</f>
        <v/>
      </c>
      <c r="K191" s="6">
        <f>SUMIFS(Lancamentos!$K$2:$K$2342,Lancamentos!$D$2:$D$2342,B191,Lancamentos!$E$2:$E$2342,C191,Lancamentos!$H$2:$H$2342,"DISTRATO")</f>
        <v/>
      </c>
      <c r="L191" s="5" t="inlineStr">
        <is>
          <t>Pago</t>
        </is>
      </c>
      <c r="M191" s="7">
        <f>IFERROR(INDEX(ContaCorrente!$D:$D,MATCH(A191,ContaCorrente!$A:$A,0)),"")</f>
        <v/>
      </c>
      <c r="N191" s="8">
        <f>IF(AND(ISNUMBER(M191),M191&lt;&gt;0),F191/M191,"")</f>
        <v/>
      </c>
    </row>
    <row r="192">
      <c r="A192" s="4" t="n">
        <v>44044</v>
      </c>
      <c r="B192" s="5">
        <f>YEAR(A192)</f>
        <v/>
      </c>
      <c r="C192" s="5">
        <f>MONTH(A192)</f>
        <v/>
      </c>
      <c r="D192" s="6">
        <f>SUMIFS(Lancamentos!$L$2:$L$2342,Lancamentos!$D$2:$D$2342,B192,Lancamentos!$E$2:$E$2342,C192)-E192</f>
        <v/>
      </c>
      <c r="E192" s="6">
        <f>SUMIFS(Lancamentos!$L$2:$L$2342,Lancamentos!$D$2:$D$2342,B192,Lancamentos!$E$2:$E$2342,C192,Lancamentos!$H$2:$H$2342,"PREMIO")</f>
        <v/>
      </c>
      <c r="F192" s="6">
        <f>D192+E192</f>
        <v/>
      </c>
      <c r="G192" s="7">
        <f>SUMIFS(Estimativas!$F:$F,Estimativas!$A:$A,A192)</f>
        <v/>
      </c>
      <c r="H192" s="6">
        <f>F192+G192</f>
        <v/>
      </c>
      <c r="I192" s="6">
        <f>SUMIFS(Lancamentos!$J$2:$J$2342,Lancamentos!$D$2:$D$2342,B192,Lancamentos!$E$2:$E$2342,C192,Lancamentos!$H$2:$H$2342,"&lt;&gt;DISTRATO")</f>
        <v/>
      </c>
      <c r="J192" s="6">
        <f>F192-I192</f>
        <v/>
      </c>
      <c r="K192" s="6">
        <f>SUMIFS(Lancamentos!$K$2:$K$2342,Lancamentos!$D$2:$D$2342,B192,Lancamentos!$E$2:$E$2342,C192,Lancamentos!$H$2:$H$2342,"DISTRATO")</f>
        <v/>
      </c>
      <c r="L192" s="5" t="inlineStr">
        <is>
          <t>Pago</t>
        </is>
      </c>
      <c r="M192" s="7">
        <f>IFERROR(INDEX(ContaCorrente!$D:$D,MATCH(A192,ContaCorrente!$A:$A,0)),"")</f>
        <v/>
      </c>
      <c r="N192" s="8">
        <f>IF(AND(ISNUMBER(M192),M192&lt;&gt;0),F192/M192,"")</f>
        <v/>
      </c>
    </row>
    <row r="193">
      <c r="A193" s="4" t="n">
        <v>44075</v>
      </c>
      <c r="B193" s="5">
        <f>YEAR(A193)</f>
        <v/>
      </c>
      <c r="C193" s="5">
        <f>MONTH(A193)</f>
        <v/>
      </c>
      <c r="D193" s="6">
        <f>SUMIFS(Lancamentos!$L$2:$L$2342,Lancamentos!$D$2:$D$2342,B193,Lancamentos!$E$2:$E$2342,C193)-E193</f>
        <v/>
      </c>
      <c r="E193" s="6">
        <f>SUMIFS(Lancamentos!$L$2:$L$2342,Lancamentos!$D$2:$D$2342,B193,Lancamentos!$E$2:$E$2342,C193,Lancamentos!$H$2:$H$2342,"PREMIO")</f>
        <v/>
      </c>
      <c r="F193" s="6">
        <f>D193+E193</f>
        <v/>
      </c>
      <c r="G193" s="7">
        <f>SUMIFS(Estimativas!$F:$F,Estimativas!$A:$A,A193)</f>
        <v/>
      </c>
      <c r="H193" s="6">
        <f>F193+G193</f>
        <v/>
      </c>
      <c r="I193" s="6">
        <f>SUMIFS(Lancamentos!$J$2:$J$2342,Lancamentos!$D$2:$D$2342,B193,Lancamentos!$E$2:$E$2342,C193,Lancamentos!$H$2:$H$2342,"&lt;&gt;DISTRATO")</f>
        <v/>
      </c>
      <c r="J193" s="6">
        <f>F193-I193</f>
        <v/>
      </c>
      <c r="K193" s="6">
        <f>SUMIFS(Lancamentos!$K$2:$K$2342,Lancamentos!$D$2:$D$2342,B193,Lancamentos!$E$2:$E$2342,C193,Lancamentos!$H$2:$H$2342,"DISTRATO")</f>
        <v/>
      </c>
      <c r="L193" s="5" t="inlineStr">
        <is>
          <t>Pago</t>
        </is>
      </c>
      <c r="M193" s="7">
        <f>IFERROR(INDEX(ContaCorrente!$D:$D,MATCH(A193,ContaCorrente!$A:$A,0)),"")</f>
        <v/>
      </c>
      <c r="N193" s="8">
        <f>IF(AND(ISNUMBER(M193),M193&lt;&gt;0),F193/M193,"")</f>
        <v/>
      </c>
    </row>
    <row r="194">
      <c r="A194" s="4" t="n">
        <v>44105</v>
      </c>
      <c r="B194" s="5">
        <f>YEAR(A194)</f>
        <v/>
      </c>
      <c r="C194" s="5">
        <f>MONTH(A194)</f>
        <v/>
      </c>
      <c r="D194" s="6">
        <f>SUMIFS(Lancamentos!$L$2:$L$2342,Lancamentos!$D$2:$D$2342,B194,Lancamentos!$E$2:$E$2342,C194)-E194</f>
        <v/>
      </c>
      <c r="E194" s="6">
        <f>SUMIFS(Lancamentos!$L$2:$L$2342,Lancamentos!$D$2:$D$2342,B194,Lancamentos!$E$2:$E$2342,C194,Lancamentos!$H$2:$H$2342,"PREMIO")</f>
        <v/>
      </c>
      <c r="F194" s="6">
        <f>D194+E194</f>
        <v/>
      </c>
      <c r="G194" s="7">
        <f>SUMIFS(Estimativas!$F:$F,Estimativas!$A:$A,A194)</f>
        <v/>
      </c>
      <c r="H194" s="6">
        <f>F194+G194</f>
        <v/>
      </c>
      <c r="I194" s="6">
        <f>SUMIFS(Lancamentos!$J$2:$J$2342,Lancamentos!$D$2:$D$2342,B194,Lancamentos!$E$2:$E$2342,C194,Lancamentos!$H$2:$H$2342,"&lt;&gt;DISTRATO")</f>
        <v/>
      </c>
      <c r="J194" s="6">
        <f>F194-I194</f>
        <v/>
      </c>
      <c r="K194" s="6">
        <f>SUMIFS(Lancamentos!$K$2:$K$2342,Lancamentos!$D$2:$D$2342,B194,Lancamentos!$E$2:$E$2342,C194,Lancamentos!$H$2:$H$2342,"DISTRATO")</f>
        <v/>
      </c>
      <c r="L194" s="5" t="inlineStr">
        <is>
          <t>Pago</t>
        </is>
      </c>
      <c r="M194" s="7">
        <f>IFERROR(INDEX(ContaCorrente!$D:$D,MATCH(A194,ContaCorrente!$A:$A,0)),"")</f>
        <v/>
      </c>
      <c r="N194" s="8">
        <f>IF(AND(ISNUMBER(M194),M194&lt;&gt;0),F194/M194,"")</f>
        <v/>
      </c>
    </row>
    <row r="195">
      <c r="A195" s="4" t="n">
        <v>44136</v>
      </c>
      <c r="B195" s="5">
        <f>YEAR(A195)</f>
        <v/>
      </c>
      <c r="C195" s="5">
        <f>MONTH(A195)</f>
        <v/>
      </c>
      <c r="D195" s="6">
        <f>SUMIFS(Lancamentos!$L$2:$L$2342,Lancamentos!$D$2:$D$2342,B195,Lancamentos!$E$2:$E$2342,C195)-E195</f>
        <v/>
      </c>
      <c r="E195" s="6">
        <f>SUMIFS(Lancamentos!$L$2:$L$2342,Lancamentos!$D$2:$D$2342,B195,Lancamentos!$E$2:$E$2342,C195,Lancamentos!$H$2:$H$2342,"PREMIO")</f>
        <v/>
      </c>
      <c r="F195" s="6">
        <f>D195+E195</f>
        <v/>
      </c>
      <c r="G195" s="7">
        <f>SUMIFS(Estimativas!$F:$F,Estimativas!$A:$A,A195)</f>
        <v/>
      </c>
      <c r="H195" s="6">
        <f>F195+G195</f>
        <v/>
      </c>
      <c r="I195" s="6">
        <f>SUMIFS(Lancamentos!$J$2:$J$2342,Lancamentos!$D$2:$D$2342,B195,Lancamentos!$E$2:$E$2342,C195,Lancamentos!$H$2:$H$2342,"&lt;&gt;DISTRATO")</f>
        <v/>
      </c>
      <c r="J195" s="6">
        <f>F195-I195</f>
        <v/>
      </c>
      <c r="K195" s="6">
        <f>SUMIFS(Lancamentos!$K$2:$K$2342,Lancamentos!$D$2:$D$2342,B195,Lancamentos!$E$2:$E$2342,C195,Lancamentos!$H$2:$H$2342,"DISTRATO")</f>
        <v/>
      </c>
      <c r="L195" s="5" t="inlineStr">
        <is>
          <t>Pago</t>
        </is>
      </c>
      <c r="M195" s="7">
        <f>IFERROR(INDEX(ContaCorrente!$D:$D,MATCH(A195,ContaCorrente!$A:$A,0)),"")</f>
        <v/>
      </c>
      <c r="N195" s="8">
        <f>IF(AND(ISNUMBER(M195),M195&lt;&gt;0),F195/M195,"")</f>
        <v/>
      </c>
    </row>
    <row r="196">
      <c r="A196" s="4" t="n">
        <v>44166</v>
      </c>
      <c r="B196" s="5">
        <f>YEAR(A196)</f>
        <v/>
      </c>
      <c r="C196" s="5">
        <f>MONTH(A196)</f>
        <v/>
      </c>
      <c r="D196" s="6">
        <f>SUMIFS(Lancamentos!$L$2:$L$2342,Lancamentos!$D$2:$D$2342,B196,Lancamentos!$E$2:$E$2342,C196)-E196</f>
        <v/>
      </c>
      <c r="E196" s="6">
        <f>SUMIFS(Lancamentos!$L$2:$L$2342,Lancamentos!$D$2:$D$2342,B196,Lancamentos!$E$2:$E$2342,C196,Lancamentos!$H$2:$H$2342,"PREMIO")</f>
        <v/>
      </c>
      <c r="F196" s="6">
        <f>D196+E196</f>
        <v/>
      </c>
      <c r="G196" s="7">
        <f>SUMIFS(Estimativas!$F:$F,Estimativas!$A:$A,A196)</f>
        <v/>
      </c>
      <c r="H196" s="6">
        <f>F196+G196</f>
        <v/>
      </c>
      <c r="I196" s="6">
        <f>SUMIFS(Lancamentos!$J$2:$J$2342,Lancamentos!$D$2:$D$2342,B196,Lancamentos!$E$2:$E$2342,C196,Lancamentos!$H$2:$H$2342,"&lt;&gt;DISTRATO")</f>
        <v/>
      </c>
      <c r="J196" s="6">
        <f>F196-I196</f>
        <v/>
      </c>
      <c r="K196" s="6">
        <f>SUMIFS(Lancamentos!$K$2:$K$2342,Lancamentos!$D$2:$D$2342,B196,Lancamentos!$E$2:$E$2342,C196,Lancamentos!$H$2:$H$2342,"DISTRATO")</f>
        <v/>
      </c>
      <c r="L196" s="5" t="inlineStr">
        <is>
          <t>Pago</t>
        </is>
      </c>
      <c r="M196" s="7">
        <f>IFERROR(INDEX(ContaCorrente!$D:$D,MATCH(A196,ContaCorrente!$A:$A,0)),"")</f>
        <v/>
      </c>
      <c r="N196" s="8">
        <f>IF(AND(ISNUMBER(M196),M196&lt;&gt;0),F196/M196,"")</f>
        <v/>
      </c>
    </row>
    <row r="197">
      <c r="A197" s="4" t="n">
        <v>44197</v>
      </c>
      <c r="B197" s="5">
        <f>YEAR(A197)</f>
        <v/>
      </c>
      <c r="C197" s="5">
        <f>MONTH(A197)</f>
        <v/>
      </c>
      <c r="D197" s="6">
        <f>SUMIFS(Lancamentos!$L$2:$L$2342,Lancamentos!$D$2:$D$2342,B197,Lancamentos!$E$2:$E$2342,C197)-E197</f>
        <v/>
      </c>
      <c r="E197" s="6">
        <f>SUMIFS(Lancamentos!$L$2:$L$2342,Lancamentos!$D$2:$D$2342,B197,Lancamentos!$E$2:$E$2342,C197,Lancamentos!$H$2:$H$2342,"PREMIO")</f>
        <v/>
      </c>
      <c r="F197" s="6">
        <f>D197+E197</f>
        <v/>
      </c>
      <c r="G197" s="7">
        <f>SUMIFS(Estimativas!$F:$F,Estimativas!$A:$A,A197)</f>
        <v/>
      </c>
      <c r="H197" s="6">
        <f>F197+G197</f>
        <v/>
      </c>
      <c r="I197" s="6">
        <f>SUMIFS(Lancamentos!$J$2:$J$2342,Lancamentos!$D$2:$D$2342,B197,Lancamentos!$E$2:$E$2342,C197,Lancamentos!$H$2:$H$2342,"&lt;&gt;DISTRATO")</f>
        <v/>
      </c>
      <c r="J197" s="6">
        <f>F197-I197</f>
        <v/>
      </c>
      <c r="K197" s="6">
        <f>SUMIFS(Lancamentos!$K$2:$K$2342,Lancamentos!$D$2:$D$2342,B197,Lancamentos!$E$2:$E$2342,C197,Lancamentos!$H$2:$H$2342,"DISTRATO")</f>
        <v/>
      </c>
      <c r="L197" s="5" t="inlineStr">
        <is>
          <t>Pago</t>
        </is>
      </c>
      <c r="M197" s="7">
        <f>IFERROR(INDEX(ContaCorrente!$D:$D,MATCH(A197,ContaCorrente!$A:$A,0)),"")</f>
        <v/>
      </c>
      <c r="N197" s="8">
        <f>IF(AND(ISNUMBER(M197),M197&lt;&gt;0),F197/M197,"")</f>
        <v/>
      </c>
    </row>
    <row r="198">
      <c r="A198" s="4" t="n">
        <v>44228</v>
      </c>
      <c r="B198" s="5">
        <f>YEAR(A198)</f>
        <v/>
      </c>
      <c r="C198" s="5">
        <f>MONTH(A198)</f>
        <v/>
      </c>
      <c r="D198" s="6">
        <f>SUMIFS(Lancamentos!$L$2:$L$2342,Lancamentos!$D$2:$D$2342,B198,Lancamentos!$E$2:$E$2342,C198)-E198</f>
        <v/>
      </c>
      <c r="E198" s="6">
        <f>SUMIFS(Lancamentos!$L$2:$L$2342,Lancamentos!$D$2:$D$2342,B198,Lancamentos!$E$2:$E$2342,C198,Lancamentos!$H$2:$H$2342,"PREMIO")</f>
        <v/>
      </c>
      <c r="F198" s="6">
        <f>D198+E198</f>
        <v/>
      </c>
      <c r="G198" s="7">
        <f>SUMIFS(Estimativas!$F:$F,Estimativas!$A:$A,A198)</f>
        <v/>
      </c>
      <c r="H198" s="6">
        <f>F198+G198</f>
        <v/>
      </c>
      <c r="I198" s="6">
        <f>SUMIFS(Lancamentos!$J$2:$J$2342,Lancamentos!$D$2:$D$2342,B198,Lancamentos!$E$2:$E$2342,C198,Lancamentos!$H$2:$H$2342,"&lt;&gt;DISTRATO")</f>
        <v/>
      </c>
      <c r="J198" s="6">
        <f>F198-I198</f>
        <v/>
      </c>
      <c r="K198" s="6">
        <f>SUMIFS(Lancamentos!$K$2:$K$2342,Lancamentos!$D$2:$D$2342,B198,Lancamentos!$E$2:$E$2342,C198,Lancamentos!$H$2:$H$2342,"DISTRATO")</f>
        <v/>
      </c>
      <c r="L198" s="5" t="inlineStr">
        <is>
          <t>Pago</t>
        </is>
      </c>
      <c r="M198" s="7">
        <f>IFERROR(INDEX(ContaCorrente!$D:$D,MATCH(A198,ContaCorrente!$A:$A,0)),"")</f>
        <v/>
      </c>
      <c r="N198" s="8">
        <f>IF(AND(ISNUMBER(M198),M198&lt;&gt;0),F198/M198,"")</f>
        <v/>
      </c>
    </row>
    <row r="199">
      <c r="A199" s="4" t="n">
        <v>44256</v>
      </c>
      <c r="B199" s="5">
        <f>YEAR(A199)</f>
        <v/>
      </c>
      <c r="C199" s="5">
        <f>MONTH(A199)</f>
        <v/>
      </c>
      <c r="D199" s="6">
        <f>SUMIFS(Lancamentos!$L$2:$L$2342,Lancamentos!$D$2:$D$2342,B199,Lancamentos!$E$2:$E$2342,C199)-E199</f>
        <v/>
      </c>
      <c r="E199" s="6">
        <f>SUMIFS(Lancamentos!$L$2:$L$2342,Lancamentos!$D$2:$D$2342,B199,Lancamentos!$E$2:$E$2342,C199,Lancamentos!$H$2:$H$2342,"PREMIO")</f>
        <v/>
      </c>
      <c r="F199" s="6">
        <f>D199+E199</f>
        <v/>
      </c>
      <c r="G199" s="7">
        <f>SUMIFS(Estimativas!$F:$F,Estimativas!$A:$A,A199)</f>
        <v/>
      </c>
      <c r="H199" s="6">
        <f>F199+G199</f>
        <v/>
      </c>
      <c r="I199" s="6">
        <f>SUMIFS(Lancamentos!$J$2:$J$2342,Lancamentos!$D$2:$D$2342,B199,Lancamentos!$E$2:$E$2342,C199,Lancamentos!$H$2:$H$2342,"&lt;&gt;DISTRATO")</f>
        <v/>
      </c>
      <c r="J199" s="6">
        <f>F199-I199</f>
        <v/>
      </c>
      <c r="K199" s="6">
        <f>SUMIFS(Lancamentos!$K$2:$K$2342,Lancamentos!$D$2:$D$2342,B199,Lancamentos!$E$2:$E$2342,C199,Lancamentos!$H$2:$H$2342,"DISTRATO")</f>
        <v/>
      </c>
      <c r="L199" s="5" t="inlineStr">
        <is>
          <t>Pago</t>
        </is>
      </c>
      <c r="M199" s="7">
        <f>IFERROR(INDEX(ContaCorrente!$D:$D,MATCH(A199,ContaCorrente!$A:$A,0)),"")</f>
        <v/>
      </c>
      <c r="N199" s="8">
        <f>IF(AND(ISNUMBER(M199),M199&lt;&gt;0),F199/M199,"")</f>
        <v/>
      </c>
    </row>
    <row r="200">
      <c r="A200" s="4" t="n">
        <v>44287</v>
      </c>
      <c r="B200" s="5">
        <f>YEAR(A200)</f>
        <v/>
      </c>
      <c r="C200" s="5">
        <f>MONTH(A200)</f>
        <v/>
      </c>
      <c r="D200" s="6">
        <f>SUMIFS(Lancamentos!$L$2:$L$2342,Lancamentos!$D$2:$D$2342,B200,Lancamentos!$E$2:$E$2342,C200)-E200</f>
        <v/>
      </c>
      <c r="E200" s="6">
        <f>SUMIFS(Lancamentos!$L$2:$L$2342,Lancamentos!$D$2:$D$2342,B200,Lancamentos!$E$2:$E$2342,C200,Lancamentos!$H$2:$H$2342,"PREMIO")</f>
        <v/>
      </c>
      <c r="F200" s="6">
        <f>D200+E200</f>
        <v/>
      </c>
      <c r="G200" s="7">
        <f>SUMIFS(Estimativas!$F:$F,Estimativas!$A:$A,A200)</f>
        <v/>
      </c>
      <c r="H200" s="6">
        <f>F200+G200</f>
        <v/>
      </c>
      <c r="I200" s="6">
        <f>SUMIFS(Lancamentos!$J$2:$J$2342,Lancamentos!$D$2:$D$2342,B200,Lancamentos!$E$2:$E$2342,C200,Lancamentos!$H$2:$H$2342,"&lt;&gt;DISTRATO")</f>
        <v/>
      </c>
      <c r="J200" s="6">
        <f>F200-I200</f>
        <v/>
      </c>
      <c r="K200" s="6">
        <f>SUMIFS(Lancamentos!$K$2:$K$2342,Lancamentos!$D$2:$D$2342,B200,Lancamentos!$E$2:$E$2342,C200,Lancamentos!$H$2:$H$2342,"DISTRATO")</f>
        <v/>
      </c>
      <c r="L200" s="5" t="inlineStr">
        <is>
          <t>Pago</t>
        </is>
      </c>
      <c r="M200" s="7">
        <f>IFERROR(INDEX(ContaCorrente!$D:$D,MATCH(A200,ContaCorrente!$A:$A,0)),"")</f>
        <v/>
      </c>
      <c r="N200" s="8">
        <f>IF(AND(ISNUMBER(M200),M200&lt;&gt;0),F200/M200,"")</f>
        <v/>
      </c>
    </row>
    <row r="201">
      <c r="A201" s="4" t="n">
        <v>44317</v>
      </c>
      <c r="B201" s="5">
        <f>YEAR(A201)</f>
        <v/>
      </c>
      <c r="C201" s="5">
        <f>MONTH(A201)</f>
        <v/>
      </c>
      <c r="D201" s="6">
        <f>SUMIFS(Lancamentos!$L$2:$L$2342,Lancamentos!$D$2:$D$2342,B201,Lancamentos!$E$2:$E$2342,C201)-E201</f>
        <v/>
      </c>
      <c r="E201" s="6">
        <f>SUMIFS(Lancamentos!$L$2:$L$2342,Lancamentos!$D$2:$D$2342,B201,Lancamentos!$E$2:$E$2342,C201,Lancamentos!$H$2:$H$2342,"PREMIO")</f>
        <v/>
      </c>
      <c r="F201" s="6">
        <f>D201+E201</f>
        <v/>
      </c>
      <c r="G201" s="7">
        <f>SUMIFS(Estimativas!$F:$F,Estimativas!$A:$A,A201)</f>
        <v/>
      </c>
      <c r="H201" s="6">
        <f>F201+G201</f>
        <v/>
      </c>
      <c r="I201" s="6">
        <f>SUMIFS(Lancamentos!$J$2:$J$2342,Lancamentos!$D$2:$D$2342,B201,Lancamentos!$E$2:$E$2342,C201,Lancamentos!$H$2:$H$2342,"&lt;&gt;DISTRATO")</f>
        <v/>
      </c>
      <c r="J201" s="6">
        <f>F201-I201</f>
        <v/>
      </c>
      <c r="K201" s="6">
        <f>SUMIFS(Lancamentos!$K$2:$K$2342,Lancamentos!$D$2:$D$2342,B201,Lancamentos!$E$2:$E$2342,C201,Lancamentos!$H$2:$H$2342,"DISTRATO")</f>
        <v/>
      </c>
      <c r="L201" s="5" t="inlineStr">
        <is>
          <t>Pago</t>
        </is>
      </c>
      <c r="M201" s="7">
        <f>IFERROR(INDEX(ContaCorrente!$D:$D,MATCH(A201,ContaCorrente!$A:$A,0)),"")</f>
        <v/>
      </c>
      <c r="N201" s="8">
        <f>IF(AND(ISNUMBER(M201),M201&lt;&gt;0),F201/M201,"")</f>
        <v/>
      </c>
    </row>
    <row r="202">
      <c r="A202" s="4" t="n">
        <v>44348</v>
      </c>
      <c r="B202" s="5">
        <f>YEAR(A202)</f>
        <v/>
      </c>
      <c r="C202" s="5">
        <f>MONTH(A202)</f>
        <v/>
      </c>
      <c r="D202" s="6">
        <f>SUMIFS(Lancamentos!$L$2:$L$2342,Lancamentos!$D$2:$D$2342,B202,Lancamentos!$E$2:$E$2342,C202)-E202</f>
        <v/>
      </c>
      <c r="E202" s="6">
        <f>SUMIFS(Lancamentos!$L$2:$L$2342,Lancamentos!$D$2:$D$2342,B202,Lancamentos!$E$2:$E$2342,C202,Lancamentos!$H$2:$H$2342,"PREMIO")</f>
        <v/>
      </c>
      <c r="F202" s="6">
        <f>D202+E202</f>
        <v/>
      </c>
      <c r="G202" s="7">
        <f>SUMIFS(Estimativas!$F:$F,Estimativas!$A:$A,A202)</f>
        <v/>
      </c>
      <c r="H202" s="6">
        <f>F202+G202</f>
        <v/>
      </c>
      <c r="I202" s="6">
        <f>SUMIFS(Lancamentos!$J$2:$J$2342,Lancamentos!$D$2:$D$2342,B202,Lancamentos!$E$2:$E$2342,C202,Lancamentos!$H$2:$H$2342,"&lt;&gt;DISTRATO")</f>
        <v/>
      </c>
      <c r="J202" s="6">
        <f>F202-I202</f>
        <v/>
      </c>
      <c r="K202" s="6">
        <f>SUMIFS(Lancamentos!$K$2:$K$2342,Lancamentos!$D$2:$D$2342,B202,Lancamentos!$E$2:$E$2342,C202,Lancamentos!$H$2:$H$2342,"DISTRATO")</f>
        <v/>
      </c>
      <c r="L202" s="5" t="inlineStr">
        <is>
          <t>Pago</t>
        </is>
      </c>
      <c r="M202" s="7">
        <f>IFERROR(INDEX(ContaCorrente!$D:$D,MATCH(A202,ContaCorrente!$A:$A,0)),"")</f>
        <v/>
      </c>
      <c r="N202" s="8">
        <f>IF(AND(ISNUMBER(M202),M202&lt;&gt;0),F202/M202,"")</f>
        <v/>
      </c>
    </row>
    <row r="203">
      <c r="A203" s="4" t="n">
        <v>44378</v>
      </c>
      <c r="B203" s="5">
        <f>YEAR(A203)</f>
        <v/>
      </c>
      <c r="C203" s="5">
        <f>MONTH(A203)</f>
        <v/>
      </c>
      <c r="D203" s="6">
        <f>SUMIFS(Lancamentos!$L$2:$L$2342,Lancamentos!$D$2:$D$2342,B203,Lancamentos!$E$2:$E$2342,C203)-E203</f>
        <v/>
      </c>
      <c r="E203" s="6">
        <f>SUMIFS(Lancamentos!$L$2:$L$2342,Lancamentos!$D$2:$D$2342,B203,Lancamentos!$E$2:$E$2342,C203,Lancamentos!$H$2:$H$2342,"PREMIO")</f>
        <v/>
      </c>
      <c r="F203" s="6">
        <f>D203+E203</f>
        <v/>
      </c>
      <c r="G203" s="7">
        <f>SUMIFS(Estimativas!$F:$F,Estimativas!$A:$A,A203)</f>
        <v/>
      </c>
      <c r="H203" s="6">
        <f>F203+G203</f>
        <v/>
      </c>
      <c r="I203" s="6">
        <f>SUMIFS(Lancamentos!$J$2:$J$2342,Lancamentos!$D$2:$D$2342,B203,Lancamentos!$E$2:$E$2342,C203,Lancamentos!$H$2:$H$2342,"&lt;&gt;DISTRATO")</f>
        <v/>
      </c>
      <c r="J203" s="6">
        <f>F203-I203</f>
        <v/>
      </c>
      <c r="K203" s="6">
        <f>SUMIFS(Lancamentos!$K$2:$K$2342,Lancamentos!$D$2:$D$2342,B203,Lancamentos!$E$2:$E$2342,C203,Lancamentos!$H$2:$H$2342,"DISTRATO")</f>
        <v/>
      </c>
      <c r="L203" s="5" t="inlineStr">
        <is>
          <t>Pago</t>
        </is>
      </c>
      <c r="M203" s="7">
        <f>IFERROR(INDEX(ContaCorrente!$D:$D,MATCH(A203,ContaCorrente!$A:$A,0)),"")</f>
        <v/>
      </c>
      <c r="N203" s="8">
        <f>IF(AND(ISNUMBER(M203),M203&lt;&gt;0),F203/M203,"")</f>
        <v/>
      </c>
    </row>
    <row r="204">
      <c r="A204" s="4" t="n">
        <v>44409</v>
      </c>
      <c r="B204" s="5">
        <f>YEAR(A204)</f>
        <v/>
      </c>
      <c r="C204" s="5">
        <f>MONTH(A204)</f>
        <v/>
      </c>
      <c r="D204" s="6">
        <f>SUMIFS(Lancamentos!$L$2:$L$2342,Lancamentos!$D$2:$D$2342,B204,Lancamentos!$E$2:$E$2342,C204)-E204</f>
        <v/>
      </c>
      <c r="E204" s="6">
        <f>SUMIFS(Lancamentos!$L$2:$L$2342,Lancamentos!$D$2:$D$2342,B204,Lancamentos!$E$2:$E$2342,C204,Lancamentos!$H$2:$H$2342,"PREMIO")</f>
        <v/>
      </c>
      <c r="F204" s="6">
        <f>D204+E204</f>
        <v/>
      </c>
      <c r="G204" s="7">
        <f>SUMIFS(Estimativas!$F:$F,Estimativas!$A:$A,A204)</f>
        <v/>
      </c>
      <c r="H204" s="6">
        <f>F204+G204</f>
        <v/>
      </c>
      <c r="I204" s="6">
        <f>SUMIFS(Lancamentos!$J$2:$J$2342,Lancamentos!$D$2:$D$2342,B204,Lancamentos!$E$2:$E$2342,C204,Lancamentos!$H$2:$H$2342,"&lt;&gt;DISTRATO")</f>
        <v/>
      </c>
      <c r="J204" s="6">
        <f>F204-I204</f>
        <v/>
      </c>
      <c r="K204" s="6">
        <f>SUMIFS(Lancamentos!$K$2:$K$2342,Lancamentos!$D$2:$D$2342,B204,Lancamentos!$E$2:$E$2342,C204,Lancamentos!$H$2:$H$2342,"DISTRATO")</f>
        <v/>
      </c>
      <c r="L204" s="5" t="inlineStr">
        <is>
          <t>Pago</t>
        </is>
      </c>
      <c r="M204" s="7">
        <f>IFERROR(INDEX(ContaCorrente!$D:$D,MATCH(A204,ContaCorrente!$A:$A,0)),"")</f>
        <v/>
      </c>
      <c r="N204" s="8">
        <f>IF(AND(ISNUMBER(M204),M204&lt;&gt;0),F204/M204,"")</f>
        <v/>
      </c>
    </row>
    <row r="205">
      <c r="A205" s="4" t="n">
        <v>44440</v>
      </c>
      <c r="B205" s="5">
        <f>YEAR(A205)</f>
        <v/>
      </c>
      <c r="C205" s="5">
        <f>MONTH(A205)</f>
        <v/>
      </c>
      <c r="D205" s="6">
        <f>SUMIFS(Lancamentos!$L$2:$L$2342,Lancamentos!$D$2:$D$2342,B205,Lancamentos!$E$2:$E$2342,C205)-E205</f>
        <v/>
      </c>
      <c r="E205" s="6">
        <f>SUMIFS(Lancamentos!$L$2:$L$2342,Lancamentos!$D$2:$D$2342,B205,Lancamentos!$E$2:$E$2342,C205,Lancamentos!$H$2:$H$2342,"PREMIO")</f>
        <v/>
      </c>
      <c r="F205" s="6">
        <f>D205+E205</f>
        <v/>
      </c>
      <c r="G205" s="7">
        <f>SUMIFS(Estimativas!$F:$F,Estimativas!$A:$A,A205)</f>
        <v/>
      </c>
      <c r="H205" s="6">
        <f>F205+G205</f>
        <v/>
      </c>
      <c r="I205" s="6">
        <f>SUMIFS(Lancamentos!$J$2:$J$2342,Lancamentos!$D$2:$D$2342,B205,Lancamentos!$E$2:$E$2342,C205,Lancamentos!$H$2:$H$2342,"&lt;&gt;DISTRATO")</f>
        <v/>
      </c>
      <c r="J205" s="6">
        <f>F205-I205</f>
        <v/>
      </c>
      <c r="K205" s="6">
        <f>SUMIFS(Lancamentos!$K$2:$K$2342,Lancamentos!$D$2:$D$2342,B205,Lancamentos!$E$2:$E$2342,C205,Lancamentos!$H$2:$H$2342,"DISTRATO")</f>
        <v/>
      </c>
      <c r="L205" s="5" t="inlineStr">
        <is>
          <t>Pago</t>
        </is>
      </c>
      <c r="M205" s="7">
        <f>IFERROR(INDEX(ContaCorrente!$D:$D,MATCH(A205,ContaCorrente!$A:$A,0)),"")</f>
        <v/>
      </c>
      <c r="N205" s="8">
        <f>IF(AND(ISNUMBER(M205),M205&lt;&gt;0),F205/M205,"")</f>
        <v/>
      </c>
    </row>
    <row r="206">
      <c r="A206" s="4" t="n">
        <v>44470</v>
      </c>
      <c r="B206" s="5">
        <f>YEAR(A206)</f>
        <v/>
      </c>
      <c r="C206" s="5">
        <f>MONTH(A206)</f>
        <v/>
      </c>
      <c r="D206" s="6">
        <f>SUMIFS(Lancamentos!$L$2:$L$2342,Lancamentos!$D$2:$D$2342,B206,Lancamentos!$E$2:$E$2342,C206)-E206</f>
        <v/>
      </c>
      <c r="E206" s="6">
        <f>SUMIFS(Lancamentos!$L$2:$L$2342,Lancamentos!$D$2:$D$2342,B206,Lancamentos!$E$2:$E$2342,C206,Lancamentos!$H$2:$H$2342,"PREMIO")</f>
        <v/>
      </c>
      <c r="F206" s="6">
        <f>D206+E206</f>
        <v/>
      </c>
      <c r="G206" s="7">
        <f>SUMIFS(Estimativas!$F:$F,Estimativas!$A:$A,A206)</f>
        <v/>
      </c>
      <c r="H206" s="6">
        <f>F206+G206</f>
        <v/>
      </c>
      <c r="I206" s="6">
        <f>SUMIFS(Lancamentos!$J$2:$J$2342,Lancamentos!$D$2:$D$2342,B206,Lancamentos!$E$2:$E$2342,C206,Lancamentos!$H$2:$H$2342,"&lt;&gt;DISTRATO")</f>
        <v/>
      </c>
      <c r="J206" s="6">
        <f>F206-I206</f>
        <v/>
      </c>
      <c r="K206" s="6">
        <f>SUMIFS(Lancamentos!$K$2:$K$2342,Lancamentos!$D$2:$D$2342,B206,Lancamentos!$E$2:$E$2342,C206,Lancamentos!$H$2:$H$2342,"DISTRATO")</f>
        <v/>
      </c>
      <c r="L206" s="5" t="inlineStr">
        <is>
          <t>Pago</t>
        </is>
      </c>
      <c r="M206" s="7">
        <f>IFERROR(INDEX(ContaCorrente!$D:$D,MATCH(A206,ContaCorrente!$A:$A,0)),"")</f>
        <v/>
      </c>
      <c r="N206" s="8">
        <f>IF(AND(ISNUMBER(M206),M206&lt;&gt;0),F206/M206,"")</f>
        <v/>
      </c>
    </row>
    <row r="207">
      <c r="A207" s="4" t="n">
        <v>44501</v>
      </c>
      <c r="B207" s="5">
        <f>YEAR(A207)</f>
        <v/>
      </c>
      <c r="C207" s="5">
        <f>MONTH(A207)</f>
        <v/>
      </c>
      <c r="D207" s="6">
        <f>SUMIFS(Lancamentos!$L$2:$L$2342,Lancamentos!$D$2:$D$2342,B207,Lancamentos!$E$2:$E$2342,C207)-E207</f>
        <v/>
      </c>
      <c r="E207" s="6">
        <f>SUMIFS(Lancamentos!$L$2:$L$2342,Lancamentos!$D$2:$D$2342,B207,Lancamentos!$E$2:$E$2342,C207,Lancamentos!$H$2:$H$2342,"PREMIO")</f>
        <v/>
      </c>
      <c r="F207" s="6">
        <f>D207+E207</f>
        <v/>
      </c>
      <c r="G207" s="7">
        <f>SUMIFS(Estimativas!$F:$F,Estimativas!$A:$A,A207)</f>
        <v/>
      </c>
      <c r="H207" s="6">
        <f>F207+G207</f>
        <v/>
      </c>
      <c r="I207" s="6">
        <f>SUMIFS(Lancamentos!$J$2:$J$2342,Lancamentos!$D$2:$D$2342,B207,Lancamentos!$E$2:$E$2342,C207,Lancamentos!$H$2:$H$2342,"&lt;&gt;DISTRATO")</f>
        <v/>
      </c>
      <c r="J207" s="6">
        <f>F207-I207</f>
        <v/>
      </c>
      <c r="K207" s="6">
        <f>SUMIFS(Lancamentos!$K$2:$K$2342,Lancamentos!$D$2:$D$2342,B207,Lancamentos!$E$2:$E$2342,C207,Lancamentos!$H$2:$H$2342,"DISTRATO")</f>
        <v/>
      </c>
      <c r="L207" s="5" t="inlineStr">
        <is>
          <t>Pago</t>
        </is>
      </c>
      <c r="M207" s="7">
        <f>IFERROR(INDEX(ContaCorrente!$D:$D,MATCH(A207,ContaCorrente!$A:$A,0)),"")</f>
        <v/>
      </c>
      <c r="N207" s="8">
        <f>IF(AND(ISNUMBER(M207),M207&lt;&gt;0),F207/M207,"")</f>
        <v/>
      </c>
    </row>
    <row r="208">
      <c r="A208" s="4" t="n">
        <v>44531</v>
      </c>
      <c r="B208" s="5">
        <f>YEAR(A208)</f>
        <v/>
      </c>
      <c r="C208" s="5">
        <f>MONTH(A208)</f>
        <v/>
      </c>
      <c r="D208" s="6">
        <f>SUMIFS(Lancamentos!$L$2:$L$2342,Lancamentos!$D$2:$D$2342,B208,Lancamentos!$E$2:$E$2342,C208)-E208</f>
        <v/>
      </c>
      <c r="E208" s="6">
        <f>SUMIFS(Lancamentos!$L$2:$L$2342,Lancamentos!$D$2:$D$2342,B208,Lancamentos!$E$2:$E$2342,C208,Lancamentos!$H$2:$H$2342,"PREMIO")</f>
        <v/>
      </c>
      <c r="F208" s="6">
        <f>D208+E208</f>
        <v/>
      </c>
      <c r="G208" s="7">
        <f>SUMIFS(Estimativas!$F:$F,Estimativas!$A:$A,A208)</f>
        <v/>
      </c>
      <c r="H208" s="6">
        <f>F208+G208</f>
        <v/>
      </c>
      <c r="I208" s="6">
        <f>SUMIFS(Lancamentos!$J$2:$J$2342,Lancamentos!$D$2:$D$2342,B208,Lancamentos!$E$2:$E$2342,C208,Lancamentos!$H$2:$H$2342,"&lt;&gt;DISTRATO")</f>
        <v/>
      </c>
      <c r="J208" s="6">
        <f>F208-I208</f>
        <v/>
      </c>
      <c r="K208" s="6">
        <f>SUMIFS(Lancamentos!$K$2:$K$2342,Lancamentos!$D$2:$D$2342,B208,Lancamentos!$E$2:$E$2342,C208,Lancamentos!$H$2:$H$2342,"DISTRATO")</f>
        <v/>
      </c>
      <c r="L208" s="5" t="inlineStr">
        <is>
          <t>Pago</t>
        </is>
      </c>
      <c r="M208" s="7">
        <f>IFERROR(INDEX(ContaCorrente!$D:$D,MATCH(A208,ContaCorrente!$A:$A,0)),"")</f>
        <v/>
      </c>
      <c r="N208" s="8">
        <f>IF(AND(ISNUMBER(M208),M208&lt;&gt;0),F208/M208,"")</f>
        <v/>
      </c>
    </row>
    <row r="209">
      <c r="A209" s="4" t="n">
        <v>44562</v>
      </c>
      <c r="B209" s="5">
        <f>YEAR(A209)</f>
        <v/>
      </c>
      <c r="C209" s="5">
        <f>MONTH(A209)</f>
        <v/>
      </c>
      <c r="D209" s="6">
        <f>SUMIFS(Lancamentos!$L$2:$L$2342,Lancamentos!$D$2:$D$2342,B209,Lancamentos!$E$2:$E$2342,C209)-E209</f>
        <v/>
      </c>
      <c r="E209" s="6">
        <f>SUMIFS(Lancamentos!$L$2:$L$2342,Lancamentos!$D$2:$D$2342,B209,Lancamentos!$E$2:$E$2342,C209,Lancamentos!$H$2:$H$2342,"PREMIO")</f>
        <v/>
      </c>
      <c r="F209" s="6">
        <f>D209+E209</f>
        <v/>
      </c>
      <c r="G209" s="7">
        <f>SUMIFS(Estimativas!$F:$F,Estimativas!$A:$A,A209)</f>
        <v/>
      </c>
      <c r="H209" s="6">
        <f>F209+G209</f>
        <v/>
      </c>
      <c r="I209" s="6">
        <f>SUMIFS(Lancamentos!$J$2:$J$2342,Lancamentos!$D$2:$D$2342,B209,Lancamentos!$E$2:$E$2342,C209,Lancamentos!$H$2:$H$2342,"&lt;&gt;DISTRATO")</f>
        <v/>
      </c>
      <c r="J209" s="6">
        <f>F209-I209</f>
        <v/>
      </c>
      <c r="K209" s="6">
        <f>SUMIFS(Lancamentos!$K$2:$K$2342,Lancamentos!$D$2:$D$2342,B209,Lancamentos!$E$2:$E$2342,C209,Lancamentos!$H$2:$H$2342,"DISTRATO")</f>
        <v/>
      </c>
      <c r="L209" s="5" t="inlineStr">
        <is>
          <t>Pago</t>
        </is>
      </c>
      <c r="M209" s="7">
        <f>IFERROR(INDEX(ContaCorrente!$D:$D,MATCH(A209,ContaCorrente!$A:$A,0)),"")</f>
        <v/>
      </c>
      <c r="N209" s="8">
        <f>IF(AND(ISNUMBER(M209),M209&lt;&gt;0),F209/M209,"")</f>
        <v/>
      </c>
    </row>
    <row r="210">
      <c r="A210" s="4" t="n">
        <v>44593</v>
      </c>
      <c r="B210" s="5">
        <f>YEAR(A210)</f>
        <v/>
      </c>
      <c r="C210" s="5">
        <f>MONTH(A210)</f>
        <v/>
      </c>
      <c r="D210" s="6">
        <f>SUMIFS(Lancamentos!$L$2:$L$2342,Lancamentos!$D$2:$D$2342,B210,Lancamentos!$E$2:$E$2342,C210)-E210</f>
        <v/>
      </c>
      <c r="E210" s="6">
        <f>SUMIFS(Lancamentos!$L$2:$L$2342,Lancamentos!$D$2:$D$2342,B210,Lancamentos!$E$2:$E$2342,C210,Lancamentos!$H$2:$H$2342,"PREMIO")</f>
        <v/>
      </c>
      <c r="F210" s="6">
        <f>D210+E210</f>
        <v/>
      </c>
      <c r="G210" s="7">
        <f>SUMIFS(Estimativas!$F:$F,Estimativas!$A:$A,A210)</f>
        <v/>
      </c>
      <c r="H210" s="6">
        <f>F210+G210</f>
        <v/>
      </c>
      <c r="I210" s="6">
        <f>SUMIFS(Lancamentos!$J$2:$J$2342,Lancamentos!$D$2:$D$2342,B210,Lancamentos!$E$2:$E$2342,C210,Lancamentos!$H$2:$H$2342,"&lt;&gt;DISTRATO")</f>
        <v/>
      </c>
      <c r="J210" s="6">
        <f>F210-I210</f>
        <v/>
      </c>
      <c r="K210" s="6">
        <f>SUMIFS(Lancamentos!$K$2:$K$2342,Lancamentos!$D$2:$D$2342,B210,Lancamentos!$E$2:$E$2342,C210,Lancamentos!$H$2:$H$2342,"DISTRATO")</f>
        <v/>
      </c>
      <c r="L210" s="5" t="inlineStr">
        <is>
          <t>Pago</t>
        </is>
      </c>
      <c r="M210" s="7">
        <f>IFERROR(INDEX(ContaCorrente!$D:$D,MATCH(A210,ContaCorrente!$A:$A,0)),"")</f>
        <v/>
      </c>
      <c r="N210" s="8">
        <f>IF(AND(ISNUMBER(M210),M210&lt;&gt;0),F210/M210,"")</f>
        <v/>
      </c>
    </row>
    <row r="211">
      <c r="A211" s="4" t="n">
        <v>44621</v>
      </c>
      <c r="B211" s="5">
        <f>YEAR(A211)</f>
        <v/>
      </c>
      <c r="C211" s="5">
        <f>MONTH(A211)</f>
        <v/>
      </c>
      <c r="D211" s="6">
        <f>SUMIFS(Lancamentos!$L$2:$L$2342,Lancamentos!$D$2:$D$2342,B211,Lancamentos!$E$2:$E$2342,C211)-E211</f>
        <v/>
      </c>
      <c r="E211" s="6">
        <f>SUMIFS(Lancamentos!$L$2:$L$2342,Lancamentos!$D$2:$D$2342,B211,Lancamentos!$E$2:$E$2342,C211,Lancamentos!$H$2:$H$2342,"PREMIO")</f>
        <v/>
      </c>
      <c r="F211" s="6">
        <f>D211+E211</f>
        <v/>
      </c>
      <c r="G211" s="7">
        <f>SUMIFS(Estimativas!$F:$F,Estimativas!$A:$A,A211)</f>
        <v/>
      </c>
      <c r="H211" s="6">
        <f>F211+G211</f>
        <v/>
      </c>
      <c r="I211" s="6">
        <f>SUMIFS(Lancamentos!$J$2:$J$2342,Lancamentos!$D$2:$D$2342,B211,Lancamentos!$E$2:$E$2342,C211,Lancamentos!$H$2:$H$2342,"&lt;&gt;DISTRATO")</f>
        <v/>
      </c>
      <c r="J211" s="6">
        <f>F211-I211</f>
        <v/>
      </c>
      <c r="K211" s="6">
        <f>SUMIFS(Lancamentos!$K$2:$K$2342,Lancamentos!$D$2:$D$2342,B211,Lancamentos!$E$2:$E$2342,C211,Lancamentos!$H$2:$H$2342,"DISTRATO")</f>
        <v/>
      </c>
      <c r="L211" s="5" t="inlineStr">
        <is>
          <t>Pago</t>
        </is>
      </c>
      <c r="M211" s="7">
        <f>IFERROR(INDEX(ContaCorrente!$D:$D,MATCH(A211,ContaCorrente!$A:$A,0)),"")</f>
        <v/>
      </c>
      <c r="N211" s="8">
        <f>IF(AND(ISNUMBER(M211),M211&lt;&gt;0),F211/M211,"")</f>
        <v/>
      </c>
    </row>
    <row r="212">
      <c r="A212" s="4" t="n">
        <v>44652</v>
      </c>
      <c r="B212" s="5">
        <f>YEAR(A212)</f>
        <v/>
      </c>
      <c r="C212" s="5">
        <f>MONTH(A212)</f>
        <v/>
      </c>
      <c r="D212" s="6">
        <f>SUMIFS(Lancamentos!$L$2:$L$2342,Lancamentos!$D$2:$D$2342,B212,Lancamentos!$E$2:$E$2342,C212)-E212</f>
        <v/>
      </c>
      <c r="E212" s="6">
        <f>SUMIFS(Lancamentos!$L$2:$L$2342,Lancamentos!$D$2:$D$2342,B212,Lancamentos!$E$2:$E$2342,C212,Lancamentos!$H$2:$H$2342,"PREMIO")</f>
        <v/>
      </c>
      <c r="F212" s="6">
        <f>D212+E212</f>
        <v/>
      </c>
      <c r="G212" s="7">
        <f>SUMIFS(Estimativas!$F:$F,Estimativas!$A:$A,A212)</f>
        <v/>
      </c>
      <c r="H212" s="6">
        <f>F212+G212</f>
        <v/>
      </c>
      <c r="I212" s="6">
        <f>SUMIFS(Lancamentos!$J$2:$J$2342,Lancamentos!$D$2:$D$2342,B212,Lancamentos!$E$2:$E$2342,C212,Lancamentos!$H$2:$H$2342,"&lt;&gt;DISTRATO")</f>
        <v/>
      </c>
      <c r="J212" s="6">
        <f>F212-I212</f>
        <v/>
      </c>
      <c r="K212" s="6">
        <f>SUMIFS(Lancamentos!$K$2:$K$2342,Lancamentos!$D$2:$D$2342,B212,Lancamentos!$E$2:$E$2342,C212,Lancamentos!$H$2:$H$2342,"DISTRATO")</f>
        <v/>
      </c>
      <c r="L212" s="5" t="inlineStr">
        <is>
          <t>Pago</t>
        </is>
      </c>
      <c r="M212" s="7">
        <f>IFERROR(INDEX(ContaCorrente!$D:$D,MATCH(A212,ContaCorrente!$A:$A,0)),"")</f>
        <v/>
      </c>
      <c r="N212" s="8">
        <f>IF(AND(ISNUMBER(M212),M212&lt;&gt;0),F212/M212,"")</f>
        <v/>
      </c>
    </row>
    <row r="213">
      <c r="A213" s="4" t="n">
        <v>44682</v>
      </c>
      <c r="B213" s="5">
        <f>YEAR(A213)</f>
        <v/>
      </c>
      <c r="C213" s="5">
        <f>MONTH(A213)</f>
        <v/>
      </c>
      <c r="D213" s="6">
        <f>SUMIFS(Lancamentos!$L$2:$L$2342,Lancamentos!$D$2:$D$2342,B213,Lancamentos!$E$2:$E$2342,C213)-E213</f>
        <v/>
      </c>
      <c r="E213" s="6">
        <f>SUMIFS(Lancamentos!$L$2:$L$2342,Lancamentos!$D$2:$D$2342,B213,Lancamentos!$E$2:$E$2342,C213,Lancamentos!$H$2:$H$2342,"PREMIO")</f>
        <v/>
      </c>
      <c r="F213" s="6">
        <f>D213+E213</f>
        <v/>
      </c>
      <c r="G213" s="7">
        <f>SUMIFS(Estimativas!$F:$F,Estimativas!$A:$A,A213)</f>
        <v/>
      </c>
      <c r="H213" s="6">
        <f>F213+G213</f>
        <v/>
      </c>
      <c r="I213" s="6">
        <f>SUMIFS(Lancamentos!$J$2:$J$2342,Lancamentos!$D$2:$D$2342,B213,Lancamentos!$E$2:$E$2342,C213,Lancamentos!$H$2:$H$2342,"&lt;&gt;DISTRATO")</f>
        <v/>
      </c>
      <c r="J213" s="6">
        <f>F213-I213</f>
        <v/>
      </c>
      <c r="K213" s="6">
        <f>SUMIFS(Lancamentos!$K$2:$K$2342,Lancamentos!$D$2:$D$2342,B213,Lancamentos!$E$2:$E$2342,C213,Lancamentos!$H$2:$H$2342,"DISTRATO")</f>
        <v/>
      </c>
      <c r="L213" s="5" t="inlineStr">
        <is>
          <t>Pago</t>
        </is>
      </c>
      <c r="M213" s="7">
        <f>IFERROR(INDEX(ContaCorrente!$D:$D,MATCH(A213,ContaCorrente!$A:$A,0)),"")</f>
        <v/>
      </c>
      <c r="N213" s="8">
        <f>IF(AND(ISNUMBER(M213),M213&lt;&gt;0),F213/M213,"")</f>
        <v/>
      </c>
    </row>
    <row r="214">
      <c r="A214" s="4" t="n">
        <v>44713</v>
      </c>
      <c r="B214" s="5">
        <f>YEAR(A214)</f>
        <v/>
      </c>
      <c r="C214" s="5">
        <f>MONTH(A214)</f>
        <v/>
      </c>
      <c r="D214" s="6">
        <f>SUMIFS(Lancamentos!$L$2:$L$2342,Lancamentos!$D$2:$D$2342,B214,Lancamentos!$E$2:$E$2342,C214)-E214</f>
        <v/>
      </c>
      <c r="E214" s="6">
        <f>SUMIFS(Lancamentos!$L$2:$L$2342,Lancamentos!$D$2:$D$2342,B214,Lancamentos!$E$2:$E$2342,C214,Lancamentos!$H$2:$H$2342,"PREMIO")</f>
        <v/>
      </c>
      <c r="F214" s="6">
        <f>D214+E214</f>
        <v/>
      </c>
      <c r="G214" s="7">
        <f>SUMIFS(Estimativas!$F:$F,Estimativas!$A:$A,A214)</f>
        <v/>
      </c>
      <c r="H214" s="6">
        <f>F214+G214</f>
        <v/>
      </c>
      <c r="I214" s="6">
        <f>SUMIFS(Lancamentos!$J$2:$J$2342,Lancamentos!$D$2:$D$2342,B214,Lancamentos!$E$2:$E$2342,C214,Lancamentos!$H$2:$H$2342,"&lt;&gt;DISTRATO")</f>
        <v/>
      </c>
      <c r="J214" s="6">
        <f>F214-I214</f>
        <v/>
      </c>
      <c r="K214" s="6">
        <f>SUMIFS(Lancamentos!$K$2:$K$2342,Lancamentos!$D$2:$D$2342,B214,Lancamentos!$E$2:$E$2342,C214,Lancamentos!$H$2:$H$2342,"DISTRATO")</f>
        <v/>
      </c>
      <c r="L214" s="5" t="inlineStr">
        <is>
          <t>Pago</t>
        </is>
      </c>
      <c r="M214" s="7">
        <f>IFERROR(INDEX(ContaCorrente!$D:$D,MATCH(A214,ContaCorrente!$A:$A,0)),"")</f>
        <v/>
      </c>
      <c r="N214" s="8">
        <f>IF(AND(ISNUMBER(M214),M214&lt;&gt;0),F214/M214,"")</f>
        <v/>
      </c>
    </row>
    <row r="215">
      <c r="A215" s="4" t="n">
        <v>44743</v>
      </c>
      <c r="B215" s="5">
        <f>YEAR(A215)</f>
        <v/>
      </c>
      <c r="C215" s="5">
        <f>MONTH(A215)</f>
        <v/>
      </c>
      <c r="D215" s="6">
        <f>SUMIFS(Lancamentos!$L$2:$L$2342,Lancamentos!$D$2:$D$2342,B215,Lancamentos!$E$2:$E$2342,C215)-E215</f>
        <v/>
      </c>
      <c r="E215" s="6">
        <f>SUMIFS(Lancamentos!$L$2:$L$2342,Lancamentos!$D$2:$D$2342,B215,Lancamentos!$E$2:$E$2342,C215,Lancamentos!$H$2:$H$2342,"PREMIO")</f>
        <v/>
      </c>
      <c r="F215" s="6">
        <f>D215+E215</f>
        <v/>
      </c>
      <c r="G215" s="7">
        <f>SUMIFS(Estimativas!$F:$F,Estimativas!$A:$A,A215)</f>
        <v/>
      </c>
      <c r="H215" s="6">
        <f>F215+G215</f>
        <v/>
      </c>
      <c r="I215" s="6">
        <f>SUMIFS(Lancamentos!$J$2:$J$2342,Lancamentos!$D$2:$D$2342,B215,Lancamentos!$E$2:$E$2342,C215,Lancamentos!$H$2:$H$2342,"&lt;&gt;DISTRATO")</f>
        <v/>
      </c>
      <c r="J215" s="6">
        <f>F215-I215</f>
        <v/>
      </c>
      <c r="K215" s="6">
        <f>SUMIFS(Lancamentos!$K$2:$K$2342,Lancamentos!$D$2:$D$2342,B215,Lancamentos!$E$2:$E$2342,C215,Lancamentos!$H$2:$H$2342,"DISTRATO")</f>
        <v/>
      </c>
      <c r="L215" s="5" t="inlineStr">
        <is>
          <t>Pago</t>
        </is>
      </c>
      <c r="M215" s="7">
        <f>IFERROR(INDEX(ContaCorrente!$D:$D,MATCH(A215,ContaCorrente!$A:$A,0)),"")</f>
        <v/>
      </c>
      <c r="N215" s="8">
        <f>IF(AND(ISNUMBER(M215),M215&lt;&gt;0),F215/M215,"")</f>
        <v/>
      </c>
    </row>
    <row r="216">
      <c r="A216" s="14" t="n">
        <v>44774</v>
      </c>
      <c r="B216" s="15">
        <f>YEAR(A216)</f>
        <v/>
      </c>
      <c r="C216" s="15">
        <f>MONTH(A216)</f>
        <v/>
      </c>
      <c r="D216" s="16">
        <f>SUMIFS(Lancamentos!$L$2:$L$2342,Lancamentos!$D$2:$D$2342,B216,Lancamentos!$E$2:$E$2342,C216)-E216</f>
        <v/>
      </c>
      <c r="E216" s="16">
        <f>SUMIFS(Lancamentos!$L$2:$L$2342,Lancamentos!$D$2:$D$2342,B216,Lancamentos!$E$2:$E$2342,C216,Lancamentos!$H$2:$H$2342,"PREMIO")</f>
        <v/>
      </c>
      <c r="F216" s="16">
        <f>D216+E216</f>
        <v/>
      </c>
      <c r="G216" s="17">
        <f>SUMIFS(Estimativas!$F:$F,Estimativas!$A:$A,A216)</f>
        <v/>
      </c>
      <c r="H216" s="16">
        <f>F216+G216</f>
        <v/>
      </c>
      <c r="I216" s="16">
        <f>SUMIFS(Lancamentos!$J$2:$J$2342,Lancamentos!$D$2:$D$2342,B216,Lancamentos!$E$2:$E$2342,C216,Lancamentos!$H$2:$H$2342,"&lt;&gt;DISTRATO")</f>
        <v/>
      </c>
      <c r="J216" s="16">
        <f>F216-I216</f>
        <v/>
      </c>
      <c r="K216" s="16">
        <f>SUMIFS(Lancamentos!$K$2:$K$2342,Lancamentos!$D$2:$D$2342,B216,Lancamentos!$E$2:$E$2342,C216,Lancamentos!$H$2:$H$2342,"DISTRATO")</f>
        <v/>
      </c>
      <c r="L216" s="15" t="inlineStr">
        <is>
          <t>Sem pagamento no contas a pagar (não estimado)</t>
        </is>
      </c>
      <c r="M216" s="17">
        <f>IFERROR(INDEX(ContaCorrente!$D:$D,MATCH(A216,ContaCorrente!$A:$A,0)),"")</f>
        <v/>
      </c>
      <c r="N216" s="18">
        <f>IF(AND(ISNUMBER(M216),M216&lt;&gt;0),F216/M216,"")</f>
        <v/>
      </c>
    </row>
    <row r="217">
      <c r="A217" s="4" t="n">
        <v>44805</v>
      </c>
      <c r="B217" s="5">
        <f>YEAR(A217)</f>
        <v/>
      </c>
      <c r="C217" s="5">
        <f>MONTH(A217)</f>
        <v/>
      </c>
      <c r="D217" s="6">
        <f>SUMIFS(Lancamentos!$L$2:$L$2342,Lancamentos!$D$2:$D$2342,B217,Lancamentos!$E$2:$E$2342,C217)-E217</f>
        <v/>
      </c>
      <c r="E217" s="6">
        <f>SUMIFS(Lancamentos!$L$2:$L$2342,Lancamentos!$D$2:$D$2342,B217,Lancamentos!$E$2:$E$2342,C217,Lancamentos!$H$2:$H$2342,"PREMIO")</f>
        <v/>
      </c>
      <c r="F217" s="6">
        <f>D217+E217</f>
        <v/>
      </c>
      <c r="G217" s="7">
        <f>SUMIFS(Estimativas!$F:$F,Estimativas!$A:$A,A217)</f>
        <v/>
      </c>
      <c r="H217" s="6">
        <f>F217+G217</f>
        <v/>
      </c>
      <c r="I217" s="6">
        <f>SUMIFS(Lancamentos!$J$2:$J$2342,Lancamentos!$D$2:$D$2342,B217,Lancamentos!$E$2:$E$2342,C217,Lancamentos!$H$2:$H$2342,"&lt;&gt;DISTRATO")</f>
        <v/>
      </c>
      <c r="J217" s="6">
        <f>F217-I217</f>
        <v/>
      </c>
      <c r="K217" s="6">
        <f>SUMIFS(Lancamentos!$K$2:$K$2342,Lancamentos!$D$2:$D$2342,B217,Lancamentos!$E$2:$E$2342,C217,Lancamentos!$H$2:$H$2342,"DISTRATO")</f>
        <v/>
      </c>
      <c r="L217" s="5" t="inlineStr">
        <is>
          <t>Pago</t>
        </is>
      </c>
      <c r="M217" s="7">
        <f>IFERROR(INDEX(ContaCorrente!$D:$D,MATCH(A217,ContaCorrente!$A:$A,0)),"")</f>
        <v/>
      </c>
      <c r="N217" s="8">
        <f>IF(AND(ISNUMBER(M217),M217&lt;&gt;0),F217/M217,"")</f>
        <v/>
      </c>
    </row>
    <row r="218">
      <c r="A218" s="4" t="n">
        <v>44835</v>
      </c>
      <c r="B218" s="5">
        <f>YEAR(A218)</f>
        <v/>
      </c>
      <c r="C218" s="5">
        <f>MONTH(A218)</f>
        <v/>
      </c>
      <c r="D218" s="6">
        <f>SUMIFS(Lancamentos!$L$2:$L$2342,Lancamentos!$D$2:$D$2342,B218,Lancamentos!$E$2:$E$2342,C218)-E218</f>
        <v/>
      </c>
      <c r="E218" s="6">
        <f>SUMIFS(Lancamentos!$L$2:$L$2342,Lancamentos!$D$2:$D$2342,B218,Lancamentos!$E$2:$E$2342,C218,Lancamentos!$H$2:$H$2342,"PREMIO")</f>
        <v/>
      </c>
      <c r="F218" s="6">
        <f>D218+E218</f>
        <v/>
      </c>
      <c r="G218" s="7">
        <f>SUMIFS(Estimativas!$F:$F,Estimativas!$A:$A,A218)</f>
        <v/>
      </c>
      <c r="H218" s="6">
        <f>F218+G218</f>
        <v/>
      </c>
      <c r="I218" s="6">
        <f>SUMIFS(Lancamentos!$J$2:$J$2342,Lancamentos!$D$2:$D$2342,B218,Lancamentos!$E$2:$E$2342,C218,Lancamentos!$H$2:$H$2342,"&lt;&gt;DISTRATO")</f>
        <v/>
      </c>
      <c r="J218" s="6">
        <f>F218-I218</f>
        <v/>
      </c>
      <c r="K218" s="6">
        <f>SUMIFS(Lancamentos!$K$2:$K$2342,Lancamentos!$D$2:$D$2342,B218,Lancamentos!$E$2:$E$2342,C218,Lancamentos!$H$2:$H$2342,"DISTRATO")</f>
        <v/>
      </c>
      <c r="L218" s="5" t="inlineStr">
        <is>
          <t>Pago</t>
        </is>
      </c>
      <c r="M218" s="7">
        <f>IFERROR(INDEX(ContaCorrente!$D:$D,MATCH(A218,ContaCorrente!$A:$A,0)),"")</f>
        <v/>
      </c>
      <c r="N218" s="8">
        <f>IF(AND(ISNUMBER(M218),M218&lt;&gt;0),F218/M218,"")</f>
        <v/>
      </c>
    </row>
    <row r="219">
      <c r="A219" s="4" t="n">
        <v>44866</v>
      </c>
      <c r="B219" s="5">
        <f>YEAR(A219)</f>
        <v/>
      </c>
      <c r="C219" s="5">
        <f>MONTH(A219)</f>
        <v/>
      </c>
      <c r="D219" s="6">
        <f>SUMIFS(Lancamentos!$L$2:$L$2342,Lancamentos!$D$2:$D$2342,B219,Lancamentos!$E$2:$E$2342,C219)-E219</f>
        <v/>
      </c>
      <c r="E219" s="6">
        <f>SUMIFS(Lancamentos!$L$2:$L$2342,Lancamentos!$D$2:$D$2342,B219,Lancamentos!$E$2:$E$2342,C219,Lancamentos!$H$2:$H$2342,"PREMIO")</f>
        <v/>
      </c>
      <c r="F219" s="6">
        <f>D219+E219</f>
        <v/>
      </c>
      <c r="G219" s="7">
        <f>SUMIFS(Estimativas!$F:$F,Estimativas!$A:$A,A219)</f>
        <v/>
      </c>
      <c r="H219" s="6">
        <f>F219+G219</f>
        <v/>
      </c>
      <c r="I219" s="6">
        <f>SUMIFS(Lancamentos!$J$2:$J$2342,Lancamentos!$D$2:$D$2342,B219,Lancamentos!$E$2:$E$2342,C219,Lancamentos!$H$2:$H$2342,"&lt;&gt;DISTRATO")</f>
        <v/>
      </c>
      <c r="J219" s="6">
        <f>F219-I219</f>
        <v/>
      </c>
      <c r="K219" s="6">
        <f>SUMIFS(Lancamentos!$K$2:$K$2342,Lancamentos!$D$2:$D$2342,B219,Lancamentos!$E$2:$E$2342,C219,Lancamentos!$H$2:$H$2342,"DISTRATO")</f>
        <v/>
      </c>
      <c r="L219" s="5" t="inlineStr">
        <is>
          <t>Pago</t>
        </is>
      </c>
      <c r="M219" s="7">
        <f>IFERROR(INDEX(ContaCorrente!$D:$D,MATCH(A219,ContaCorrente!$A:$A,0)),"")</f>
        <v/>
      </c>
      <c r="N219" s="8">
        <f>IF(AND(ISNUMBER(M219),M219&lt;&gt;0),F219/M219,"")</f>
        <v/>
      </c>
    </row>
    <row r="220">
      <c r="A220" s="4" t="n">
        <v>44896</v>
      </c>
      <c r="B220" s="5">
        <f>YEAR(A220)</f>
        <v/>
      </c>
      <c r="C220" s="5">
        <f>MONTH(A220)</f>
        <v/>
      </c>
      <c r="D220" s="6">
        <f>SUMIFS(Lancamentos!$L$2:$L$2342,Lancamentos!$D$2:$D$2342,B220,Lancamentos!$E$2:$E$2342,C220)-E220</f>
        <v/>
      </c>
      <c r="E220" s="6">
        <f>SUMIFS(Lancamentos!$L$2:$L$2342,Lancamentos!$D$2:$D$2342,B220,Lancamentos!$E$2:$E$2342,C220,Lancamentos!$H$2:$H$2342,"PREMIO")</f>
        <v/>
      </c>
      <c r="F220" s="6">
        <f>D220+E220</f>
        <v/>
      </c>
      <c r="G220" s="7">
        <f>SUMIFS(Estimativas!$F:$F,Estimativas!$A:$A,A220)</f>
        <v/>
      </c>
      <c r="H220" s="6">
        <f>F220+G220</f>
        <v/>
      </c>
      <c r="I220" s="6">
        <f>SUMIFS(Lancamentos!$J$2:$J$2342,Lancamentos!$D$2:$D$2342,B220,Lancamentos!$E$2:$E$2342,C220,Lancamentos!$H$2:$H$2342,"&lt;&gt;DISTRATO")</f>
        <v/>
      </c>
      <c r="J220" s="6">
        <f>F220-I220</f>
        <v/>
      </c>
      <c r="K220" s="6">
        <f>SUMIFS(Lancamentos!$K$2:$K$2342,Lancamentos!$D$2:$D$2342,B220,Lancamentos!$E$2:$E$2342,C220,Lancamentos!$H$2:$H$2342,"DISTRATO")</f>
        <v/>
      </c>
      <c r="L220" s="5" t="inlineStr">
        <is>
          <t>Pago</t>
        </is>
      </c>
      <c r="M220" s="7">
        <f>IFERROR(INDEX(ContaCorrente!$D:$D,MATCH(A220,ContaCorrente!$A:$A,0)),"")</f>
        <v/>
      </c>
      <c r="N220" s="8">
        <f>IF(AND(ISNUMBER(M220),M220&lt;&gt;0),F220/M220,"")</f>
        <v/>
      </c>
    </row>
    <row r="221">
      <c r="A221" s="4" t="n">
        <v>44927</v>
      </c>
      <c r="B221" s="5">
        <f>YEAR(A221)</f>
        <v/>
      </c>
      <c r="C221" s="5">
        <f>MONTH(A221)</f>
        <v/>
      </c>
      <c r="D221" s="6">
        <f>SUMIFS(Lancamentos!$L$2:$L$2342,Lancamentos!$D$2:$D$2342,B221,Lancamentos!$E$2:$E$2342,C221)-E221</f>
        <v/>
      </c>
      <c r="E221" s="6">
        <f>SUMIFS(Lancamentos!$L$2:$L$2342,Lancamentos!$D$2:$D$2342,B221,Lancamentos!$E$2:$E$2342,C221,Lancamentos!$H$2:$H$2342,"PREMIO")</f>
        <v/>
      </c>
      <c r="F221" s="6">
        <f>D221+E221</f>
        <v/>
      </c>
      <c r="G221" s="7">
        <f>SUMIFS(Estimativas!$F:$F,Estimativas!$A:$A,A221)</f>
        <v/>
      </c>
      <c r="H221" s="6">
        <f>F221+G221</f>
        <v/>
      </c>
      <c r="I221" s="6">
        <f>SUMIFS(Lancamentos!$J$2:$J$2342,Lancamentos!$D$2:$D$2342,B221,Lancamentos!$E$2:$E$2342,C221,Lancamentos!$H$2:$H$2342,"&lt;&gt;DISTRATO")</f>
        <v/>
      </c>
      <c r="J221" s="6">
        <f>F221-I221</f>
        <v/>
      </c>
      <c r="K221" s="6">
        <f>SUMIFS(Lancamentos!$K$2:$K$2342,Lancamentos!$D$2:$D$2342,B221,Lancamentos!$E$2:$E$2342,C221,Lancamentos!$H$2:$H$2342,"DISTRATO")</f>
        <v/>
      </c>
      <c r="L221" s="5" t="inlineStr">
        <is>
          <t>Pago</t>
        </is>
      </c>
      <c r="M221" s="7">
        <f>IFERROR(INDEX(ContaCorrente!$D:$D,MATCH(A221,ContaCorrente!$A:$A,0)),"")</f>
        <v/>
      </c>
      <c r="N221" s="8">
        <f>IF(AND(ISNUMBER(M221),M221&lt;&gt;0),F221/M221,"")</f>
        <v/>
      </c>
    </row>
    <row r="222">
      <c r="A222" s="4" t="n">
        <v>44958</v>
      </c>
      <c r="B222" s="5">
        <f>YEAR(A222)</f>
        <v/>
      </c>
      <c r="C222" s="5">
        <f>MONTH(A222)</f>
        <v/>
      </c>
      <c r="D222" s="6">
        <f>SUMIFS(Lancamentos!$L$2:$L$2342,Lancamentos!$D$2:$D$2342,B222,Lancamentos!$E$2:$E$2342,C222)-E222</f>
        <v/>
      </c>
      <c r="E222" s="6">
        <f>SUMIFS(Lancamentos!$L$2:$L$2342,Lancamentos!$D$2:$D$2342,B222,Lancamentos!$E$2:$E$2342,C222,Lancamentos!$H$2:$H$2342,"PREMIO")</f>
        <v/>
      </c>
      <c r="F222" s="6">
        <f>D222+E222</f>
        <v/>
      </c>
      <c r="G222" s="7">
        <f>SUMIFS(Estimativas!$F:$F,Estimativas!$A:$A,A222)</f>
        <v/>
      </c>
      <c r="H222" s="6">
        <f>F222+G222</f>
        <v/>
      </c>
      <c r="I222" s="6">
        <f>SUMIFS(Lancamentos!$J$2:$J$2342,Lancamentos!$D$2:$D$2342,B222,Lancamentos!$E$2:$E$2342,C222,Lancamentos!$H$2:$H$2342,"&lt;&gt;DISTRATO")</f>
        <v/>
      </c>
      <c r="J222" s="6">
        <f>F222-I222</f>
        <v/>
      </c>
      <c r="K222" s="6">
        <f>SUMIFS(Lancamentos!$K$2:$K$2342,Lancamentos!$D$2:$D$2342,B222,Lancamentos!$E$2:$E$2342,C222,Lancamentos!$H$2:$H$2342,"DISTRATO")</f>
        <v/>
      </c>
      <c r="L222" s="5" t="inlineStr">
        <is>
          <t>Pago</t>
        </is>
      </c>
      <c r="M222" s="7">
        <f>IFERROR(INDEX(ContaCorrente!$D:$D,MATCH(A222,ContaCorrente!$A:$A,0)),"")</f>
        <v/>
      </c>
      <c r="N222" s="8">
        <f>IF(AND(ISNUMBER(M222),M222&lt;&gt;0),F222/M222,"")</f>
        <v/>
      </c>
    </row>
    <row r="223">
      <c r="A223" s="4" t="n">
        <v>44986</v>
      </c>
      <c r="B223" s="5">
        <f>YEAR(A223)</f>
        <v/>
      </c>
      <c r="C223" s="5">
        <f>MONTH(A223)</f>
        <v/>
      </c>
      <c r="D223" s="6">
        <f>SUMIFS(Lancamentos!$L$2:$L$2342,Lancamentos!$D$2:$D$2342,B223,Lancamentos!$E$2:$E$2342,C223)-E223</f>
        <v/>
      </c>
      <c r="E223" s="6">
        <f>SUMIFS(Lancamentos!$L$2:$L$2342,Lancamentos!$D$2:$D$2342,B223,Lancamentos!$E$2:$E$2342,C223,Lancamentos!$H$2:$H$2342,"PREMIO")</f>
        <v/>
      </c>
      <c r="F223" s="6">
        <f>D223+E223</f>
        <v/>
      </c>
      <c r="G223" s="7">
        <f>SUMIFS(Estimativas!$F:$F,Estimativas!$A:$A,A223)</f>
        <v/>
      </c>
      <c r="H223" s="6">
        <f>F223+G223</f>
        <v/>
      </c>
      <c r="I223" s="6">
        <f>SUMIFS(Lancamentos!$J$2:$J$2342,Lancamentos!$D$2:$D$2342,B223,Lancamentos!$E$2:$E$2342,C223,Lancamentos!$H$2:$H$2342,"&lt;&gt;DISTRATO")</f>
        <v/>
      </c>
      <c r="J223" s="6">
        <f>F223-I223</f>
        <v/>
      </c>
      <c r="K223" s="6">
        <f>SUMIFS(Lancamentos!$K$2:$K$2342,Lancamentos!$D$2:$D$2342,B223,Lancamentos!$E$2:$E$2342,C223,Lancamentos!$H$2:$H$2342,"DISTRATO")</f>
        <v/>
      </c>
      <c r="L223" s="5" t="inlineStr">
        <is>
          <t>Pago</t>
        </is>
      </c>
      <c r="M223" s="7">
        <f>IFERROR(INDEX(ContaCorrente!$D:$D,MATCH(A223,ContaCorrente!$A:$A,0)),"")</f>
        <v/>
      </c>
      <c r="N223" s="8">
        <f>IF(AND(ISNUMBER(M223),M223&lt;&gt;0),F223/M223,"")</f>
        <v/>
      </c>
    </row>
    <row r="224">
      <c r="A224" s="4" t="n">
        <v>45017</v>
      </c>
      <c r="B224" s="5">
        <f>YEAR(A224)</f>
        <v/>
      </c>
      <c r="C224" s="5">
        <f>MONTH(A224)</f>
        <v/>
      </c>
      <c r="D224" s="6">
        <f>SUMIFS(Lancamentos!$L$2:$L$2342,Lancamentos!$D$2:$D$2342,B224,Lancamentos!$E$2:$E$2342,C224)-E224</f>
        <v/>
      </c>
      <c r="E224" s="6">
        <f>SUMIFS(Lancamentos!$L$2:$L$2342,Lancamentos!$D$2:$D$2342,B224,Lancamentos!$E$2:$E$2342,C224,Lancamentos!$H$2:$H$2342,"PREMIO")</f>
        <v/>
      </c>
      <c r="F224" s="6">
        <f>D224+E224</f>
        <v/>
      </c>
      <c r="G224" s="7">
        <f>SUMIFS(Estimativas!$F:$F,Estimativas!$A:$A,A224)</f>
        <v/>
      </c>
      <c r="H224" s="6">
        <f>F224+G224</f>
        <v/>
      </c>
      <c r="I224" s="6">
        <f>SUMIFS(Lancamentos!$J$2:$J$2342,Lancamentos!$D$2:$D$2342,B224,Lancamentos!$E$2:$E$2342,C224,Lancamentos!$H$2:$H$2342,"&lt;&gt;DISTRATO")</f>
        <v/>
      </c>
      <c r="J224" s="6">
        <f>F224-I224</f>
        <v/>
      </c>
      <c r="K224" s="6">
        <f>SUMIFS(Lancamentos!$K$2:$K$2342,Lancamentos!$D$2:$D$2342,B224,Lancamentos!$E$2:$E$2342,C224,Lancamentos!$H$2:$H$2342,"DISTRATO")</f>
        <v/>
      </c>
      <c r="L224" s="5" t="inlineStr">
        <is>
          <t>Pago</t>
        </is>
      </c>
      <c r="M224" s="7">
        <f>IFERROR(INDEX(ContaCorrente!$D:$D,MATCH(A224,ContaCorrente!$A:$A,0)),"")</f>
        <v/>
      </c>
      <c r="N224" s="8">
        <f>IF(AND(ISNUMBER(M224),M224&lt;&gt;0),F224/M224,"")</f>
        <v/>
      </c>
    </row>
    <row r="225">
      <c r="A225" s="4" t="n">
        <v>45047</v>
      </c>
      <c r="B225" s="5">
        <f>YEAR(A225)</f>
        <v/>
      </c>
      <c r="C225" s="5">
        <f>MONTH(A225)</f>
        <v/>
      </c>
      <c r="D225" s="6">
        <f>SUMIFS(Lancamentos!$L$2:$L$2342,Lancamentos!$D$2:$D$2342,B225,Lancamentos!$E$2:$E$2342,C225)-E225</f>
        <v/>
      </c>
      <c r="E225" s="6">
        <f>SUMIFS(Lancamentos!$L$2:$L$2342,Lancamentos!$D$2:$D$2342,B225,Lancamentos!$E$2:$E$2342,C225,Lancamentos!$H$2:$H$2342,"PREMIO")</f>
        <v/>
      </c>
      <c r="F225" s="6">
        <f>D225+E225</f>
        <v/>
      </c>
      <c r="G225" s="7">
        <f>SUMIFS(Estimativas!$F:$F,Estimativas!$A:$A,A225)</f>
        <v/>
      </c>
      <c r="H225" s="6">
        <f>F225+G225</f>
        <v/>
      </c>
      <c r="I225" s="6">
        <f>SUMIFS(Lancamentos!$J$2:$J$2342,Lancamentos!$D$2:$D$2342,B225,Lancamentos!$E$2:$E$2342,C225,Lancamentos!$H$2:$H$2342,"&lt;&gt;DISTRATO")</f>
        <v/>
      </c>
      <c r="J225" s="6">
        <f>F225-I225</f>
        <v/>
      </c>
      <c r="K225" s="6">
        <f>SUMIFS(Lancamentos!$K$2:$K$2342,Lancamentos!$D$2:$D$2342,B225,Lancamentos!$E$2:$E$2342,C225,Lancamentos!$H$2:$H$2342,"DISTRATO")</f>
        <v/>
      </c>
      <c r="L225" s="5" t="inlineStr">
        <is>
          <t>Pago</t>
        </is>
      </c>
      <c r="M225" s="7">
        <f>IFERROR(INDEX(ContaCorrente!$D:$D,MATCH(A225,ContaCorrente!$A:$A,0)),"")</f>
        <v/>
      </c>
      <c r="N225" s="8">
        <f>IF(AND(ISNUMBER(M225),M225&lt;&gt;0),F225/M225,"")</f>
        <v/>
      </c>
    </row>
    <row r="226">
      <c r="A226" s="4" t="n">
        <v>45078</v>
      </c>
      <c r="B226" s="5">
        <f>YEAR(A226)</f>
        <v/>
      </c>
      <c r="C226" s="5">
        <f>MONTH(A226)</f>
        <v/>
      </c>
      <c r="D226" s="6">
        <f>SUMIFS(Lancamentos!$L$2:$L$2342,Lancamentos!$D$2:$D$2342,B226,Lancamentos!$E$2:$E$2342,C226)-E226</f>
        <v/>
      </c>
      <c r="E226" s="6">
        <f>SUMIFS(Lancamentos!$L$2:$L$2342,Lancamentos!$D$2:$D$2342,B226,Lancamentos!$E$2:$E$2342,C226,Lancamentos!$H$2:$H$2342,"PREMIO")</f>
        <v/>
      </c>
      <c r="F226" s="6">
        <f>D226+E226</f>
        <v/>
      </c>
      <c r="G226" s="7">
        <f>SUMIFS(Estimativas!$F:$F,Estimativas!$A:$A,A226)</f>
        <v/>
      </c>
      <c r="H226" s="6">
        <f>F226+G226</f>
        <v/>
      </c>
      <c r="I226" s="6">
        <f>SUMIFS(Lancamentos!$J$2:$J$2342,Lancamentos!$D$2:$D$2342,B226,Lancamentos!$E$2:$E$2342,C226,Lancamentos!$H$2:$H$2342,"&lt;&gt;DISTRATO")</f>
        <v/>
      </c>
      <c r="J226" s="6">
        <f>F226-I226</f>
        <v/>
      </c>
      <c r="K226" s="6">
        <f>SUMIFS(Lancamentos!$K$2:$K$2342,Lancamentos!$D$2:$D$2342,B226,Lancamentos!$E$2:$E$2342,C226,Lancamentos!$H$2:$H$2342,"DISTRATO")</f>
        <v/>
      </c>
      <c r="L226" s="5" t="inlineStr">
        <is>
          <t>Pago</t>
        </is>
      </c>
      <c r="M226" s="7">
        <f>IFERROR(INDEX(ContaCorrente!$D:$D,MATCH(A226,ContaCorrente!$A:$A,0)),"")</f>
        <v/>
      </c>
      <c r="N226" s="8">
        <f>IF(AND(ISNUMBER(M226),M226&lt;&gt;0),F226/M226,"")</f>
        <v/>
      </c>
    </row>
    <row r="227">
      <c r="A227" s="4" t="n">
        <v>45108</v>
      </c>
      <c r="B227" s="5">
        <f>YEAR(A227)</f>
        <v/>
      </c>
      <c r="C227" s="5">
        <f>MONTH(A227)</f>
        <v/>
      </c>
      <c r="D227" s="6">
        <f>SUMIFS(Lancamentos!$L$2:$L$2342,Lancamentos!$D$2:$D$2342,B227,Lancamentos!$E$2:$E$2342,C227)-E227</f>
        <v/>
      </c>
      <c r="E227" s="6">
        <f>SUMIFS(Lancamentos!$L$2:$L$2342,Lancamentos!$D$2:$D$2342,B227,Lancamentos!$E$2:$E$2342,C227,Lancamentos!$H$2:$H$2342,"PREMIO")</f>
        <v/>
      </c>
      <c r="F227" s="6">
        <f>D227+E227</f>
        <v/>
      </c>
      <c r="G227" s="7">
        <f>SUMIFS(Estimativas!$F:$F,Estimativas!$A:$A,A227)</f>
        <v/>
      </c>
      <c r="H227" s="6">
        <f>F227+G227</f>
        <v/>
      </c>
      <c r="I227" s="6">
        <f>SUMIFS(Lancamentos!$J$2:$J$2342,Lancamentos!$D$2:$D$2342,B227,Lancamentos!$E$2:$E$2342,C227,Lancamentos!$H$2:$H$2342,"&lt;&gt;DISTRATO")</f>
        <v/>
      </c>
      <c r="J227" s="6">
        <f>F227-I227</f>
        <v/>
      </c>
      <c r="K227" s="6">
        <f>SUMIFS(Lancamentos!$K$2:$K$2342,Lancamentos!$D$2:$D$2342,B227,Lancamentos!$E$2:$E$2342,C227,Lancamentos!$H$2:$H$2342,"DISTRATO")</f>
        <v/>
      </c>
      <c r="L227" s="5" t="inlineStr">
        <is>
          <t>Pago</t>
        </is>
      </c>
      <c r="M227" s="7">
        <f>IFERROR(INDEX(ContaCorrente!$D:$D,MATCH(A227,ContaCorrente!$A:$A,0)),"")</f>
        <v/>
      </c>
      <c r="N227" s="8">
        <f>IF(AND(ISNUMBER(M227),M227&lt;&gt;0),F227/M227,"")</f>
        <v/>
      </c>
    </row>
    <row r="228">
      <c r="A228" s="4" t="n">
        <v>45139</v>
      </c>
      <c r="B228" s="5">
        <f>YEAR(A228)</f>
        <v/>
      </c>
      <c r="C228" s="5">
        <f>MONTH(A228)</f>
        <v/>
      </c>
      <c r="D228" s="6">
        <f>SUMIFS(Lancamentos!$L$2:$L$2342,Lancamentos!$D$2:$D$2342,B228,Lancamentos!$E$2:$E$2342,C228)-E228</f>
        <v/>
      </c>
      <c r="E228" s="6">
        <f>SUMIFS(Lancamentos!$L$2:$L$2342,Lancamentos!$D$2:$D$2342,B228,Lancamentos!$E$2:$E$2342,C228,Lancamentos!$H$2:$H$2342,"PREMIO")</f>
        <v/>
      </c>
      <c r="F228" s="6">
        <f>D228+E228</f>
        <v/>
      </c>
      <c r="G228" s="7">
        <f>SUMIFS(Estimativas!$F:$F,Estimativas!$A:$A,A228)</f>
        <v/>
      </c>
      <c r="H228" s="6">
        <f>F228+G228</f>
        <v/>
      </c>
      <c r="I228" s="6">
        <f>SUMIFS(Lancamentos!$J$2:$J$2342,Lancamentos!$D$2:$D$2342,B228,Lancamentos!$E$2:$E$2342,C228,Lancamentos!$H$2:$H$2342,"&lt;&gt;DISTRATO")</f>
        <v/>
      </c>
      <c r="J228" s="6">
        <f>F228-I228</f>
        <v/>
      </c>
      <c r="K228" s="6">
        <f>SUMIFS(Lancamentos!$K$2:$K$2342,Lancamentos!$D$2:$D$2342,B228,Lancamentos!$E$2:$E$2342,C228,Lancamentos!$H$2:$H$2342,"DISTRATO")</f>
        <v/>
      </c>
      <c r="L228" s="5" t="inlineStr">
        <is>
          <t>Pago</t>
        </is>
      </c>
      <c r="M228" s="7">
        <f>IFERROR(INDEX(ContaCorrente!$D:$D,MATCH(A228,ContaCorrente!$A:$A,0)),"")</f>
        <v/>
      </c>
      <c r="N228" s="8">
        <f>IF(AND(ISNUMBER(M228),M228&lt;&gt;0),F228/M228,"")</f>
        <v/>
      </c>
    </row>
    <row r="229">
      <c r="A229" s="4" t="n">
        <v>45170</v>
      </c>
      <c r="B229" s="5">
        <f>YEAR(A229)</f>
        <v/>
      </c>
      <c r="C229" s="5">
        <f>MONTH(A229)</f>
        <v/>
      </c>
      <c r="D229" s="6">
        <f>SUMIFS(Lancamentos!$L$2:$L$2342,Lancamentos!$D$2:$D$2342,B229,Lancamentos!$E$2:$E$2342,C229)-E229</f>
        <v/>
      </c>
      <c r="E229" s="6">
        <f>SUMIFS(Lancamentos!$L$2:$L$2342,Lancamentos!$D$2:$D$2342,B229,Lancamentos!$E$2:$E$2342,C229,Lancamentos!$H$2:$H$2342,"PREMIO")</f>
        <v/>
      </c>
      <c r="F229" s="6">
        <f>D229+E229</f>
        <v/>
      </c>
      <c r="G229" s="7">
        <f>SUMIFS(Estimativas!$F:$F,Estimativas!$A:$A,A229)</f>
        <v/>
      </c>
      <c r="H229" s="6">
        <f>F229+G229</f>
        <v/>
      </c>
      <c r="I229" s="6">
        <f>SUMIFS(Lancamentos!$J$2:$J$2342,Lancamentos!$D$2:$D$2342,B229,Lancamentos!$E$2:$E$2342,C229,Lancamentos!$H$2:$H$2342,"&lt;&gt;DISTRATO")</f>
        <v/>
      </c>
      <c r="J229" s="6">
        <f>F229-I229</f>
        <v/>
      </c>
      <c r="K229" s="6">
        <f>SUMIFS(Lancamentos!$K$2:$K$2342,Lancamentos!$D$2:$D$2342,B229,Lancamentos!$E$2:$E$2342,C229,Lancamentos!$H$2:$H$2342,"DISTRATO")</f>
        <v/>
      </c>
      <c r="L229" s="5" t="inlineStr">
        <is>
          <t>Pago</t>
        </is>
      </c>
      <c r="M229" s="7">
        <f>IFERROR(INDEX(ContaCorrente!$D:$D,MATCH(A229,ContaCorrente!$A:$A,0)),"")</f>
        <v/>
      </c>
      <c r="N229" s="8">
        <f>IF(AND(ISNUMBER(M229),M229&lt;&gt;0),F229/M229,"")</f>
        <v/>
      </c>
    </row>
    <row r="230">
      <c r="A230" s="4" t="n">
        <v>45200</v>
      </c>
      <c r="B230" s="5">
        <f>YEAR(A230)</f>
        <v/>
      </c>
      <c r="C230" s="5">
        <f>MONTH(A230)</f>
        <v/>
      </c>
      <c r="D230" s="6">
        <f>SUMIFS(Lancamentos!$L$2:$L$2342,Lancamentos!$D$2:$D$2342,B230,Lancamentos!$E$2:$E$2342,C230)-E230</f>
        <v/>
      </c>
      <c r="E230" s="6">
        <f>SUMIFS(Lancamentos!$L$2:$L$2342,Lancamentos!$D$2:$D$2342,B230,Lancamentos!$E$2:$E$2342,C230,Lancamentos!$H$2:$H$2342,"PREMIO")</f>
        <v/>
      </c>
      <c r="F230" s="6">
        <f>D230+E230</f>
        <v/>
      </c>
      <c r="G230" s="7">
        <f>SUMIFS(Estimativas!$F:$F,Estimativas!$A:$A,A230)</f>
        <v/>
      </c>
      <c r="H230" s="6">
        <f>F230+G230</f>
        <v/>
      </c>
      <c r="I230" s="6">
        <f>SUMIFS(Lancamentos!$J$2:$J$2342,Lancamentos!$D$2:$D$2342,B230,Lancamentos!$E$2:$E$2342,C230,Lancamentos!$H$2:$H$2342,"&lt;&gt;DISTRATO")</f>
        <v/>
      </c>
      <c r="J230" s="6">
        <f>F230-I230</f>
        <v/>
      </c>
      <c r="K230" s="6">
        <f>SUMIFS(Lancamentos!$K$2:$K$2342,Lancamentos!$D$2:$D$2342,B230,Lancamentos!$E$2:$E$2342,C230,Lancamentos!$H$2:$H$2342,"DISTRATO")</f>
        <v/>
      </c>
      <c r="L230" s="5" t="inlineStr">
        <is>
          <t>Pago</t>
        </is>
      </c>
      <c r="M230" s="7">
        <f>IFERROR(INDEX(ContaCorrente!$D:$D,MATCH(A230,ContaCorrente!$A:$A,0)),"")</f>
        <v/>
      </c>
      <c r="N230" s="8">
        <f>IF(AND(ISNUMBER(M230),M230&lt;&gt;0),F230/M230,"")</f>
        <v/>
      </c>
    </row>
    <row r="231">
      <c r="A231" s="4" t="n">
        <v>45231</v>
      </c>
      <c r="B231" s="5">
        <f>YEAR(A231)</f>
        <v/>
      </c>
      <c r="C231" s="5">
        <f>MONTH(A231)</f>
        <v/>
      </c>
      <c r="D231" s="6">
        <f>SUMIFS(Lancamentos!$L$2:$L$2342,Lancamentos!$D$2:$D$2342,B231,Lancamentos!$E$2:$E$2342,C231)-E231</f>
        <v/>
      </c>
      <c r="E231" s="6">
        <f>SUMIFS(Lancamentos!$L$2:$L$2342,Lancamentos!$D$2:$D$2342,B231,Lancamentos!$E$2:$E$2342,C231,Lancamentos!$H$2:$H$2342,"PREMIO")</f>
        <v/>
      </c>
      <c r="F231" s="6">
        <f>D231+E231</f>
        <v/>
      </c>
      <c r="G231" s="7">
        <f>SUMIFS(Estimativas!$F:$F,Estimativas!$A:$A,A231)</f>
        <v/>
      </c>
      <c r="H231" s="6">
        <f>F231+G231</f>
        <v/>
      </c>
      <c r="I231" s="6">
        <f>SUMIFS(Lancamentos!$J$2:$J$2342,Lancamentos!$D$2:$D$2342,B231,Lancamentos!$E$2:$E$2342,C231,Lancamentos!$H$2:$H$2342,"&lt;&gt;DISTRATO")</f>
        <v/>
      </c>
      <c r="J231" s="6">
        <f>F231-I231</f>
        <v/>
      </c>
      <c r="K231" s="6">
        <f>SUMIFS(Lancamentos!$K$2:$K$2342,Lancamentos!$D$2:$D$2342,B231,Lancamentos!$E$2:$E$2342,C231,Lancamentos!$H$2:$H$2342,"DISTRATO")</f>
        <v/>
      </c>
      <c r="L231" s="5" t="inlineStr">
        <is>
          <t>Pago</t>
        </is>
      </c>
      <c r="M231" s="7">
        <f>IFERROR(INDEX(ContaCorrente!$D:$D,MATCH(A231,ContaCorrente!$A:$A,0)),"")</f>
        <v/>
      </c>
      <c r="N231" s="8">
        <f>IF(AND(ISNUMBER(M231),M231&lt;&gt;0),F231/M231,"")</f>
        <v/>
      </c>
    </row>
    <row r="232">
      <c r="A232" s="4" t="n">
        <v>45261</v>
      </c>
      <c r="B232" s="5">
        <f>YEAR(A232)</f>
        <v/>
      </c>
      <c r="C232" s="5">
        <f>MONTH(A232)</f>
        <v/>
      </c>
      <c r="D232" s="6">
        <f>SUMIFS(Lancamentos!$L$2:$L$2342,Lancamentos!$D$2:$D$2342,B232,Lancamentos!$E$2:$E$2342,C232)-E232</f>
        <v/>
      </c>
      <c r="E232" s="6">
        <f>SUMIFS(Lancamentos!$L$2:$L$2342,Lancamentos!$D$2:$D$2342,B232,Lancamentos!$E$2:$E$2342,C232,Lancamentos!$H$2:$H$2342,"PREMIO")</f>
        <v/>
      </c>
      <c r="F232" s="6">
        <f>D232+E232</f>
        <v/>
      </c>
      <c r="G232" s="7">
        <f>SUMIFS(Estimativas!$F:$F,Estimativas!$A:$A,A232)</f>
        <v/>
      </c>
      <c r="H232" s="6">
        <f>F232+G232</f>
        <v/>
      </c>
      <c r="I232" s="6">
        <f>SUMIFS(Lancamentos!$J$2:$J$2342,Lancamentos!$D$2:$D$2342,B232,Lancamentos!$E$2:$E$2342,C232,Lancamentos!$H$2:$H$2342,"&lt;&gt;DISTRATO")</f>
        <v/>
      </c>
      <c r="J232" s="6">
        <f>F232-I232</f>
        <v/>
      </c>
      <c r="K232" s="6">
        <f>SUMIFS(Lancamentos!$K$2:$K$2342,Lancamentos!$D$2:$D$2342,B232,Lancamentos!$E$2:$E$2342,C232,Lancamentos!$H$2:$H$2342,"DISTRATO")</f>
        <v/>
      </c>
      <c r="L232" s="5" t="inlineStr">
        <is>
          <t>Pago</t>
        </is>
      </c>
      <c r="M232" s="7">
        <f>IFERROR(INDEX(ContaCorrente!$D:$D,MATCH(A232,ContaCorrente!$A:$A,0)),"")</f>
        <v/>
      </c>
      <c r="N232" s="8">
        <f>IF(AND(ISNUMBER(M232),M232&lt;&gt;0),F232/M232,"")</f>
        <v/>
      </c>
    </row>
    <row r="233">
      <c r="A233" s="4" t="n">
        <v>45292</v>
      </c>
      <c r="B233" s="5">
        <f>YEAR(A233)</f>
        <v/>
      </c>
      <c r="C233" s="5">
        <f>MONTH(A233)</f>
        <v/>
      </c>
      <c r="D233" s="6">
        <f>SUMIFS(Lancamentos!$L$2:$L$2342,Lancamentos!$D$2:$D$2342,B233,Lancamentos!$E$2:$E$2342,C233)-E233</f>
        <v/>
      </c>
      <c r="E233" s="6">
        <f>SUMIFS(Lancamentos!$L$2:$L$2342,Lancamentos!$D$2:$D$2342,B233,Lancamentos!$E$2:$E$2342,C233,Lancamentos!$H$2:$H$2342,"PREMIO")</f>
        <v/>
      </c>
      <c r="F233" s="6">
        <f>D233+E233</f>
        <v/>
      </c>
      <c r="G233" s="7">
        <f>SUMIFS(Estimativas!$F:$F,Estimativas!$A:$A,A233)</f>
        <v/>
      </c>
      <c r="H233" s="6">
        <f>F233+G233</f>
        <v/>
      </c>
      <c r="I233" s="6">
        <f>SUMIFS(Lancamentos!$J$2:$J$2342,Lancamentos!$D$2:$D$2342,B233,Lancamentos!$E$2:$E$2342,C233,Lancamentos!$H$2:$H$2342,"&lt;&gt;DISTRATO")</f>
        <v/>
      </c>
      <c r="J233" s="6">
        <f>F233-I233</f>
        <v/>
      </c>
      <c r="K233" s="6">
        <f>SUMIFS(Lancamentos!$K$2:$K$2342,Lancamentos!$D$2:$D$2342,B233,Lancamentos!$E$2:$E$2342,C233,Lancamentos!$H$2:$H$2342,"DISTRATO")</f>
        <v/>
      </c>
      <c r="L233" s="5" t="inlineStr">
        <is>
          <t>Pago</t>
        </is>
      </c>
      <c r="M233" s="7">
        <f>IFERROR(INDEX(ContaCorrente!$D:$D,MATCH(A233,ContaCorrente!$A:$A,0)),"")</f>
        <v/>
      </c>
      <c r="N233" s="8">
        <f>IF(AND(ISNUMBER(M233),M233&lt;&gt;0),F233/M233,"")</f>
        <v/>
      </c>
    </row>
    <row r="234">
      <c r="A234" s="4" t="n">
        <v>45323</v>
      </c>
      <c r="B234" s="5">
        <f>YEAR(A234)</f>
        <v/>
      </c>
      <c r="C234" s="5">
        <f>MONTH(A234)</f>
        <v/>
      </c>
      <c r="D234" s="6">
        <f>SUMIFS(Lancamentos!$L$2:$L$2342,Lancamentos!$D$2:$D$2342,B234,Lancamentos!$E$2:$E$2342,C234)-E234</f>
        <v/>
      </c>
      <c r="E234" s="6">
        <f>SUMIFS(Lancamentos!$L$2:$L$2342,Lancamentos!$D$2:$D$2342,B234,Lancamentos!$E$2:$E$2342,C234,Lancamentos!$H$2:$H$2342,"PREMIO")</f>
        <v/>
      </c>
      <c r="F234" s="6">
        <f>D234+E234</f>
        <v/>
      </c>
      <c r="G234" s="7">
        <f>SUMIFS(Estimativas!$F:$F,Estimativas!$A:$A,A234)</f>
        <v/>
      </c>
      <c r="H234" s="6">
        <f>F234+G234</f>
        <v/>
      </c>
      <c r="I234" s="6">
        <f>SUMIFS(Lancamentos!$J$2:$J$2342,Lancamentos!$D$2:$D$2342,B234,Lancamentos!$E$2:$E$2342,C234,Lancamentos!$H$2:$H$2342,"&lt;&gt;DISTRATO")</f>
        <v/>
      </c>
      <c r="J234" s="6">
        <f>F234-I234</f>
        <v/>
      </c>
      <c r="K234" s="6">
        <f>SUMIFS(Lancamentos!$K$2:$K$2342,Lancamentos!$D$2:$D$2342,B234,Lancamentos!$E$2:$E$2342,C234,Lancamentos!$H$2:$H$2342,"DISTRATO")</f>
        <v/>
      </c>
      <c r="L234" s="5" t="inlineStr">
        <is>
          <t>Pago</t>
        </is>
      </c>
      <c r="M234" s="7">
        <f>IFERROR(INDEX(ContaCorrente!$D:$D,MATCH(A234,ContaCorrente!$A:$A,0)),"")</f>
        <v/>
      </c>
      <c r="N234" s="8">
        <f>IF(AND(ISNUMBER(M234),M234&lt;&gt;0),F234/M234,"")</f>
        <v/>
      </c>
    </row>
    <row r="235">
      <c r="A235" s="4" t="n">
        <v>45352</v>
      </c>
      <c r="B235" s="5">
        <f>YEAR(A235)</f>
        <v/>
      </c>
      <c r="C235" s="5">
        <f>MONTH(A235)</f>
        <v/>
      </c>
      <c r="D235" s="6">
        <f>SUMIFS(Lancamentos!$L$2:$L$2342,Lancamentos!$D$2:$D$2342,B235,Lancamentos!$E$2:$E$2342,C235)-E235</f>
        <v/>
      </c>
      <c r="E235" s="6">
        <f>SUMIFS(Lancamentos!$L$2:$L$2342,Lancamentos!$D$2:$D$2342,B235,Lancamentos!$E$2:$E$2342,C235,Lancamentos!$H$2:$H$2342,"PREMIO")</f>
        <v/>
      </c>
      <c r="F235" s="6">
        <f>D235+E235</f>
        <v/>
      </c>
      <c r="G235" s="7">
        <f>SUMIFS(Estimativas!$F:$F,Estimativas!$A:$A,A235)</f>
        <v/>
      </c>
      <c r="H235" s="6">
        <f>F235+G235</f>
        <v/>
      </c>
      <c r="I235" s="6">
        <f>SUMIFS(Lancamentos!$J$2:$J$2342,Lancamentos!$D$2:$D$2342,B235,Lancamentos!$E$2:$E$2342,C235,Lancamentos!$H$2:$H$2342,"&lt;&gt;DISTRATO")</f>
        <v/>
      </c>
      <c r="J235" s="6">
        <f>F235-I235</f>
        <v/>
      </c>
      <c r="K235" s="6">
        <f>SUMIFS(Lancamentos!$K$2:$K$2342,Lancamentos!$D$2:$D$2342,B235,Lancamentos!$E$2:$E$2342,C235,Lancamentos!$H$2:$H$2342,"DISTRATO")</f>
        <v/>
      </c>
      <c r="L235" s="5" t="inlineStr">
        <is>
          <t>Pago</t>
        </is>
      </c>
      <c r="M235" s="7">
        <f>IFERROR(INDEX(ContaCorrente!$D:$D,MATCH(A235,ContaCorrente!$A:$A,0)),"")</f>
        <v/>
      </c>
      <c r="N235" s="8">
        <f>IF(AND(ISNUMBER(M235),M235&lt;&gt;0),F235/M235,"")</f>
        <v/>
      </c>
    </row>
    <row r="236">
      <c r="A236" s="4" t="n">
        <v>45383</v>
      </c>
      <c r="B236" s="5">
        <f>YEAR(A236)</f>
        <v/>
      </c>
      <c r="C236" s="5">
        <f>MONTH(A236)</f>
        <v/>
      </c>
      <c r="D236" s="6">
        <f>SUMIFS(Lancamentos!$L$2:$L$2342,Lancamentos!$D$2:$D$2342,B236,Lancamentos!$E$2:$E$2342,C236)-E236</f>
        <v/>
      </c>
      <c r="E236" s="6">
        <f>SUMIFS(Lancamentos!$L$2:$L$2342,Lancamentos!$D$2:$D$2342,B236,Lancamentos!$E$2:$E$2342,C236,Lancamentos!$H$2:$H$2342,"PREMIO")</f>
        <v/>
      </c>
      <c r="F236" s="6">
        <f>D236+E236</f>
        <v/>
      </c>
      <c r="G236" s="7">
        <f>SUMIFS(Estimativas!$F:$F,Estimativas!$A:$A,A236)</f>
        <v/>
      </c>
      <c r="H236" s="6">
        <f>F236+G236</f>
        <v/>
      </c>
      <c r="I236" s="6">
        <f>SUMIFS(Lancamentos!$J$2:$J$2342,Lancamentos!$D$2:$D$2342,B236,Lancamentos!$E$2:$E$2342,C236,Lancamentos!$H$2:$H$2342,"&lt;&gt;DISTRATO")</f>
        <v/>
      </c>
      <c r="J236" s="6">
        <f>F236-I236</f>
        <v/>
      </c>
      <c r="K236" s="6">
        <f>SUMIFS(Lancamentos!$K$2:$K$2342,Lancamentos!$D$2:$D$2342,B236,Lancamentos!$E$2:$E$2342,C236,Lancamentos!$H$2:$H$2342,"DISTRATO")</f>
        <v/>
      </c>
      <c r="L236" s="5" t="inlineStr">
        <is>
          <t>Pago</t>
        </is>
      </c>
      <c r="M236" s="7">
        <f>IFERROR(INDEX(ContaCorrente!$D:$D,MATCH(A236,ContaCorrente!$A:$A,0)),"")</f>
        <v/>
      </c>
      <c r="N236" s="8">
        <f>IF(AND(ISNUMBER(M236),M236&lt;&gt;0),F236/M236,"")</f>
        <v/>
      </c>
    </row>
    <row r="237">
      <c r="A237" s="14" t="n">
        <v>45413</v>
      </c>
      <c r="B237" s="15">
        <f>YEAR(A237)</f>
        <v/>
      </c>
      <c r="C237" s="15">
        <f>MONTH(A237)</f>
        <v/>
      </c>
      <c r="D237" s="16">
        <f>SUMIFS(Lancamentos!$L$2:$L$2342,Lancamentos!$D$2:$D$2342,B237,Lancamentos!$E$2:$E$2342,C237)-E237</f>
        <v/>
      </c>
      <c r="E237" s="16">
        <f>SUMIFS(Lancamentos!$L$2:$L$2342,Lancamentos!$D$2:$D$2342,B237,Lancamentos!$E$2:$E$2342,C237,Lancamentos!$H$2:$H$2342,"PREMIO")</f>
        <v/>
      </c>
      <c r="F237" s="16">
        <f>D237+E237</f>
        <v/>
      </c>
      <c r="G237" s="17">
        <f>SUMIFS(Estimativas!$F:$F,Estimativas!$A:$A,A237)</f>
        <v/>
      </c>
      <c r="H237" s="16">
        <f>F237+G237</f>
        <v/>
      </c>
      <c r="I237" s="16">
        <f>SUMIFS(Lancamentos!$J$2:$J$2342,Lancamentos!$D$2:$D$2342,B237,Lancamentos!$E$2:$E$2342,C237,Lancamentos!$H$2:$H$2342,"&lt;&gt;DISTRATO")</f>
        <v/>
      </c>
      <c r="J237" s="16">
        <f>F237-I237</f>
        <v/>
      </c>
      <c r="K237" s="16">
        <f>SUMIFS(Lancamentos!$K$2:$K$2342,Lancamentos!$D$2:$D$2342,B237,Lancamentos!$E$2:$E$2342,C237,Lancamentos!$H$2:$H$2342,"DISTRATO")</f>
        <v/>
      </c>
      <c r="L237" s="15" t="inlineStr">
        <is>
          <t>Sem pagamento no contas a pagar (não estimado)</t>
        </is>
      </c>
      <c r="M237" s="17">
        <f>IFERROR(INDEX(ContaCorrente!$D:$D,MATCH(A237,ContaCorrente!$A:$A,0)),"")</f>
        <v/>
      </c>
      <c r="N237" s="18">
        <f>IF(AND(ISNUMBER(M237),M237&lt;&gt;0),F237/M237,"")</f>
        <v/>
      </c>
    </row>
    <row r="238">
      <c r="A238" s="4" t="n">
        <v>45444</v>
      </c>
      <c r="B238" s="5">
        <f>YEAR(A238)</f>
        <v/>
      </c>
      <c r="C238" s="5">
        <f>MONTH(A238)</f>
        <v/>
      </c>
      <c r="D238" s="6">
        <f>SUMIFS(Lancamentos!$L$2:$L$2342,Lancamentos!$D$2:$D$2342,B238,Lancamentos!$E$2:$E$2342,C238)-E238</f>
        <v/>
      </c>
      <c r="E238" s="6">
        <f>SUMIFS(Lancamentos!$L$2:$L$2342,Lancamentos!$D$2:$D$2342,B238,Lancamentos!$E$2:$E$2342,C238,Lancamentos!$H$2:$H$2342,"PREMIO")</f>
        <v/>
      </c>
      <c r="F238" s="6">
        <f>D238+E238</f>
        <v/>
      </c>
      <c r="G238" s="7">
        <f>SUMIFS(Estimativas!$F:$F,Estimativas!$A:$A,A238)</f>
        <v/>
      </c>
      <c r="H238" s="6">
        <f>F238+G238</f>
        <v/>
      </c>
      <c r="I238" s="6">
        <f>SUMIFS(Lancamentos!$J$2:$J$2342,Lancamentos!$D$2:$D$2342,B238,Lancamentos!$E$2:$E$2342,C238,Lancamentos!$H$2:$H$2342,"&lt;&gt;DISTRATO")</f>
        <v/>
      </c>
      <c r="J238" s="6">
        <f>F238-I238</f>
        <v/>
      </c>
      <c r="K238" s="6">
        <f>SUMIFS(Lancamentos!$K$2:$K$2342,Lancamentos!$D$2:$D$2342,B238,Lancamentos!$E$2:$E$2342,C238,Lancamentos!$H$2:$H$2342,"DISTRATO")</f>
        <v/>
      </c>
      <c r="L238" s="5" t="inlineStr">
        <is>
          <t>Pago</t>
        </is>
      </c>
      <c r="M238" s="7">
        <f>IFERROR(INDEX(ContaCorrente!$D:$D,MATCH(A238,ContaCorrente!$A:$A,0)),"")</f>
        <v/>
      </c>
      <c r="N238" s="8">
        <f>IF(AND(ISNUMBER(M238),M238&lt;&gt;0),F238/M238,"")</f>
        <v/>
      </c>
    </row>
    <row r="239">
      <c r="A239" s="4" t="n">
        <v>45474</v>
      </c>
      <c r="B239" s="5">
        <f>YEAR(A239)</f>
        <v/>
      </c>
      <c r="C239" s="5">
        <f>MONTH(A239)</f>
        <v/>
      </c>
      <c r="D239" s="6">
        <f>SUMIFS(Lancamentos!$L$2:$L$2342,Lancamentos!$D$2:$D$2342,B239,Lancamentos!$E$2:$E$2342,C239)-E239</f>
        <v/>
      </c>
      <c r="E239" s="6">
        <f>SUMIFS(Lancamentos!$L$2:$L$2342,Lancamentos!$D$2:$D$2342,B239,Lancamentos!$E$2:$E$2342,C239,Lancamentos!$H$2:$H$2342,"PREMIO")</f>
        <v/>
      </c>
      <c r="F239" s="6">
        <f>D239+E239</f>
        <v/>
      </c>
      <c r="G239" s="7">
        <f>SUMIFS(Estimativas!$F:$F,Estimativas!$A:$A,A239)</f>
        <v/>
      </c>
      <c r="H239" s="6">
        <f>F239+G239</f>
        <v/>
      </c>
      <c r="I239" s="6">
        <f>SUMIFS(Lancamentos!$J$2:$J$2342,Lancamentos!$D$2:$D$2342,B239,Lancamentos!$E$2:$E$2342,C239,Lancamentos!$H$2:$H$2342,"&lt;&gt;DISTRATO")</f>
        <v/>
      </c>
      <c r="J239" s="6">
        <f>F239-I239</f>
        <v/>
      </c>
      <c r="K239" s="6">
        <f>SUMIFS(Lancamentos!$K$2:$K$2342,Lancamentos!$D$2:$D$2342,B239,Lancamentos!$E$2:$E$2342,C239,Lancamentos!$H$2:$H$2342,"DISTRATO")</f>
        <v/>
      </c>
      <c r="L239" s="5" t="inlineStr">
        <is>
          <t>Pago</t>
        </is>
      </c>
      <c r="M239" s="7">
        <f>IFERROR(INDEX(ContaCorrente!$D:$D,MATCH(A239,ContaCorrente!$A:$A,0)),"")</f>
        <v/>
      </c>
      <c r="N239" s="8">
        <f>IF(AND(ISNUMBER(M239),M239&lt;&gt;0),F239/M239,"")</f>
        <v/>
      </c>
    </row>
    <row r="240">
      <c r="A240" s="4" t="n">
        <v>45505</v>
      </c>
      <c r="B240" s="5">
        <f>YEAR(A240)</f>
        <v/>
      </c>
      <c r="C240" s="5">
        <f>MONTH(A240)</f>
        <v/>
      </c>
      <c r="D240" s="6">
        <f>SUMIFS(Lancamentos!$L$2:$L$2342,Lancamentos!$D$2:$D$2342,B240,Lancamentos!$E$2:$E$2342,C240)-E240</f>
        <v/>
      </c>
      <c r="E240" s="6">
        <f>SUMIFS(Lancamentos!$L$2:$L$2342,Lancamentos!$D$2:$D$2342,B240,Lancamentos!$E$2:$E$2342,C240,Lancamentos!$H$2:$H$2342,"PREMIO")</f>
        <v/>
      </c>
      <c r="F240" s="6">
        <f>D240+E240</f>
        <v/>
      </c>
      <c r="G240" s="7">
        <f>SUMIFS(Estimativas!$F:$F,Estimativas!$A:$A,A240)</f>
        <v/>
      </c>
      <c r="H240" s="6">
        <f>F240+G240</f>
        <v/>
      </c>
      <c r="I240" s="6">
        <f>SUMIFS(Lancamentos!$J$2:$J$2342,Lancamentos!$D$2:$D$2342,B240,Lancamentos!$E$2:$E$2342,C240,Lancamentos!$H$2:$H$2342,"&lt;&gt;DISTRATO")</f>
        <v/>
      </c>
      <c r="J240" s="6">
        <f>F240-I240</f>
        <v/>
      </c>
      <c r="K240" s="6">
        <f>SUMIFS(Lancamentos!$K$2:$K$2342,Lancamentos!$D$2:$D$2342,B240,Lancamentos!$E$2:$E$2342,C240,Lancamentos!$H$2:$H$2342,"DISTRATO")</f>
        <v/>
      </c>
      <c r="L240" s="5" t="inlineStr">
        <is>
          <t>Pago</t>
        </is>
      </c>
      <c r="M240" s="7">
        <f>IFERROR(INDEX(ContaCorrente!$D:$D,MATCH(A240,ContaCorrente!$A:$A,0)),"")</f>
        <v/>
      </c>
      <c r="N240" s="8">
        <f>IF(AND(ISNUMBER(M240),M240&lt;&gt;0),F240/M240,"")</f>
        <v/>
      </c>
    </row>
    <row r="241">
      <c r="A241" s="4" t="n">
        <v>45536</v>
      </c>
      <c r="B241" s="5">
        <f>YEAR(A241)</f>
        <v/>
      </c>
      <c r="C241" s="5">
        <f>MONTH(A241)</f>
        <v/>
      </c>
      <c r="D241" s="6">
        <f>SUMIFS(Lancamentos!$L$2:$L$2342,Lancamentos!$D$2:$D$2342,B241,Lancamentos!$E$2:$E$2342,C241)-E241</f>
        <v/>
      </c>
      <c r="E241" s="6">
        <f>SUMIFS(Lancamentos!$L$2:$L$2342,Lancamentos!$D$2:$D$2342,B241,Lancamentos!$E$2:$E$2342,C241,Lancamentos!$H$2:$H$2342,"PREMIO")</f>
        <v/>
      </c>
      <c r="F241" s="6">
        <f>D241+E241</f>
        <v/>
      </c>
      <c r="G241" s="7">
        <f>SUMIFS(Estimativas!$F:$F,Estimativas!$A:$A,A241)</f>
        <v/>
      </c>
      <c r="H241" s="6">
        <f>F241+G241</f>
        <v/>
      </c>
      <c r="I241" s="6">
        <f>SUMIFS(Lancamentos!$J$2:$J$2342,Lancamentos!$D$2:$D$2342,B241,Lancamentos!$E$2:$E$2342,C241,Lancamentos!$H$2:$H$2342,"&lt;&gt;DISTRATO")</f>
        <v/>
      </c>
      <c r="J241" s="6">
        <f>F241-I241</f>
        <v/>
      </c>
      <c r="K241" s="6">
        <f>SUMIFS(Lancamentos!$K$2:$K$2342,Lancamentos!$D$2:$D$2342,B241,Lancamentos!$E$2:$E$2342,C241,Lancamentos!$H$2:$H$2342,"DISTRATO")</f>
        <v/>
      </c>
      <c r="L241" s="5" t="inlineStr">
        <is>
          <t>Pago</t>
        </is>
      </c>
      <c r="M241" s="7">
        <f>IFERROR(INDEX(ContaCorrente!$D:$D,MATCH(A241,ContaCorrente!$A:$A,0)),"")</f>
        <v/>
      </c>
      <c r="N241" s="8">
        <f>IF(AND(ISNUMBER(M241),M241&lt;&gt;0),F241/M241,"")</f>
        <v/>
      </c>
    </row>
    <row r="242">
      <c r="A242" s="4" t="n">
        <v>45566</v>
      </c>
      <c r="B242" s="5">
        <f>YEAR(A242)</f>
        <v/>
      </c>
      <c r="C242" s="5">
        <f>MONTH(A242)</f>
        <v/>
      </c>
      <c r="D242" s="6">
        <f>SUMIFS(Lancamentos!$L$2:$L$2342,Lancamentos!$D$2:$D$2342,B242,Lancamentos!$E$2:$E$2342,C242)-E242</f>
        <v/>
      </c>
      <c r="E242" s="6">
        <f>SUMIFS(Lancamentos!$L$2:$L$2342,Lancamentos!$D$2:$D$2342,B242,Lancamentos!$E$2:$E$2342,C242,Lancamentos!$H$2:$H$2342,"PREMIO")</f>
        <v/>
      </c>
      <c r="F242" s="6">
        <f>D242+E242</f>
        <v/>
      </c>
      <c r="G242" s="7">
        <f>SUMIFS(Estimativas!$F:$F,Estimativas!$A:$A,A242)</f>
        <v/>
      </c>
      <c r="H242" s="6">
        <f>F242+G242</f>
        <v/>
      </c>
      <c r="I242" s="6">
        <f>SUMIFS(Lancamentos!$J$2:$J$2342,Lancamentos!$D$2:$D$2342,B242,Lancamentos!$E$2:$E$2342,C242,Lancamentos!$H$2:$H$2342,"&lt;&gt;DISTRATO")</f>
        <v/>
      </c>
      <c r="J242" s="6">
        <f>F242-I242</f>
        <v/>
      </c>
      <c r="K242" s="6">
        <f>SUMIFS(Lancamentos!$K$2:$K$2342,Lancamentos!$D$2:$D$2342,B242,Lancamentos!$E$2:$E$2342,C242,Lancamentos!$H$2:$H$2342,"DISTRATO")</f>
        <v/>
      </c>
      <c r="L242" s="5" t="inlineStr">
        <is>
          <t>Pago</t>
        </is>
      </c>
      <c r="M242" s="7">
        <f>IFERROR(INDEX(ContaCorrente!$D:$D,MATCH(A242,ContaCorrente!$A:$A,0)),"")</f>
        <v/>
      </c>
      <c r="N242" s="8">
        <f>IF(AND(ISNUMBER(M242),M242&lt;&gt;0),F242/M242,"")</f>
        <v/>
      </c>
    </row>
    <row r="243">
      <c r="A243" s="4" t="n">
        <v>45597</v>
      </c>
      <c r="B243" s="5">
        <f>YEAR(A243)</f>
        <v/>
      </c>
      <c r="C243" s="5">
        <f>MONTH(A243)</f>
        <v/>
      </c>
      <c r="D243" s="6">
        <f>SUMIFS(Lancamentos!$L$2:$L$2342,Lancamentos!$D$2:$D$2342,B243,Lancamentos!$E$2:$E$2342,C243)-E243</f>
        <v/>
      </c>
      <c r="E243" s="6">
        <f>SUMIFS(Lancamentos!$L$2:$L$2342,Lancamentos!$D$2:$D$2342,B243,Lancamentos!$E$2:$E$2342,C243,Lancamentos!$H$2:$H$2342,"PREMIO")</f>
        <v/>
      </c>
      <c r="F243" s="6">
        <f>D243+E243</f>
        <v/>
      </c>
      <c r="G243" s="7">
        <f>SUMIFS(Estimativas!$F:$F,Estimativas!$A:$A,A243)</f>
        <v/>
      </c>
      <c r="H243" s="6">
        <f>F243+G243</f>
        <v/>
      </c>
      <c r="I243" s="6">
        <f>SUMIFS(Lancamentos!$J$2:$J$2342,Lancamentos!$D$2:$D$2342,B243,Lancamentos!$E$2:$E$2342,C243,Lancamentos!$H$2:$H$2342,"&lt;&gt;DISTRATO")</f>
        <v/>
      </c>
      <c r="J243" s="6">
        <f>F243-I243</f>
        <v/>
      </c>
      <c r="K243" s="6">
        <f>SUMIFS(Lancamentos!$K$2:$K$2342,Lancamentos!$D$2:$D$2342,B243,Lancamentos!$E$2:$E$2342,C243,Lancamentos!$H$2:$H$2342,"DISTRATO")</f>
        <v/>
      </c>
      <c r="L243" s="5" t="inlineStr">
        <is>
          <t>Pago</t>
        </is>
      </c>
      <c r="M243" s="7">
        <f>IFERROR(INDEX(ContaCorrente!$D:$D,MATCH(A243,ContaCorrente!$A:$A,0)),"")</f>
        <v/>
      </c>
      <c r="N243" s="8">
        <f>IF(AND(ISNUMBER(M243),M243&lt;&gt;0),F243/M243,"")</f>
        <v/>
      </c>
    </row>
    <row r="244">
      <c r="A244" s="4" t="n">
        <v>45627</v>
      </c>
      <c r="B244" s="5">
        <f>YEAR(A244)</f>
        <v/>
      </c>
      <c r="C244" s="5">
        <f>MONTH(A244)</f>
        <v/>
      </c>
      <c r="D244" s="6">
        <f>SUMIFS(Lancamentos!$L$2:$L$2342,Lancamentos!$D$2:$D$2342,B244,Lancamentos!$E$2:$E$2342,C244)-E244</f>
        <v/>
      </c>
      <c r="E244" s="6">
        <f>SUMIFS(Lancamentos!$L$2:$L$2342,Lancamentos!$D$2:$D$2342,B244,Lancamentos!$E$2:$E$2342,C244,Lancamentos!$H$2:$H$2342,"PREMIO")</f>
        <v/>
      </c>
      <c r="F244" s="6">
        <f>D244+E244</f>
        <v/>
      </c>
      <c r="G244" s="7">
        <f>SUMIFS(Estimativas!$F:$F,Estimativas!$A:$A,A244)</f>
        <v/>
      </c>
      <c r="H244" s="6">
        <f>F244+G244</f>
        <v/>
      </c>
      <c r="I244" s="6">
        <f>SUMIFS(Lancamentos!$J$2:$J$2342,Lancamentos!$D$2:$D$2342,B244,Lancamentos!$E$2:$E$2342,C244,Lancamentos!$H$2:$H$2342,"&lt;&gt;DISTRATO")</f>
        <v/>
      </c>
      <c r="J244" s="6">
        <f>F244-I244</f>
        <v/>
      </c>
      <c r="K244" s="6">
        <f>SUMIFS(Lancamentos!$K$2:$K$2342,Lancamentos!$D$2:$D$2342,B244,Lancamentos!$E$2:$E$2342,C244,Lancamentos!$H$2:$H$2342,"DISTRATO")</f>
        <v/>
      </c>
      <c r="L244" s="5" t="inlineStr">
        <is>
          <t>Pago</t>
        </is>
      </c>
      <c r="M244" s="7">
        <f>IFERROR(INDEX(ContaCorrente!$D:$D,MATCH(A244,ContaCorrente!$A:$A,0)),"")</f>
        <v/>
      </c>
      <c r="N244" s="8">
        <f>IF(AND(ISNUMBER(M244),M244&lt;&gt;0),F244/M244,"")</f>
        <v/>
      </c>
    </row>
    <row r="245">
      <c r="A245" s="4" t="n">
        <v>45658</v>
      </c>
      <c r="B245" s="5">
        <f>YEAR(A245)</f>
        <v/>
      </c>
      <c r="C245" s="5">
        <f>MONTH(A245)</f>
        <v/>
      </c>
      <c r="D245" s="6">
        <f>SUMIFS(Lancamentos!$L$2:$L$2342,Lancamentos!$D$2:$D$2342,B245,Lancamentos!$E$2:$E$2342,C245)-E245</f>
        <v/>
      </c>
      <c r="E245" s="6">
        <f>SUMIFS(Lancamentos!$L$2:$L$2342,Lancamentos!$D$2:$D$2342,B245,Lancamentos!$E$2:$E$2342,C245,Lancamentos!$H$2:$H$2342,"PREMIO")</f>
        <v/>
      </c>
      <c r="F245" s="6">
        <f>D245+E245</f>
        <v/>
      </c>
      <c r="G245" s="7">
        <f>SUMIFS(Estimativas!$F:$F,Estimativas!$A:$A,A245)</f>
        <v/>
      </c>
      <c r="H245" s="6">
        <f>F245+G245</f>
        <v/>
      </c>
      <c r="I245" s="6">
        <f>SUMIFS(Lancamentos!$J$2:$J$2342,Lancamentos!$D$2:$D$2342,B245,Lancamentos!$E$2:$E$2342,C245,Lancamentos!$H$2:$H$2342,"&lt;&gt;DISTRATO")</f>
        <v/>
      </c>
      <c r="J245" s="6">
        <f>F245-I245</f>
        <v/>
      </c>
      <c r="K245" s="6">
        <f>SUMIFS(Lancamentos!$K$2:$K$2342,Lancamentos!$D$2:$D$2342,B245,Lancamentos!$E$2:$E$2342,C245,Lancamentos!$H$2:$H$2342,"DISTRATO")</f>
        <v/>
      </c>
      <c r="L245" s="5" t="inlineStr">
        <is>
          <t>Pago</t>
        </is>
      </c>
      <c r="M245" s="7">
        <f>IFERROR(INDEX(ContaCorrente!$D:$D,MATCH(A245,ContaCorrente!$A:$A,0)),"")</f>
        <v/>
      </c>
      <c r="N245" s="8">
        <f>IF(AND(ISNUMBER(M245),M245&lt;&gt;0),F245/M245,"")</f>
        <v/>
      </c>
    </row>
    <row r="246">
      <c r="A246" s="14" t="n">
        <v>45689</v>
      </c>
      <c r="B246" s="15">
        <f>YEAR(A246)</f>
        <v/>
      </c>
      <c r="C246" s="15">
        <f>MONTH(A246)</f>
        <v/>
      </c>
      <c r="D246" s="16">
        <f>SUMIFS(Lancamentos!$L$2:$L$2342,Lancamentos!$D$2:$D$2342,B246,Lancamentos!$E$2:$E$2342,C246)-E246</f>
        <v/>
      </c>
      <c r="E246" s="16">
        <f>SUMIFS(Lancamentos!$L$2:$L$2342,Lancamentos!$D$2:$D$2342,B246,Lancamentos!$E$2:$E$2342,C246,Lancamentos!$H$2:$H$2342,"PREMIO")</f>
        <v/>
      </c>
      <c r="F246" s="16">
        <f>D246+E246</f>
        <v/>
      </c>
      <c r="G246" s="17">
        <f>SUMIFS(Estimativas!$F:$F,Estimativas!$A:$A,A246)</f>
        <v/>
      </c>
      <c r="H246" s="16">
        <f>F246+G246</f>
        <v/>
      </c>
      <c r="I246" s="16">
        <f>SUMIFS(Lancamentos!$J$2:$J$2342,Lancamentos!$D$2:$D$2342,B246,Lancamentos!$E$2:$E$2342,C246,Lancamentos!$H$2:$H$2342,"&lt;&gt;DISTRATO")</f>
        <v/>
      </c>
      <c r="J246" s="16">
        <f>F246-I246</f>
        <v/>
      </c>
      <c r="K246" s="16">
        <f>SUMIFS(Lancamentos!$K$2:$K$2342,Lancamentos!$D$2:$D$2342,B246,Lancamentos!$E$2:$E$2342,C246,Lancamentos!$H$2:$H$2342,"DISTRATO")</f>
        <v/>
      </c>
      <c r="L246" s="15" t="inlineStr">
        <is>
          <t>Sem pagamento no contas a pagar (não estimado)</t>
        </is>
      </c>
      <c r="M246" s="17">
        <f>IFERROR(INDEX(ContaCorrente!$D:$D,MATCH(A246,ContaCorrente!$A:$A,0)),"")</f>
        <v/>
      </c>
      <c r="N246" s="18">
        <f>IF(AND(ISNUMBER(M246),M246&lt;&gt;0),F246/M246,"")</f>
        <v/>
      </c>
    </row>
    <row r="247">
      <c r="A247" s="4" t="n">
        <v>45717</v>
      </c>
      <c r="B247" s="5">
        <f>YEAR(A247)</f>
        <v/>
      </c>
      <c r="C247" s="5">
        <f>MONTH(A247)</f>
        <v/>
      </c>
      <c r="D247" s="6">
        <f>SUMIFS(Lancamentos!$L$2:$L$2342,Lancamentos!$D$2:$D$2342,B247,Lancamentos!$E$2:$E$2342,C247)-E247</f>
        <v/>
      </c>
      <c r="E247" s="6">
        <f>SUMIFS(Lancamentos!$L$2:$L$2342,Lancamentos!$D$2:$D$2342,B247,Lancamentos!$E$2:$E$2342,C247,Lancamentos!$H$2:$H$2342,"PREMIO")</f>
        <v/>
      </c>
      <c r="F247" s="6">
        <f>D247+E247</f>
        <v/>
      </c>
      <c r="G247" s="7">
        <f>SUMIFS(Estimativas!$F:$F,Estimativas!$A:$A,A247)</f>
        <v/>
      </c>
      <c r="H247" s="6">
        <f>F247+G247</f>
        <v/>
      </c>
      <c r="I247" s="6">
        <f>SUMIFS(Lancamentos!$J$2:$J$2342,Lancamentos!$D$2:$D$2342,B247,Lancamentos!$E$2:$E$2342,C247,Lancamentos!$H$2:$H$2342,"&lt;&gt;DISTRATO")</f>
        <v/>
      </c>
      <c r="J247" s="6">
        <f>F247-I247</f>
        <v/>
      </c>
      <c r="K247" s="6">
        <f>SUMIFS(Lancamentos!$K$2:$K$2342,Lancamentos!$D$2:$D$2342,B247,Lancamentos!$E$2:$E$2342,C247,Lancamentos!$H$2:$H$2342,"DISTRATO")</f>
        <v/>
      </c>
      <c r="L247" s="5" t="inlineStr">
        <is>
          <t>Pago</t>
        </is>
      </c>
      <c r="M247" s="7">
        <f>IFERROR(INDEX(ContaCorrente!$D:$D,MATCH(A247,ContaCorrente!$A:$A,0)),"")</f>
        <v/>
      </c>
      <c r="N247" s="8">
        <f>IF(AND(ISNUMBER(M247),M247&lt;&gt;0),F247/M247,"")</f>
        <v/>
      </c>
    </row>
    <row r="248">
      <c r="A248" s="4" t="n">
        <v>45748</v>
      </c>
      <c r="B248" s="5">
        <f>YEAR(A248)</f>
        <v/>
      </c>
      <c r="C248" s="5">
        <f>MONTH(A248)</f>
        <v/>
      </c>
      <c r="D248" s="6">
        <f>SUMIFS(Lancamentos!$L$2:$L$2342,Lancamentos!$D$2:$D$2342,B248,Lancamentos!$E$2:$E$2342,C248)-E248</f>
        <v/>
      </c>
      <c r="E248" s="6">
        <f>SUMIFS(Lancamentos!$L$2:$L$2342,Lancamentos!$D$2:$D$2342,B248,Lancamentos!$E$2:$E$2342,C248,Lancamentos!$H$2:$H$2342,"PREMIO")</f>
        <v/>
      </c>
      <c r="F248" s="6">
        <f>D248+E248</f>
        <v/>
      </c>
      <c r="G248" s="7">
        <f>SUMIFS(Estimativas!$F:$F,Estimativas!$A:$A,A248)</f>
        <v/>
      </c>
      <c r="H248" s="6">
        <f>F248+G248</f>
        <v/>
      </c>
      <c r="I248" s="6">
        <f>SUMIFS(Lancamentos!$J$2:$J$2342,Lancamentos!$D$2:$D$2342,B248,Lancamentos!$E$2:$E$2342,C248,Lancamentos!$H$2:$H$2342,"&lt;&gt;DISTRATO")</f>
        <v/>
      </c>
      <c r="J248" s="6">
        <f>F248-I248</f>
        <v/>
      </c>
      <c r="K248" s="6">
        <f>SUMIFS(Lancamentos!$K$2:$K$2342,Lancamentos!$D$2:$D$2342,B248,Lancamentos!$E$2:$E$2342,C248,Lancamentos!$H$2:$H$2342,"DISTRATO")</f>
        <v/>
      </c>
      <c r="L248" s="5" t="inlineStr">
        <is>
          <t>Pago</t>
        </is>
      </c>
      <c r="M248" s="7">
        <f>IFERROR(INDEX(ContaCorrente!$D:$D,MATCH(A248,ContaCorrente!$A:$A,0)),"")</f>
        <v/>
      </c>
      <c r="N248" s="8">
        <f>IF(AND(ISNUMBER(M248),M248&lt;&gt;0),F248/M248,"")</f>
        <v/>
      </c>
    </row>
    <row r="249">
      <c r="A249" s="14" t="n">
        <v>45778</v>
      </c>
      <c r="B249" s="15">
        <f>YEAR(A249)</f>
        <v/>
      </c>
      <c r="C249" s="15">
        <f>MONTH(A249)</f>
        <v/>
      </c>
      <c r="D249" s="16">
        <f>SUMIFS(Lancamentos!$L$2:$L$2342,Lancamentos!$D$2:$D$2342,B249,Lancamentos!$E$2:$E$2342,C249)-E249</f>
        <v/>
      </c>
      <c r="E249" s="16">
        <f>SUMIFS(Lancamentos!$L$2:$L$2342,Lancamentos!$D$2:$D$2342,B249,Lancamentos!$E$2:$E$2342,C249,Lancamentos!$H$2:$H$2342,"PREMIO")</f>
        <v/>
      </c>
      <c r="F249" s="16">
        <f>D249+E249</f>
        <v/>
      </c>
      <c r="G249" s="17">
        <f>SUMIFS(Estimativas!$F:$F,Estimativas!$A:$A,A249)</f>
        <v/>
      </c>
      <c r="H249" s="16">
        <f>F249+G249</f>
        <v/>
      </c>
      <c r="I249" s="16">
        <f>SUMIFS(Lancamentos!$J$2:$J$2342,Lancamentos!$D$2:$D$2342,B249,Lancamentos!$E$2:$E$2342,C249,Lancamentos!$H$2:$H$2342,"&lt;&gt;DISTRATO")</f>
        <v/>
      </c>
      <c r="J249" s="16">
        <f>F249-I249</f>
        <v/>
      </c>
      <c r="K249" s="16">
        <f>SUMIFS(Lancamentos!$K$2:$K$2342,Lancamentos!$D$2:$D$2342,B249,Lancamentos!$E$2:$E$2342,C249,Lancamentos!$H$2:$H$2342,"DISTRATO")</f>
        <v/>
      </c>
      <c r="L249" s="15" t="inlineStr">
        <is>
          <t>Sem pagamento no contas a pagar (não estimado)</t>
        </is>
      </c>
      <c r="M249" s="17">
        <f>IFERROR(INDEX(ContaCorrente!$D:$D,MATCH(A249,ContaCorrente!$A:$A,0)),"")</f>
        <v/>
      </c>
      <c r="N249" s="18">
        <f>IF(AND(ISNUMBER(M249),M249&lt;&gt;0),F249/M249,"")</f>
        <v/>
      </c>
    </row>
    <row r="250">
      <c r="A250" s="4" t="n">
        <v>45809</v>
      </c>
      <c r="B250" s="5">
        <f>YEAR(A250)</f>
        <v/>
      </c>
      <c r="C250" s="5">
        <f>MONTH(A250)</f>
        <v/>
      </c>
      <c r="D250" s="6">
        <f>SUMIFS(Lancamentos!$L$2:$L$2342,Lancamentos!$D$2:$D$2342,B250,Lancamentos!$E$2:$E$2342,C250)-E250</f>
        <v/>
      </c>
      <c r="E250" s="6">
        <f>SUMIFS(Lancamentos!$L$2:$L$2342,Lancamentos!$D$2:$D$2342,B250,Lancamentos!$E$2:$E$2342,C250,Lancamentos!$H$2:$H$2342,"PREMIO")</f>
        <v/>
      </c>
      <c r="F250" s="6">
        <f>D250+E250</f>
        <v/>
      </c>
      <c r="G250" s="7">
        <f>SUMIFS(Estimativas!$F:$F,Estimativas!$A:$A,A250)</f>
        <v/>
      </c>
      <c r="H250" s="6">
        <f>F250+G250</f>
        <v/>
      </c>
      <c r="I250" s="6">
        <f>SUMIFS(Lancamentos!$J$2:$J$2342,Lancamentos!$D$2:$D$2342,B250,Lancamentos!$E$2:$E$2342,C250,Lancamentos!$H$2:$H$2342,"&lt;&gt;DISTRATO")</f>
        <v/>
      </c>
      <c r="J250" s="6">
        <f>F250-I250</f>
        <v/>
      </c>
      <c r="K250" s="6">
        <f>SUMIFS(Lancamentos!$K$2:$K$2342,Lancamentos!$D$2:$D$2342,B250,Lancamentos!$E$2:$E$2342,C250,Lancamentos!$H$2:$H$2342,"DISTRATO")</f>
        <v/>
      </c>
      <c r="L250" s="5" t="inlineStr">
        <is>
          <t>Pago</t>
        </is>
      </c>
      <c r="M250" s="7">
        <f>IFERROR(INDEX(ContaCorrente!$D:$D,MATCH(A250,ContaCorrente!$A:$A,0)),"")</f>
        <v/>
      </c>
      <c r="N250" s="8">
        <f>IF(AND(ISNUMBER(M250),M250&lt;&gt;0),F250/M250,"")</f>
        <v/>
      </c>
    </row>
    <row r="251">
      <c r="A251" s="4" t="n">
        <v>45839</v>
      </c>
      <c r="B251" s="5">
        <f>YEAR(A251)</f>
        <v/>
      </c>
      <c r="C251" s="5">
        <f>MONTH(A251)</f>
        <v/>
      </c>
      <c r="D251" s="6">
        <f>SUMIFS(Lancamentos!$L$2:$L$2342,Lancamentos!$D$2:$D$2342,B251,Lancamentos!$E$2:$E$2342,C251)-E251</f>
        <v/>
      </c>
      <c r="E251" s="6">
        <f>SUMIFS(Lancamentos!$L$2:$L$2342,Lancamentos!$D$2:$D$2342,B251,Lancamentos!$E$2:$E$2342,C251,Lancamentos!$H$2:$H$2342,"PREMIO")</f>
        <v/>
      </c>
      <c r="F251" s="6">
        <f>D251+E251</f>
        <v/>
      </c>
      <c r="G251" s="7">
        <f>SUMIFS(Estimativas!$F:$F,Estimativas!$A:$A,A251)</f>
        <v/>
      </c>
      <c r="H251" s="6">
        <f>F251+G251</f>
        <v/>
      </c>
      <c r="I251" s="6">
        <f>SUMIFS(Lancamentos!$J$2:$J$2342,Lancamentos!$D$2:$D$2342,B251,Lancamentos!$E$2:$E$2342,C251,Lancamentos!$H$2:$H$2342,"&lt;&gt;DISTRATO")</f>
        <v/>
      </c>
      <c r="J251" s="6">
        <f>F251-I251</f>
        <v/>
      </c>
      <c r="K251" s="6">
        <f>SUMIFS(Lancamentos!$K$2:$K$2342,Lancamentos!$D$2:$D$2342,B251,Lancamentos!$E$2:$E$2342,C251,Lancamentos!$H$2:$H$2342,"DISTRATO")</f>
        <v/>
      </c>
      <c r="L251" s="5" t="inlineStr">
        <is>
          <t>Pago</t>
        </is>
      </c>
      <c r="M251" s="7">
        <f>IFERROR(INDEX(ContaCorrente!$D:$D,MATCH(A251,ContaCorrente!$A:$A,0)),"")</f>
        <v/>
      </c>
      <c r="N251" s="8">
        <f>IF(AND(ISNUMBER(M251),M251&lt;&gt;0),F251/M251,"")</f>
        <v/>
      </c>
    </row>
    <row r="252">
      <c r="A252" s="4" t="n">
        <v>45870</v>
      </c>
      <c r="B252" s="5">
        <f>YEAR(A252)</f>
        <v/>
      </c>
      <c r="C252" s="5">
        <f>MONTH(A252)</f>
        <v/>
      </c>
      <c r="D252" s="6">
        <f>SUMIFS(Lancamentos!$L$2:$L$2342,Lancamentos!$D$2:$D$2342,B252,Lancamentos!$E$2:$E$2342,C252)-E252</f>
        <v/>
      </c>
      <c r="E252" s="6">
        <f>SUMIFS(Lancamentos!$L$2:$L$2342,Lancamentos!$D$2:$D$2342,B252,Lancamentos!$E$2:$E$2342,C252,Lancamentos!$H$2:$H$2342,"PREMIO")</f>
        <v/>
      </c>
      <c r="F252" s="6">
        <f>D252+E252</f>
        <v/>
      </c>
      <c r="G252" s="7">
        <f>SUMIFS(Estimativas!$F:$F,Estimativas!$A:$A,A252)</f>
        <v/>
      </c>
      <c r="H252" s="6">
        <f>F252+G252</f>
        <v/>
      </c>
      <c r="I252" s="6">
        <f>SUMIFS(Lancamentos!$J$2:$J$2342,Lancamentos!$D$2:$D$2342,B252,Lancamentos!$E$2:$E$2342,C252,Lancamentos!$H$2:$H$2342,"&lt;&gt;DISTRATO")</f>
        <v/>
      </c>
      <c r="J252" s="6">
        <f>F252-I252</f>
        <v/>
      </c>
      <c r="K252" s="6">
        <f>SUMIFS(Lancamentos!$K$2:$K$2342,Lancamentos!$D$2:$D$2342,B252,Lancamentos!$E$2:$E$2342,C252,Lancamentos!$H$2:$H$2342,"DISTRATO")</f>
        <v/>
      </c>
      <c r="L252" s="5" t="inlineStr">
        <is>
          <t>Pago</t>
        </is>
      </c>
      <c r="M252" s="7">
        <f>IFERROR(INDEX(ContaCorrente!$D:$D,MATCH(A252,ContaCorrente!$A:$A,0)),"")</f>
        <v/>
      </c>
      <c r="N252" s="8">
        <f>IF(AND(ISNUMBER(M252),M252&lt;&gt;0),F252/M252,"")</f>
        <v/>
      </c>
    </row>
    <row r="253">
      <c r="A253" s="14" t="n">
        <v>45901</v>
      </c>
      <c r="B253" s="15">
        <f>YEAR(A253)</f>
        <v/>
      </c>
      <c r="C253" s="15">
        <f>MONTH(A253)</f>
        <v/>
      </c>
      <c r="D253" s="16">
        <f>SUMIFS(Lancamentos!$L$2:$L$2342,Lancamentos!$D$2:$D$2342,B253,Lancamentos!$E$2:$E$2342,C253)-E253</f>
        <v/>
      </c>
      <c r="E253" s="16">
        <f>SUMIFS(Lancamentos!$L$2:$L$2342,Lancamentos!$D$2:$D$2342,B253,Lancamentos!$E$2:$E$2342,C253,Lancamentos!$H$2:$H$2342,"PREMIO")</f>
        <v/>
      </c>
      <c r="F253" s="16">
        <f>D253+E253</f>
        <v/>
      </c>
      <c r="G253" s="17">
        <f>SUMIFS(Estimativas!$F:$F,Estimativas!$A:$A,A253)</f>
        <v/>
      </c>
      <c r="H253" s="16">
        <f>F253+G253</f>
        <v/>
      </c>
      <c r="I253" s="16">
        <f>SUMIFS(Lancamentos!$J$2:$J$2342,Lancamentos!$D$2:$D$2342,B253,Lancamentos!$E$2:$E$2342,C253,Lancamentos!$H$2:$H$2342,"&lt;&gt;DISTRATO")</f>
        <v/>
      </c>
      <c r="J253" s="16">
        <f>F253-I253</f>
        <v/>
      </c>
      <c r="K253" s="16">
        <f>SUMIFS(Lancamentos!$K$2:$K$2342,Lancamentos!$D$2:$D$2342,B253,Lancamentos!$E$2:$E$2342,C253,Lancamentos!$H$2:$H$2342,"DISTRATO")</f>
        <v/>
      </c>
      <c r="L253" s="15" t="inlineStr">
        <is>
          <t>Sem pagamento no contas a pagar (não estimado)</t>
        </is>
      </c>
      <c r="M253" s="17">
        <f>IFERROR(INDEX(ContaCorrente!$D:$D,MATCH(A253,ContaCorrente!$A:$A,0)),"")</f>
        <v/>
      </c>
      <c r="N253" s="18">
        <f>IF(AND(ISNUMBER(M253),M253&lt;&gt;0),F253/M253,"")</f>
        <v/>
      </c>
    </row>
    <row r="254">
      <c r="A254" s="4" t="n">
        <v>45931</v>
      </c>
      <c r="B254" s="5">
        <f>YEAR(A254)</f>
        <v/>
      </c>
      <c r="C254" s="5">
        <f>MONTH(A254)</f>
        <v/>
      </c>
      <c r="D254" s="6">
        <f>SUMIFS(Lancamentos!$L$2:$L$2342,Lancamentos!$D$2:$D$2342,B254,Lancamentos!$E$2:$E$2342,C254)-E254</f>
        <v/>
      </c>
      <c r="E254" s="6">
        <f>SUMIFS(Lancamentos!$L$2:$L$2342,Lancamentos!$D$2:$D$2342,B254,Lancamentos!$E$2:$E$2342,C254,Lancamentos!$H$2:$H$2342,"PREMIO")</f>
        <v/>
      </c>
      <c r="F254" s="6">
        <f>D254+E254</f>
        <v/>
      </c>
      <c r="G254" s="7">
        <f>SUMIFS(Estimativas!$F:$F,Estimativas!$A:$A,A254)</f>
        <v/>
      </c>
      <c r="H254" s="6">
        <f>F254+G254</f>
        <v/>
      </c>
      <c r="I254" s="6">
        <f>SUMIFS(Lancamentos!$J$2:$J$2342,Lancamentos!$D$2:$D$2342,B254,Lancamentos!$E$2:$E$2342,C254,Lancamentos!$H$2:$H$2342,"&lt;&gt;DISTRATO")</f>
        <v/>
      </c>
      <c r="J254" s="6">
        <f>F254-I254</f>
        <v/>
      </c>
      <c r="K254" s="6">
        <f>SUMIFS(Lancamentos!$K$2:$K$2342,Lancamentos!$D$2:$D$2342,B254,Lancamentos!$E$2:$E$2342,C254,Lancamentos!$H$2:$H$2342,"DISTRATO")</f>
        <v/>
      </c>
      <c r="L254" s="5" t="inlineStr">
        <is>
          <t>Pago</t>
        </is>
      </c>
      <c r="M254" s="7">
        <f>IFERROR(INDEX(ContaCorrente!$D:$D,MATCH(A254,ContaCorrente!$A:$A,0)),"")</f>
        <v/>
      </c>
      <c r="N254" s="8">
        <f>IF(AND(ISNUMBER(M254),M254&lt;&gt;0),F254/M254,"")</f>
        <v/>
      </c>
    </row>
    <row r="255">
      <c r="A255" s="14" t="n">
        <v>45962</v>
      </c>
      <c r="B255" s="15">
        <f>YEAR(A255)</f>
        <v/>
      </c>
      <c r="C255" s="15">
        <f>MONTH(A255)</f>
        <v/>
      </c>
      <c r="D255" s="16">
        <f>SUMIFS(Lancamentos!$L$2:$L$2342,Lancamentos!$D$2:$D$2342,B255,Lancamentos!$E$2:$E$2342,C255)-E255</f>
        <v/>
      </c>
      <c r="E255" s="16">
        <f>SUMIFS(Lancamentos!$L$2:$L$2342,Lancamentos!$D$2:$D$2342,B255,Lancamentos!$E$2:$E$2342,C255,Lancamentos!$H$2:$H$2342,"PREMIO")</f>
        <v/>
      </c>
      <c r="F255" s="16">
        <f>D255+E255</f>
        <v/>
      </c>
      <c r="G255" s="17">
        <f>SUMIFS(Estimativas!$F:$F,Estimativas!$A:$A,A255)</f>
        <v/>
      </c>
      <c r="H255" s="16">
        <f>F255+G255</f>
        <v/>
      </c>
      <c r="I255" s="16">
        <f>SUMIFS(Lancamentos!$J$2:$J$2342,Lancamentos!$D$2:$D$2342,B255,Lancamentos!$E$2:$E$2342,C255,Lancamentos!$H$2:$H$2342,"&lt;&gt;DISTRATO")</f>
        <v/>
      </c>
      <c r="J255" s="16">
        <f>F255-I255</f>
        <v/>
      </c>
      <c r="K255" s="16">
        <f>SUMIFS(Lancamentos!$K$2:$K$2342,Lancamentos!$D$2:$D$2342,B255,Lancamentos!$E$2:$E$2342,C255,Lancamentos!$H$2:$H$2342,"DISTRATO")</f>
        <v/>
      </c>
      <c r="L255" s="15" t="inlineStr">
        <is>
          <t>Sem pagamento no contas a pagar (não estimado)</t>
        </is>
      </c>
      <c r="M255" s="17">
        <f>IFERROR(INDEX(ContaCorrente!$D:$D,MATCH(A255,ContaCorrente!$A:$A,0)),"")</f>
        <v/>
      </c>
      <c r="N255" s="18">
        <f>IF(AND(ISNUMBER(M255),M255&lt;&gt;0),F255/M255,"")</f>
        <v/>
      </c>
    </row>
    <row r="256">
      <c r="A256" s="4" t="n">
        <v>45992</v>
      </c>
      <c r="B256" s="5">
        <f>YEAR(A256)</f>
        <v/>
      </c>
      <c r="C256" s="5">
        <f>MONTH(A256)</f>
        <v/>
      </c>
      <c r="D256" s="6">
        <f>SUMIFS(Lancamentos!$L$2:$L$2342,Lancamentos!$D$2:$D$2342,B256,Lancamentos!$E$2:$E$2342,C256)-E256</f>
        <v/>
      </c>
      <c r="E256" s="6">
        <f>SUMIFS(Lancamentos!$L$2:$L$2342,Lancamentos!$D$2:$D$2342,B256,Lancamentos!$E$2:$E$2342,C256,Lancamentos!$H$2:$H$2342,"PREMIO")</f>
        <v/>
      </c>
      <c r="F256" s="6">
        <f>D256+E256</f>
        <v/>
      </c>
      <c r="G256" s="7">
        <f>SUMIFS(Estimativas!$F:$F,Estimativas!$A:$A,A256)</f>
        <v/>
      </c>
      <c r="H256" s="6">
        <f>F256+G256</f>
        <v/>
      </c>
      <c r="I256" s="6">
        <f>SUMIFS(Lancamentos!$J$2:$J$2342,Lancamentos!$D$2:$D$2342,B256,Lancamentos!$E$2:$E$2342,C256,Lancamentos!$H$2:$H$2342,"&lt;&gt;DISTRATO")</f>
        <v/>
      </c>
      <c r="J256" s="6">
        <f>F256-I256</f>
        <v/>
      </c>
      <c r="K256" s="6">
        <f>SUMIFS(Lancamentos!$K$2:$K$2342,Lancamentos!$D$2:$D$2342,B256,Lancamentos!$E$2:$E$2342,C256,Lancamentos!$H$2:$H$2342,"DISTRATO")</f>
        <v/>
      </c>
      <c r="L256" s="5" t="inlineStr">
        <is>
          <t>Pago</t>
        </is>
      </c>
      <c r="M256" s="7">
        <f>IFERROR(INDEX(ContaCorrente!$D:$D,MATCH(A256,ContaCorrente!$A:$A,0)),"")</f>
        <v/>
      </c>
      <c r="N256" s="8">
        <f>IF(AND(ISNUMBER(M256),M256&lt;&gt;0),F256/M256,"")</f>
        <v/>
      </c>
    </row>
    <row r="257">
      <c r="A257" s="14" t="n">
        <v>46023</v>
      </c>
      <c r="B257" s="15">
        <f>YEAR(A257)</f>
        <v/>
      </c>
      <c r="C257" s="15">
        <f>MONTH(A257)</f>
        <v/>
      </c>
      <c r="D257" s="16">
        <f>SUMIFS(Lancamentos!$L$2:$L$2342,Lancamentos!$D$2:$D$2342,B257,Lancamentos!$E$2:$E$2342,C257)-E257</f>
        <v/>
      </c>
      <c r="E257" s="16">
        <f>SUMIFS(Lancamentos!$L$2:$L$2342,Lancamentos!$D$2:$D$2342,B257,Lancamentos!$E$2:$E$2342,C257,Lancamentos!$H$2:$H$2342,"PREMIO")</f>
        <v/>
      </c>
      <c r="F257" s="16">
        <f>D257+E257</f>
        <v/>
      </c>
      <c r="G257" s="17">
        <f>SUMIFS(Estimativas!$F:$F,Estimativas!$A:$A,A257)</f>
        <v/>
      </c>
      <c r="H257" s="16">
        <f>F257+G257</f>
        <v/>
      </c>
      <c r="I257" s="16">
        <f>SUMIFS(Lancamentos!$J$2:$J$2342,Lancamentos!$D$2:$D$2342,B257,Lancamentos!$E$2:$E$2342,C257,Lancamentos!$H$2:$H$2342,"&lt;&gt;DISTRATO")</f>
        <v/>
      </c>
      <c r="J257" s="16">
        <f>F257-I257</f>
        <v/>
      </c>
      <c r="K257" s="16">
        <f>SUMIFS(Lancamentos!$K$2:$K$2342,Lancamentos!$D$2:$D$2342,B257,Lancamentos!$E$2:$E$2342,C257,Lancamentos!$H$2:$H$2342,"DISTRATO")</f>
        <v/>
      </c>
      <c r="L257" s="15" t="inlineStr">
        <is>
          <t>Sem pagamento no contas a pagar (não estimado)</t>
        </is>
      </c>
      <c r="M257" s="17">
        <f>IFERROR(INDEX(ContaCorrente!$D:$D,MATCH(A257,ContaCorrente!$A:$A,0)),"")</f>
        <v/>
      </c>
      <c r="N257" s="18">
        <f>IF(AND(ISNUMBER(M257),M257&lt;&gt;0),F257/M257,"")</f>
        <v/>
      </c>
    </row>
    <row r="258">
      <c r="A258" s="4" t="n">
        <v>46054</v>
      </c>
      <c r="B258" s="5">
        <f>YEAR(A258)</f>
        <v/>
      </c>
      <c r="C258" s="5">
        <f>MONTH(A258)</f>
        <v/>
      </c>
      <c r="D258" s="6">
        <f>SUMIFS(Lancamentos!$L$2:$L$2342,Lancamentos!$D$2:$D$2342,B258,Lancamentos!$E$2:$E$2342,C258)-E258</f>
        <v/>
      </c>
      <c r="E258" s="6">
        <f>SUMIFS(Lancamentos!$L$2:$L$2342,Lancamentos!$D$2:$D$2342,B258,Lancamentos!$E$2:$E$2342,C258,Lancamentos!$H$2:$H$2342,"PREMIO")</f>
        <v/>
      </c>
      <c r="F258" s="6">
        <f>D258+E258</f>
        <v/>
      </c>
      <c r="G258" s="7">
        <f>SUMIFS(Estimativas!$F:$F,Estimativas!$A:$A,A258)</f>
        <v/>
      </c>
      <c r="H258" s="6">
        <f>F258+G258</f>
        <v/>
      </c>
      <c r="I258" s="6">
        <f>SUMIFS(Lancamentos!$J$2:$J$2342,Lancamentos!$D$2:$D$2342,B258,Lancamentos!$E$2:$E$2342,C258,Lancamentos!$H$2:$H$2342,"&lt;&gt;DISTRATO")</f>
        <v/>
      </c>
      <c r="J258" s="6">
        <f>F258-I258</f>
        <v/>
      </c>
      <c r="K258" s="6">
        <f>SUMIFS(Lancamentos!$K$2:$K$2342,Lancamentos!$D$2:$D$2342,B258,Lancamentos!$E$2:$E$2342,C258,Lancamentos!$H$2:$H$2342,"DISTRATO")</f>
        <v/>
      </c>
      <c r="L258" s="5" t="inlineStr">
        <is>
          <t>Pago</t>
        </is>
      </c>
      <c r="M258" s="7">
        <f>IFERROR(INDEX(ContaCorrente!$D:$D,MATCH(A258,ContaCorrente!$A:$A,0)),"")</f>
        <v/>
      </c>
      <c r="N258" s="8">
        <f>IF(AND(ISNUMBER(M258),M258&lt;&gt;0),F258/M258,"")</f>
        <v/>
      </c>
    </row>
    <row r="259">
      <c r="A259" s="4" t="n">
        <v>46082</v>
      </c>
      <c r="B259" s="5">
        <f>YEAR(A259)</f>
        <v/>
      </c>
      <c r="C259" s="5">
        <f>MONTH(A259)</f>
        <v/>
      </c>
      <c r="D259" s="6">
        <f>SUMIFS(Lancamentos!$L$2:$L$2342,Lancamentos!$D$2:$D$2342,B259,Lancamentos!$E$2:$E$2342,C259)-E259</f>
        <v/>
      </c>
      <c r="E259" s="6">
        <f>SUMIFS(Lancamentos!$L$2:$L$2342,Lancamentos!$D$2:$D$2342,B259,Lancamentos!$E$2:$E$2342,C259,Lancamentos!$H$2:$H$2342,"PREMIO")</f>
        <v/>
      </c>
      <c r="F259" s="6">
        <f>D259+E259</f>
        <v/>
      </c>
      <c r="G259" s="7">
        <f>SUMIFS(Estimativas!$F:$F,Estimativas!$A:$A,A259)</f>
        <v/>
      </c>
      <c r="H259" s="6">
        <f>F259+G259</f>
        <v/>
      </c>
      <c r="I259" s="6">
        <f>SUMIFS(Lancamentos!$J$2:$J$2342,Lancamentos!$D$2:$D$2342,B259,Lancamentos!$E$2:$E$2342,C259,Lancamentos!$H$2:$H$2342,"&lt;&gt;DISTRATO")</f>
        <v/>
      </c>
      <c r="J259" s="6">
        <f>F259-I259</f>
        <v/>
      </c>
      <c r="K259" s="6">
        <f>SUMIFS(Lancamentos!$K$2:$K$2342,Lancamentos!$D$2:$D$2342,B259,Lancamentos!$E$2:$E$2342,C259,Lancamentos!$H$2:$H$2342,"DISTRATO")</f>
        <v/>
      </c>
      <c r="L259" s="5" t="inlineStr">
        <is>
          <t>Pago</t>
        </is>
      </c>
      <c r="M259" s="7">
        <f>IFERROR(INDEX(ContaCorrente!$D:$D,MATCH(A259,ContaCorrente!$A:$A,0)),"")</f>
        <v/>
      </c>
      <c r="N259" s="8">
        <f>IF(AND(ISNUMBER(M259),M259&lt;&gt;0),F259/M259,"")</f>
        <v/>
      </c>
    </row>
    <row r="260">
      <c r="A260" s="4" t="n">
        <v>46113</v>
      </c>
      <c r="B260" s="5">
        <f>YEAR(A260)</f>
        <v/>
      </c>
      <c r="C260" s="5">
        <f>MONTH(A260)</f>
        <v/>
      </c>
      <c r="D260" s="6">
        <f>SUMIFS(Lancamentos!$L$2:$L$2342,Lancamentos!$D$2:$D$2342,B260,Lancamentos!$E$2:$E$2342,C260)-E260</f>
        <v/>
      </c>
      <c r="E260" s="6">
        <f>SUMIFS(Lancamentos!$L$2:$L$2342,Lancamentos!$D$2:$D$2342,B260,Lancamentos!$E$2:$E$2342,C260,Lancamentos!$H$2:$H$2342,"PREMIO")</f>
        <v/>
      </c>
      <c r="F260" s="6">
        <f>D260+E260</f>
        <v/>
      </c>
      <c r="G260" s="7">
        <f>SUMIFS(Estimativas!$F:$F,Estimativas!$A:$A,A260)</f>
        <v/>
      </c>
      <c r="H260" s="6">
        <f>F260+G260</f>
        <v/>
      </c>
      <c r="I260" s="6">
        <f>SUMIFS(Lancamentos!$J$2:$J$2342,Lancamentos!$D$2:$D$2342,B260,Lancamentos!$E$2:$E$2342,C260,Lancamentos!$H$2:$H$2342,"&lt;&gt;DISTRATO")</f>
        <v/>
      </c>
      <c r="J260" s="6">
        <f>F260-I260</f>
        <v/>
      </c>
      <c r="K260" s="6">
        <f>SUMIFS(Lancamentos!$K$2:$K$2342,Lancamentos!$D$2:$D$2342,B260,Lancamentos!$E$2:$E$2342,C260,Lancamentos!$H$2:$H$2342,"DISTRATO")</f>
        <v/>
      </c>
      <c r="L260" s="5" t="inlineStr">
        <is>
          <t>Pago</t>
        </is>
      </c>
      <c r="M260" s="7">
        <f>IFERROR(INDEX(ContaCorrente!$D:$D,MATCH(A260,ContaCorrente!$A:$A,0)),"")</f>
        <v/>
      </c>
      <c r="N260" s="8">
        <f>IF(AND(ISNUMBER(M260),M260&lt;&gt;0),F260/M260,"")</f>
        <v/>
      </c>
    </row>
    <row r="261">
      <c r="A261" s="4" t="n">
        <v>46143</v>
      </c>
      <c r="B261" s="5">
        <f>YEAR(A261)</f>
        <v/>
      </c>
      <c r="C261" s="5">
        <f>MONTH(A261)</f>
        <v/>
      </c>
      <c r="D261" s="6">
        <f>SUMIFS(Lancamentos!$L$2:$L$2342,Lancamentos!$D$2:$D$2342,B261,Lancamentos!$E$2:$E$2342,C261)-E261</f>
        <v/>
      </c>
      <c r="E261" s="6">
        <f>SUMIFS(Lancamentos!$L$2:$L$2342,Lancamentos!$D$2:$D$2342,B261,Lancamentos!$E$2:$E$2342,C261,Lancamentos!$H$2:$H$2342,"PREMIO")</f>
        <v/>
      </c>
      <c r="F261" s="6">
        <f>D261+E261</f>
        <v/>
      </c>
      <c r="G261" s="7">
        <f>SUMIFS(Estimativas!$F:$F,Estimativas!$A:$A,A261)</f>
        <v/>
      </c>
      <c r="H261" s="6">
        <f>F261+G261</f>
        <v/>
      </c>
      <c r="I261" s="6">
        <f>SUMIFS(Lancamentos!$J$2:$J$2342,Lancamentos!$D$2:$D$2342,B261,Lancamentos!$E$2:$E$2342,C261,Lancamentos!$H$2:$H$2342,"&lt;&gt;DISTRATO")</f>
        <v/>
      </c>
      <c r="J261" s="6">
        <f>F261-I261</f>
        <v/>
      </c>
      <c r="K261" s="6">
        <f>SUMIFS(Lancamentos!$K$2:$K$2342,Lancamentos!$D$2:$D$2342,B261,Lancamentos!$E$2:$E$2342,C261,Lancamentos!$H$2:$H$2342,"DISTRATO")</f>
        <v/>
      </c>
      <c r="L261" s="5" t="inlineStr">
        <is>
          <t>Pago</t>
        </is>
      </c>
      <c r="M261" s="7">
        <f>IFERROR(INDEX(ContaCorrente!$D:$D,MATCH(A261,ContaCorrente!$A:$A,0)),"")</f>
        <v/>
      </c>
      <c r="N261" s="8">
        <f>IF(AND(ISNUMBER(M261),M261&lt;&gt;0),F261/M261,"")</f>
        <v/>
      </c>
    </row>
    <row r="262">
      <c r="A262" s="4" t="n">
        <v>46174</v>
      </c>
      <c r="B262" s="5">
        <f>YEAR(A262)</f>
        <v/>
      </c>
      <c r="C262" s="5">
        <f>MONTH(A262)</f>
        <v/>
      </c>
      <c r="D262" s="6">
        <f>SUMIFS(Lancamentos!$L$2:$L$2342,Lancamentos!$D$2:$D$2342,B262,Lancamentos!$E$2:$E$2342,C262)-E262</f>
        <v/>
      </c>
      <c r="E262" s="6">
        <f>SUMIFS(Lancamentos!$L$2:$L$2342,Lancamentos!$D$2:$D$2342,B262,Lancamentos!$E$2:$E$2342,C262,Lancamentos!$H$2:$H$2342,"PREMIO")</f>
        <v/>
      </c>
      <c r="F262" s="6">
        <f>D262+E262</f>
        <v/>
      </c>
      <c r="G262" s="7">
        <f>SUMIFS(Estimativas!$F:$F,Estimativas!$A:$A,A262)</f>
        <v/>
      </c>
      <c r="H262" s="6">
        <f>F262+G262</f>
        <v/>
      </c>
      <c r="I262" s="6">
        <f>SUMIFS(Lancamentos!$J$2:$J$2342,Lancamentos!$D$2:$D$2342,B262,Lancamentos!$E$2:$E$2342,C262,Lancamentos!$H$2:$H$2342,"&lt;&gt;DISTRATO")</f>
        <v/>
      </c>
      <c r="J262" s="6">
        <f>F262-I262</f>
        <v/>
      </c>
      <c r="K262" s="6">
        <f>SUMIFS(Lancamentos!$K$2:$K$2342,Lancamentos!$D$2:$D$2342,B262,Lancamentos!$E$2:$E$2342,C262,Lancamentos!$H$2:$H$2342,"DISTRATO")</f>
        <v/>
      </c>
      <c r="L262" s="5" t="inlineStr">
        <is>
          <t>Pago</t>
        </is>
      </c>
      <c r="M262" s="7">
        <f>IFERROR(INDEX(ContaCorrente!$D:$D,MATCH(A262,ContaCorrente!$A:$A,0)),"")</f>
        <v/>
      </c>
      <c r="N262" s="8">
        <f>IF(AND(ISNUMBER(M262),M262&lt;&gt;0),F262/M262,"")</f>
        <v/>
      </c>
    </row>
    <row r="263">
      <c r="A263" s="4" t="n">
        <v>46204</v>
      </c>
      <c r="B263" s="5">
        <f>YEAR(A263)</f>
        <v/>
      </c>
      <c r="C263" s="5">
        <f>MONTH(A263)</f>
        <v/>
      </c>
      <c r="D263" s="6">
        <f>SUMIFS(Lancamentos!$L$2:$L$2342,Lancamentos!$D$2:$D$2342,B263,Lancamentos!$E$2:$E$2342,C263)-E263</f>
        <v/>
      </c>
      <c r="E263" s="6">
        <f>SUMIFS(Lancamentos!$L$2:$L$2342,Lancamentos!$D$2:$D$2342,B263,Lancamentos!$E$2:$E$2342,C263,Lancamentos!$H$2:$H$2342,"PREMIO")</f>
        <v/>
      </c>
      <c r="F263" s="6">
        <f>D263+E263</f>
        <v/>
      </c>
      <c r="G263" s="7">
        <f>SUMIFS(Estimativas!$F:$F,Estimativas!$A:$A,A263)</f>
        <v/>
      </c>
      <c r="H263" s="6">
        <f>F263+G263</f>
        <v/>
      </c>
      <c r="I263" s="6">
        <f>SUMIFS(Lancamentos!$J$2:$J$2342,Lancamentos!$D$2:$D$2342,B263,Lancamentos!$E$2:$E$2342,C263,Lancamentos!$H$2:$H$2342,"&lt;&gt;DISTRATO")</f>
        <v/>
      </c>
      <c r="J263" s="6">
        <f>F263-I263</f>
        <v/>
      </c>
      <c r="K263" s="6">
        <f>SUMIFS(Lancamentos!$K$2:$K$2342,Lancamentos!$D$2:$D$2342,B263,Lancamentos!$E$2:$E$2342,C263,Lancamentos!$H$2:$H$2342,"DISTRATO")</f>
        <v/>
      </c>
      <c r="L263" s="5" t="inlineStr">
        <is>
          <t>Pago</t>
        </is>
      </c>
      <c r="M263" s="7">
        <f>IFERROR(INDEX(ContaCorrente!$D:$D,MATCH(A263,ContaCorrente!$A:$A,0)),"")</f>
        <v/>
      </c>
      <c r="N263" s="8">
        <f>IF(AND(ISNUMBER(M263),M263&lt;&gt;0),F263/M263,"")</f>
        <v/>
      </c>
    </row>
    <row r="264">
      <c r="A264" s="19" t="inlineStr">
        <is>
          <t>TOTAL</t>
        </is>
      </c>
      <c r="D264" s="20">
        <f>SUM(D5:D263)</f>
        <v/>
      </c>
      <c r="E264" s="20">
        <f>SUM(E5:E263)</f>
        <v/>
      </c>
      <c r="F264" s="20">
        <f>SUM(F5:F263)</f>
        <v/>
      </c>
      <c r="G264" s="20">
        <f>SUM(G5:G263)</f>
        <v/>
      </c>
      <c r="H264" s="20">
        <f>SUM(H5:H263)</f>
        <v/>
      </c>
      <c r="I264" s="20">
        <f>SUM(I5:I263)</f>
        <v/>
      </c>
      <c r="J264" s="20">
        <f>SUM(J5:J263)</f>
        <v/>
      </c>
      <c r="K264" s="20">
        <f>SUM(K5:K263)</f>
        <v/>
      </c>
    </row>
    <row r="266">
      <c r="A266" s="19" t="inlineStr">
        <is>
          <t>Total REAL</t>
        </is>
      </c>
      <c r="H266" s="21">
        <f>F264</f>
        <v/>
      </c>
    </row>
    <row r="267">
      <c r="A267" s="19" t="inlineStr">
        <is>
          <t>Total ESTIMADO</t>
        </is>
      </c>
      <c r="H267" s="21">
        <f>G264</f>
        <v/>
      </c>
    </row>
    <row r="268">
      <c r="A268" s="19" t="inlineStr">
        <is>
          <t>% estimado</t>
        </is>
      </c>
      <c r="H268" s="22">
        <f>IF(H264=0,0,G264/H264)</f>
        <v/>
      </c>
    </row>
    <row r="269">
      <c r="A269" s="23" t="inlineStr">
        <is>
          <t>Conferência: total da aba Lancamentos - Total real (deve ser zero)</t>
        </is>
      </c>
      <c r="H269" s="21">
        <f>Lancamentos!L2343-F264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16" customWidth="1" min="4" max="4"/>
    <col width="16" customWidth="1" min="5" max="5"/>
    <col width="11" customWidth="1" min="6" max="6"/>
    <col width="34" customWidth="1" min="7" max="7"/>
  </cols>
  <sheetData>
    <row r="1">
      <c r="A1" s="1" t="inlineStr">
        <is>
          <t>De onde vem cada valor (só Tenda) - real x estimado, por ano de competência</t>
        </is>
      </c>
    </row>
    <row r="3" ht="32" customHeight="1">
      <c r="A3" s="3" t="inlineStr">
        <is>
          <t>Ano</t>
        </is>
      </c>
      <c r="B3" s="3" t="inlineStr">
        <is>
          <t>Extrato real Tenda (conta corrente)</t>
        </is>
      </c>
      <c r="C3" s="3" t="inlineStr">
        <is>
          <t>Contas a pagar (pago à Frugis)</t>
        </is>
      </c>
      <c r="D3" s="3" t="inlineStr">
        <is>
          <t>ESTIMADO</t>
        </is>
      </c>
      <c r="E3" s="3" t="inlineStr">
        <is>
          <t>Total</t>
        </is>
      </c>
      <c r="F3" s="3" t="inlineStr">
        <is>
          <t>% estimado</t>
        </is>
      </c>
      <c r="G3" s="3" t="inlineStr">
        <is>
          <t>Como foi estimado</t>
        </is>
      </c>
    </row>
    <row r="4">
      <c r="A4" s="24" t="n">
        <v>2005</v>
      </c>
      <c r="B4" s="6">
        <f>SUMIFS(Mensal!$F$5:$F$263,Mensal!$B$5:$B$263,A4,Mensal!$L$5:$L$263,"Tenda*")</f>
        <v/>
      </c>
      <c r="C4" s="6">
        <f>SUMIFS(Mensal!$F$5:$F$263,Mensal!$B$5:$B$263,A4,Mensal!$L$5:$L$263,"Pago")</f>
        <v/>
      </c>
      <c r="D4" s="6">
        <f>SUMIFS(Mensal!$G$5:$G$263,Mensal!$B$5:$B$263,A4)</f>
        <v/>
      </c>
      <c r="E4" s="6">
        <f>B4+C4+D4</f>
        <v/>
      </c>
      <c r="F4" s="25">
        <f>IF(E4=0,"",D4/E4)</f>
        <v/>
      </c>
      <c r="G4" s="26" t="inlineStr">
        <is>
          <t>—</t>
        </is>
      </c>
    </row>
    <row r="5">
      <c r="A5" s="24" t="n">
        <v>2006</v>
      </c>
      <c r="B5" s="6">
        <f>SUMIFS(Mensal!$F$5:$F$263,Mensal!$B$5:$B$263,A5,Mensal!$L$5:$L$263,"Tenda*")</f>
        <v/>
      </c>
      <c r="C5" s="6">
        <f>SUMIFS(Mensal!$F$5:$F$263,Mensal!$B$5:$B$263,A5,Mensal!$L$5:$L$263,"Pago")</f>
        <v/>
      </c>
      <c r="D5" s="6">
        <f>SUMIFS(Mensal!$G$5:$G$263,Mensal!$B$5:$B$263,A5)</f>
        <v/>
      </c>
      <c r="E5" s="6">
        <f>B5+C5+D5</f>
        <v/>
      </c>
      <c r="F5" s="25">
        <f>IF(E5=0,"",D5/E5)</f>
        <v/>
      </c>
      <c r="G5" s="26" t="inlineStr">
        <is>
          <t>—</t>
        </is>
      </c>
    </row>
    <row r="6">
      <c r="A6" s="27" t="n">
        <v>2007</v>
      </c>
      <c r="B6" s="11">
        <f>SUMIFS(Mensal!$F$5:$F$263,Mensal!$B$5:$B$263,A6,Mensal!$L$5:$L$263,"Tenda*")</f>
        <v/>
      </c>
      <c r="C6" s="11">
        <f>SUMIFS(Mensal!$F$5:$F$263,Mensal!$B$5:$B$263,A6,Mensal!$L$5:$L$263,"Pago")</f>
        <v/>
      </c>
      <c r="D6" s="11">
        <f>SUMIFS(Mensal!$G$5:$G$263,Mensal!$B$5:$B$263,A6)</f>
        <v/>
      </c>
      <c r="E6" s="11">
        <f>B6+C6+D6</f>
        <v/>
      </c>
      <c r="F6" s="28">
        <f>IF(E6=0,"",D6/E6)</f>
        <v/>
      </c>
      <c r="G6" s="29" t="inlineStr">
        <is>
          <t>2008 real ÷ IPCA 2008 (5,90%)</t>
        </is>
      </c>
    </row>
    <row r="7">
      <c r="A7" s="24" t="n">
        <v>2008</v>
      </c>
      <c r="B7" s="6">
        <f>SUMIFS(Mensal!$F$5:$F$263,Mensal!$B$5:$B$263,A7,Mensal!$L$5:$L$263,"Tenda*")</f>
        <v/>
      </c>
      <c r="C7" s="6">
        <f>SUMIFS(Mensal!$F$5:$F$263,Mensal!$B$5:$B$263,A7,Mensal!$L$5:$L$263,"Pago")</f>
        <v/>
      </c>
      <c r="D7" s="6">
        <f>SUMIFS(Mensal!$G$5:$G$263,Mensal!$B$5:$B$263,A7)</f>
        <v/>
      </c>
      <c r="E7" s="6">
        <f>B7+C7+D7</f>
        <v/>
      </c>
      <c r="F7" s="25">
        <f>IF(E7=0,"",D7/E7)</f>
        <v/>
      </c>
      <c r="G7" s="26" t="inlineStr">
        <is>
          <t>—</t>
        </is>
      </c>
    </row>
    <row r="8">
      <c r="A8" s="24" t="n">
        <v>2009</v>
      </c>
      <c r="B8" s="6">
        <f>SUMIFS(Mensal!$F$5:$F$263,Mensal!$B$5:$B$263,A8,Mensal!$L$5:$L$263,"Tenda*")</f>
        <v/>
      </c>
      <c r="C8" s="6">
        <f>SUMIFS(Mensal!$F$5:$F$263,Mensal!$B$5:$B$263,A8,Mensal!$L$5:$L$263,"Pago")</f>
        <v/>
      </c>
      <c r="D8" s="6">
        <f>SUMIFS(Mensal!$G$5:$G$263,Mensal!$B$5:$B$263,A8)</f>
        <v/>
      </c>
      <c r="E8" s="6">
        <f>B8+C8+D8</f>
        <v/>
      </c>
      <c r="F8" s="25">
        <f>IF(E8=0,"",D8/E8)</f>
        <v/>
      </c>
      <c r="G8" s="26" t="inlineStr">
        <is>
          <t>—</t>
        </is>
      </c>
    </row>
    <row r="9">
      <c r="A9" s="27" t="n">
        <v>2010</v>
      </c>
      <c r="B9" s="11">
        <f>SUMIFS(Mensal!$F$5:$F$263,Mensal!$B$5:$B$263,A9,Mensal!$L$5:$L$263,"Tenda*")</f>
        <v/>
      </c>
      <c r="C9" s="11">
        <f>SUMIFS(Mensal!$F$5:$F$263,Mensal!$B$5:$B$263,A9,Mensal!$L$5:$L$263,"Pago")</f>
        <v/>
      </c>
      <c r="D9" s="11">
        <f>SUMIFS(Mensal!$G$5:$G$263,Mensal!$B$5:$B$263,A9)</f>
        <v/>
      </c>
      <c r="E9" s="11">
        <f>B9+C9+D9</f>
        <v/>
      </c>
      <c r="F9" s="28">
        <f>IF(E9=0,"",D9/E9)</f>
        <v/>
      </c>
      <c r="G9" s="29" t="inlineStr">
        <is>
          <t>out-dez: média c/ variação</t>
        </is>
      </c>
    </row>
    <row r="10">
      <c r="A10" s="27" t="n">
        <v>2011</v>
      </c>
      <c r="B10" s="11">
        <f>SUMIFS(Mensal!$F$5:$F$263,Mensal!$B$5:$B$263,A10,Mensal!$L$5:$L$263,"Tenda*")</f>
        <v/>
      </c>
      <c r="C10" s="11">
        <f>SUMIFS(Mensal!$F$5:$F$263,Mensal!$B$5:$B$263,A10,Mensal!$L$5:$L$263,"Pago")</f>
        <v/>
      </c>
      <c r="D10" s="11">
        <f>SUMIFS(Mensal!$G$5:$G$263,Mensal!$B$5:$B$263,A10)</f>
        <v/>
      </c>
      <c r="E10" s="11">
        <f>B10+C10+D10</f>
        <v/>
      </c>
      <c r="F10" s="28">
        <f>IF(E10=0,"",D10/E10)</f>
        <v/>
      </c>
      <c r="G10" s="29" t="inlineStr">
        <is>
          <t>média c/ variação</t>
        </is>
      </c>
    </row>
    <row r="11">
      <c r="A11" s="24" t="n">
        <v>2012</v>
      </c>
      <c r="B11" s="6">
        <f>SUMIFS(Mensal!$F$5:$F$263,Mensal!$B$5:$B$263,A11,Mensal!$L$5:$L$263,"Tenda*")</f>
        <v/>
      </c>
      <c r="C11" s="6">
        <f>SUMIFS(Mensal!$F$5:$F$263,Mensal!$B$5:$B$263,A11,Mensal!$L$5:$L$263,"Pago")</f>
        <v/>
      </c>
      <c r="D11" s="6">
        <f>SUMIFS(Mensal!$G$5:$G$263,Mensal!$B$5:$B$263,A11)</f>
        <v/>
      </c>
      <c r="E11" s="6">
        <f>B11+C11+D11</f>
        <v/>
      </c>
      <c r="F11" s="25">
        <f>IF(E11=0,"",D11/E11)</f>
        <v/>
      </c>
      <c r="G11" s="26" t="inlineStr">
        <is>
          <t>—</t>
        </is>
      </c>
    </row>
    <row r="12">
      <c r="A12" s="27" t="n">
        <v>2013</v>
      </c>
      <c r="B12" s="11">
        <f>SUMIFS(Mensal!$F$5:$F$263,Mensal!$B$5:$B$263,A12,Mensal!$L$5:$L$263,"Tenda*")</f>
        <v/>
      </c>
      <c r="C12" s="11">
        <f>SUMIFS(Mensal!$F$5:$F$263,Mensal!$B$5:$B$263,A12,Mensal!$L$5:$L$263,"Pago")</f>
        <v/>
      </c>
      <c r="D12" s="11">
        <f>SUMIFS(Mensal!$G$5:$G$263,Mensal!$B$5:$B$263,A12)</f>
        <v/>
      </c>
      <c r="E12" s="11">
        <f>B12+C12+D12</f>
        <v/>
      </c>
      <c r="F12" s="28">
        <f>IF(E12=0,"",D12/E12)</f>
        <v/>
      </c>
      <c r="G12" s="29" t="inlineStr">
        <is>
          <t>fev-dez: média c/ variação</t>
        </is>
      </c>
    </row>
    <row r="13">
      <c r="A13" s="27" t="n">
        <v>2014</v>
      </c>
      <c r="B13" s="11">
        <f>SUMIFS(Mensal!$F$5:$F$263,Mensal!$B$5:$B$263,A13,Mensal!$L$5:$L$263,"Tenda*")</f>
        <v/>
      </c>
      <c r="C13" s="11">
        <f>SUMIFS(Mensal!$F$5:$F$263,Mensal!$B$5:$B$263,A13,Mensal!$L$5:$L$263,"Pago")</f>
        <v/>
      </c>
      <c r="D13" s="11">
        <f>SUMIFS(Mensal!$G$5:$G$263,Mensal!$B$5:$B$263,A13)</f>
        <v/>
      </c>
      <c r="E13" s="11">
        <f>B13+C13+D13</f>
        <v/>
      </c>
      <c r="F13" s="28">
        <f>IF(E13=0,"",D13/E13)</f>
        <v/>
      </c>
      <c r="G13" s="29" t="inlineStr">
        <is>
          <t>média c/ variação</t>
        </is>
      </c>
    </row>
    <row r="14">
      <c r="A14" s="27" t="n">
        <v>2015</v>
      </c>
      <c r="B14" s="11">
        <f>SUMIFS(Mensal!$F$5:$F$263,Mensal!$B$5:$B$263,A14,Mensal!$L$5:$L$263,"Tenda*")</f>
        <v/>
      </c>
      <c r="C14" s="11">
        <f>SUMIFS(Mensal!$F$5:$F$263,Mensal!$B$5:$B$263,A14,Mensal!$L$5:$L$263,"Pago")</f>
        <v/>
      </c>
      <c r="D14" s="11">
        <f>SUMIFS(Mensal!$G$5:$G$263,Mensal!$B$5:$B$263,A14)</f>
        <v/>
      </c>
      <c r="E14" s="11">
        <f>B14+C14+D14</f>
        <v/>
      </c>
      <c r="F14" s="28">
        <f>IF(E14=0,"",D14/E14)</f>
        <v/>
      </c>
      <c r="G14" s="29" t="inlineStr">
        <is>
          <t>média c/ variação</t>
        </is>
      </c>
    </row>
    <row r="15">
      <c r="A15" s="27" t="n">
        <v>2016</v>
      </c>
      <c r="B15" s="11">
        <f>SUMIFS(Mensal!$F$5:$F$263,Mensal!$B$5:$B$263,A15,Mensal!$L$5:$L$263,"Tenda*")</f>
        <v/>
      </c>
      <c r="C15" s="11">
        <f>SUMIFS(Mensal!$F$5:$F$263,Mensal!$B$5:$B$263,A15,Mensal!$L$5:$L$263,"Pago")</f>
        <v/>
      </c>
      <c r="D15" s="11">
        <f>SUMIFS(Mensal!$G$5:$G$263,Mensal!$B$5:$B$263,A15)</f>
        <v/>
      </c>
      <c r="E15" s="11">
        <f>B15+C15+D15</f>
        <v/>
      </c>
      <c r="F15" s="28">
        <f>IF(E15=0,"",D15/E15)</f>
        <v/>
      </c>
      <c r="G15" s="29" t="inlineStr">
        <is>
          <t>média c/ variação</t>
        </is>
      </c>
    </row>
    <row r="16">
      <c r="A16" s="27" t="n">
        <v>2017</v>
      </c>
      <c r="B16" s="11">
        <f>SUMIFS(Mensal!$F$5:$F$263,Mensal!$B$5:$B$263,A16,Mensal!$L$5:$L$263,"Tenda*")</f>
        <v/>
      </c>
      <c r="C16" s="11">
        <f>SUMIFS(Mensal!$F$5:$F$263,Mensal!$B$5:$B$263,A16,Mensal!$L$5:$L$263,"Pago")</f>
        <v/>
      </c>
      <c r="D16" s="11">
        <f>SUMIFS(Mensal!$G$5:$G$263,Mensal!$B$5:$B$263,A16)</f>
        <v/>
      </c>
      <c r="E16" s="11">
        <f>B16+C16+D16</f>
        <v/>
      </c>
      <c r="F16" s="28">
        <f>IF(E16=0,"",D16/E16)</f>
        <v/>
      </c>
      <c r="G16" s="29" t="inlineStr">
        <is>
          <t>jan-mai: média c/ variação</t>
        </is>
      </c>
    </row>
    <row r="17">
      <c r="A17" s="24" t="n">
        <v>2018</v>
      </c>
      <c r="B17" s="6">
        <f>SUMIFS(Mensal!$F$5:$F$263,Mensal!$B$5:$B$263,A17,Mensal!$L$5:$L$263,"Tenda*")</f>
        <v/>
      </c>
      <c r="C17" s="6">
        <f>SUMIFS(Mensal!$F$5:$F$263,Mensal!$B$5:$B$263,A17,Mensal!$L$5:$L$263,"Pago")</f>
        <v/>
      </c>
      <c r="D17" s="6">
        <f>SUMIFS(Mensal!$G$5:$G$263,Mensal!$B$5:$B$263,A17)</f>
        <v/>
      </c>
      <c r="E17" s="6">
        <f>B17+C17+D17</f>
        <v/>
      </c>
      <c r="F17" s="25">
        <f>IF(E17=0,"",D17/E17)</f>
        <v/>
      </c>
      <c r="G17" s="26" t="inlineStr">
        <is>
          <t>—</t>
        </is>
      </c>
    </row>
    <row r="18">
      <c r="A18" s="24" t="n">
        <v>2019</v>
      </c>
      <c r="B18" s="6">
        <f>SUMIFS(Mensal!$F$5:$F$263,Mensal!$B$5:$B$263,A18,Mensal!$L$5:$L$263,"Tenda*")</f>
        <v/>
      </c>
      <c r="C18" s="6">
        <f>SUMIFS(Mensal!$F$5:$F$263,Mensal!$B$5:$B$263,A18,Mensal!$L$5:$L$263,"Pago")</f>
        <v/>
      </c>
      <c r="D18" s="6">
        <f>SUMIFS(Mensal!$G$5:$G$263,Mensal!$B$5:$B$263,A18)</f>
        <v/>
      </c>
      <c r="E18" s="6">
        <f>B18+C18+D18</f>
        <v/>
      </c>
      <c r="F18" s="25">
        <f>IF(E18=0,"",D18/E18)</f>
        <v/>
      </c>
      <c r="G18" s="26" t="inlineStr">
        <is>
          <t>—</t>
        </is>
      </c>
    </row>
    <row r="19">
      <c r="A19" s="24" t="n">
        <v>2020</v>
      </c>
      <c r="B19" s="6">
        <f>SUMIFS(Mensal!$F$5:$F$263,Mensal!$B$5:$B$263,A19,Mensal!$L$5:$L$263,"Tenda*")</f>
        <v/>
      </c>
      <c r="C19" s="6">
        <f>SUMIFS(Mensal!$F$5:$F$263,Mensal!$B$5:$B$263,A19,Mensal!$L$5:$L$263,"Pago")</f>
        <v/>
      </c>
      <c r="D19" s="6">
        <f>SUMIFS(Mensal!$G$5:$G$263,Mensal!$B$5:$B$263,A19)</f>
        <v/>
      </c>
      <c r="E19" s="6">
        <f>B19+C19+D19</f>
        <v/>
      </c>
      <c r="F19" s="25">
        <f>IF(E19=0,"",D19/E19)</f>
        <v/>
      </c>
      <c r="G19" s="26" t="inlineStr">
        <is>
          <t>—</t>
        </is>
      </c>
    </row>
    <row r="20">
      <c r="A20" s="24" t="n">
        <v>2021</v>
      </c>
      <c r="B20" s="6">
        <f>SUMIFS(Mensal!$F$5:$F$263,Mensal!$B$5:$B$263,A20,Mensal!$L$5:$L$263,"Tenda*")</f>
        <v/>
      </c>
      <c r="C20" s="6">
        <f>SUMIFS(Mensal!$F$5:$F$263,Mensal!$B$5:$B$263,A20,Mensal!$L$5:$L$263,"Pago")</f>
        <v/>
      </c>
      <c r="D20" s="6">
        <f>SUMIFS(Mensal!$G$5:$G$263,Mensal!$B$5:$B$263,A20)</f>
        <v/>
      </c>
      <c r="E20" s="6">
        <f>B20+C20+D20</f>
        <v/>
      </c>
      <c r="F20" s="25">
        <f>IF(E20=0,"",D20/E20)</f>
        <v/>
      </c>
      <c r="G20" s="26" t="inlineStr">
        <is>
          <t>—</t>
        </is>
      </c>
    </row>
    <row r="21">
      <c r="A21" s="24" t="n">
        <v>2022</v>
      </c>
      <c r="B21" s="6">
        <f>SUMIFS(Mensal!$F$5:$F$263,Mensal!$B$5:$B$263,A21,Mensal!$L$5:$L$263,"Tenda*")</f>
        <v/>
      </c>
      <c r="C21" s="6">
        <f>SUMIFS(Mensal!$F$5:$F$263,Mensal!$B$5:$B$263,A21,Mensal!$L$5:$L$263,"Pago")</f>
        <v/>
      </c>
      <c r="D21" s="6">
        <f>SUMIFS(Mensal!$G$5:$G$263,Mensal!$B$5:$B$263,A21)</f>
        <v/>
      </c>
      <c r="E21" s="6">
        <f>B21+C21+D21</f>
        <v/>
      </c>
      <c r="F21" s="25">
        <f>IF(E21=0,"",D21/E21)</f>
        <v/>
      </c>
      <c r="G21" s="26" t="inlineStr">
        <is>
          <t>—</t>
        </is>
      </c>
    </row>
    <row r="22">
      <c r="A22" s="24" t="n">
        <v>2023</v>
      </c>
      <c r="B22" s="6">
        <f>SUMIFS(Mensal!$F$5:$F$263,Mensal!$B$5:$B$263,A22,Mensal!$L$5:$L$263,"Tenda*")</f>
        <v/>
      </c>
      <c r="C22" s="6">
        <f>SUMIFS(Mensal!$F$5:$F$263,Mensal!$B$5:$B$263,A22,Mensal!$L$5:$L$263,"Pago")</f>
        <v/>
      </c>
      <c r="D22" s="6">
        <f>SUMIFS(Mensal!$G$5:$G$263,Mensal!$B$5:$B$263,A22)</f>
        <v/>
      </c>
      <c r="E22" s="6">
        <f>B22+C22+D22</f>
        <v/>
      </c>
      <c r="F22" s="25">
        <f>IF(E22=0,"",D22/E22)</f>
        <v/>
      </c>
      <c r="G22" s="26" t="inlineStr">
        <is>
          <t>—</t>
        </is>
      </c>
    </row>
    <row r="23">
      <c r="A23" s="24" t="n">
        <v>2024</v>
      </c>
      <c r="B23" s="6">
        <f>SUMIFS(Mensal!$F$5:$F$263,Mensal!$B$5:$B$263,A23,Mensal!$L$5:$L$263,"Tenda*")</f>
        <v/>
      </c>
      <c r="C23" s="6">
        <f>SUMIFS(Mensal!$F$5:$F$263,Mensal!$B$5:$B$263,A23,Mensal!$L$5:$L$263,"Pago")</f>
        <v/>
      </c>
      <c r="D23" s="6">
        <f>SUMIFS(Mensal!$G$5:$G$263,Mensal!$B$5:$B$263,A23)</f>
        <v/>
      </c>
      <c r="E23" s="6">
        <f>B23+C23+D23</f>
        <v/>
      </c>
      <c r="F23" s="25">
        <f>IF(E23=0,"",D23/E23)</f>
        <v/>
      </c>
      <c r="G23" s="26" t="inlineStr">
        <is>
          <t>—</t>
        </is>
      </c>
    </row>
    <row r="24">
      <c r="A24" s="24" t="n">
        <v>2025</v>
      </c>
      <c r="B24" s="6">
        <f>SUMIFS(Mensal!$F$5:$F$263,Mensal!$B$5:$B$263,A24,Mensal!$L$5:$L$263,"Tenda*")</f>
        <v/>
      </c>
      <c r="C24" s="6">
        <f>SUMIFS(Mensal!$F$5:$F$263,Mensal!$B$5:$B$263,A24,Mensal!$L$5:$L$263,"Pago")</f>
        <v/>
      </c>
      <c r="D24" s="6">
        <f>SUMIFS(Mensal!$G$5:$G$263,Mensal!$B$5:$B$263,A24)</f>
        <v/>
      </c>
      <c r="E24" s="6">
        <f>B24+C24+D24</f>
        <v/>
      </c>
      <c r="F24" s="25">
        <f>IF(E24=0,"",D24/E24)</f>
        <v/>
      </c>
      <c r="G24" s="26" t="inlineStr">
        <is>
          <t>—</t>
        </is>
      </c>
    </row>
    <row r="25">
      <c r="A25" s="24" t="n">
        <v>2026</v>
      </c>
      <c r="B25" s="6">
        <f>SUMIFS(Mensal!$F$5:$F$263,Mensal!$B$5:$B$263,A25,Mensal!$L$5:$L$263,"Tenda*")</f>
        <v/>
      </c>
      <c r="C25" s="6">
        <f>SUMIFS(Mensal!$F$5:$F$263,Mensal!$B$5:$B$263,A25,Mensal!$L$5:$L$263,"Pago")</f>
        <v/>
      </c>
      <c r="D25" s="6">
        <f>SUMIFS(Mensal!$G$5:$G$263,Mensal!$B$5:$B$263,A25)</f>
        <v/>
      </c>
      <c r="E25" s="6">
        <f>B25+C25+D25</f>
        <v/>
      </c>
      <c r="F25" s="25">
        <f>IF(E25=0,"",D25/E25)</f>
        <v/>
      </c>
      <c r="G25" s="26" t="inlineStr">
        <is>
          <t>—</t>
        </is>
      </c>
    </row>
    <row r="26">
      <c r="A26" s="19" t="inlineStr">
        <is>
          <t>TOTAL</t>
        </is>
      </c>
      <c r="B26" s="20">
        <f>SUM(B4:B25)</f>
        <v/>
      </c>
      <c r="C26" s="20">
        <f>SUM(C4:C25)</f>
        <v/>
      </c>
      <c r="D26" s="20">
        <f>SUM(D4:D25)</f>
        <v/>
      </c>
      <c r="E26" s="20">
        <f>SUM(E4:E25)</f>
        <v/>
      </c>
      <c r="F26" s="30">
        <f>IF(E26=0,"",D26/E26)</f>
        <v/>
      </c>
    </row>
    <row r="28">
      <c r="A28" s="31" t="inlineStr">
        <is>
          <t>Períodos estimados</t>
        </is>
      </c>
    </row>
    <row r="29" ht="32" customHeight="1">
      <c r="A29" s="3" t="inlineStr">
        <is>
          <t>Período (competência)</t>
        </is>
      </c>
      <c r="B29" s="3" t="inlineStr">
        <is>
          <t>Meses</t>
        </is>
      </c>
      <c r="C29" s="3" t="inlineStr">
        <is>
          <t>Método</t>
        </is>
      </c>
      <c r="D29" s="3" t="inlineStr">
        <is>
          <t>Valor estimado</t>
        </is>
      </c>
    </row>
    <row r="30">
      <c r="A30" s="5" t="inlineStr">
        <is>
          <t>jan-dez/2007</t>
        </is>
      </c>
      <c r="B30" s="5" t="n">
        <v>12</v>
      </c>
      <c r="C30" s="5" t="inlineStr">
        <is>
          <t>Mesmo mês de 2008 real ÷ (1+IPCA 2008)</t>
        </is>
      </c>
      <c r="D30" s="6">
        <f>SUMIFS(Mensal!$G$5:$G$263,Mensal!$A$5:$A$263,"&gt;="&amp;DATE(2007,1,1),Mensal!$A$5:$A$263,"&lt;="&amp;DATE(2007,12,1))</f>
        <v/>
      </c>
    </row>
    <row r="31">
      <c r="A31" s="5" t="inlineStr">
        <is>
          <t>out/2010-dez/2011</t>
        </is>
      </c>
      <c r="B31" s="5" t="n">
        <v>15</v>
      </c>
      <c r="C31" s="5" t="inlineStr">
        <is>
          <t>Média do Tenda real antes/depois, variação aleatória ±15%</t>
        </is>
      </c>
      <c r="D31" s="6">
        <f>SUMIFS(Mensal!$G$5:$G$263,Mensal!$A$5:$A$263,"&gt;="&amp;DATE(2010,10,1),Mensal!$A$5:$A$263,"&lt;="&amp;DATE(2011,12,1))</f>
        <v/>
      </c>
    </row>
    <row r="32">
      <c r="A32" s="5" t="inlineStr">
        <is>
          <t>fev/2013-mai/2017</t>
        </is>
      </c>
      <c r="B32" s="5" t="n">
        <v>52</v>
      </c>
      <c r="C32" s="5" t="inlineStr">
        <is>
          <t>Média do Tenda 2012 até pagamentos 2017/2018, variação aleatória ±15%</t>
        </is>
      </c>
      <c r="D32" s="6">
        <f>SUMIFS(Mensal!$G$5:$G$263,Mensal!$A$5:$A$263,"&gt;="&amp;DATE(2013,2,1),Mensal!$A$5:$A$263,"&lt;="&amp;DATE(2017,5,1))</f>
        <v/>
      </c>
    </row>
    <row r="33">
      <c r="A33" s="19" t="inlineStr">
        <is>
          <t>TOTAL</t>
        </is>
      </c>
      <c r="B33" s="19">
        <f>SUM(B30:B32)</f>
        <v/>
      </c>
      <c r="D33" s="32">
        <f>SUM(D30:D32)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Comissão total (real + estimado) por ano e mês (R$)</t>
        </is>
      </c>
    </row>
    <row r="3" ht="32" customHeight="1">
      <c r="A3" s="3" t="inlineStr">
        <is>
          <t>Ano</t>
        </is>
      </c>
      <c r="B3" s="3" t="inlineStr">
        <is>
          <t>Jan</t>
        </is>
      </c>
      <c r="C3" s="3" t="inlineStr">
        <is>
          <t>Fev</t>
        </is>
      </c>
      <c r="D3" s="3" t="inlineStr">
        <is>
          <t>Mar</t>
        </is>
      </c>
      <c r="E3" s="3" t="inlineStr">
        <is>
          <t>Abr</t>
        </is>
      </c>
      <c r="F3" s="3" t="inlineStr">
        <is>
          <t>Mai</t>
        </is>
      </c>
      <c r="G3" s="3" t="inlineStr">
        <is>
          <t>Jun</t>
        </is>
      </c>
      <c r="H3" s="3" t="inlineStr">
        <is>
          <t>Jul</t>
        </is>
      </c>
      <c r="I3" s="3" t="inlineStr">
        <is>
          <t>Ago</t>
        </is>
      </c>
      <c r="J3" s="3" t="inlineStr">
        <is>
          <t>Set</t>
        </is>
      </c>
      <c r="K3" s="3" t="inlineStr">
        <is>
          <t>Out</t>
        </is>
      </c>
      <c r="L3" s="3" t="inlineStr">
        <is>
          <t>Nov</t>
        </is>
      </c>
      <c r="M3" s="3" t="inlineStr">
        <is>
          <t>Dez</t>
        </is>
      </c>
      <c r="N3" s="3" t="inlineStr">
        <is>
          <t>Total</t>
        </is>
      </c>
    </row>
    <row r="4">
      <c r="A4" s="19" t="n">
        <v>2005</v>
      </c>
      <c r="B4" s="6">
        <f>SUMIFS(Mensal!$H$5:$H$263,Mensal!$B$5:$B$263,$A4,Mensal!$C$5:$C$263,1)</f>
        <v/>
      </c>
      <c r="C4" s="6">
        <f>SUMIFS(Mensal!$H$5:$H$263,Mensal!$B$5:$B$263,$A4,Mensal!$C$5:$C$263,2)</f>
        <v/>
      </c>
      <c r="D4" s="6">
        <f>SUMIFS(Mensal!$H$5:$H$263,Mensal!$B$5:$B$263,$A4,Mensal!$C$5:$C$263,3)</f>
        <v/>
      </c>
      <c r="E4" s="6">
        <f>SUMIFS(Mensal!$H$5:$H$263,Mensal!$B$5:$B$263,$A4,Mensal!$C$5:$C$263,4)</f>
        <v/>
      </c>
      <c r="F4" s="6">
        <f>SUMIFS(Mensal!$H$5:$H$263,Mensal!$B$5:$B$263,$A4,Mensal!$C$5:$C$263,5)</f>
        <v/>
      </c>
      <c r="G4" s="6">
        <f>SUMIFS(Mensal!$H$5:$H$263,Mensal!$B$5:$B$263,$A4,Mensal!$C$5:$C$263,6)</f>
        <v/>
      </c>
      <c r="H4" s="6">
        <f>SUMIFS(Mensal!$H$5:$H$263,Mensal!$B$5:$B$263,$A4,Mensal!$C$5:$C$263,7)</f>
        <v/>
      </c>
      <c r="I4" s="6">
        <f>SUMIFS(Mensal!$H$5:$H$263,Mensal!$B$5:$B$263,$A4,Mensal!$C$5:$C$263,8)</f>
        <v/>
      </c>
      <c r="J4" s="6">
        <f>SUMIFS(Mensal!$H$5:$H$263,Mensal!$B$5:$B$263,$A4,Mensal!$C$5:$C$263,9)</f>
        <v/>
      </c>
      <c r="K4" s="6">
        <f>SUMIFS(Mensal!$H$5:$H$263,Mensal!$B$5:$B$263,$A4,Mensal!$C$5:$C$263,10)</f>
        <v/>
      </c>
      <c r="L4" s="6">
        <f>SUMIFS(Mensal!$H$5:$H$263,Mensal!$B$5:$B$263,$A4,Mensal!$C$5:$C$263,11)</f>
        <v/>
      </c>
      <c r="M4" s="6">
        <f>SUMIFS(Mensal!$H$5:$H$263,Mensal!$B$5:$B$263,$A4,Mensal!$C$5:$C$263,12)</f>
        <v/>
      </c>
      <c r="N4" s="20">
        <f>SUM(B4:M4)</f>
        <v/>
      </c>
    </row>
    <row r="5">
      <c r="A5" s="19" t="n">
        <v>2006</v>
      </c>
      <c r="B5" s="6">
        <f>SUMIFS(Mensal!$H$5:$H$263,Mensal!$B$5:$B$263,$A5,Mensal!$C$5:$C$263,1)</f>
        <v/>
      </c>
      <c r="C5" s="6">
        <f>SUMIFS(Mensal!$H$5:$H$263,Mensal!$B$5:$B$263,$A5,Mensal!$C$5:$C$263,2)</f>
        <v/>
      </c>
      <c r="D5" s="6">
        <f>SUMIFS(Mensal!$H$5:$H$263,Mensal!$B$5:$B$263,$A5,Mensal!$C$5:$C$263,3)</f>
        <v/>
      </c>
      <c r="E5" s="6">
        <f>SUMIFS(Mensal!$H$5:$H$263,Mensal!$B$5:$B$263,$A5,Mensal!$C$5:$C$263,4)</f>
        <v/>
      </c>
      <c r="F5" s="6">
        <f>SUMIFS(Mensal!$H$5:$H$263,Mensal!$B$5:$B$263,$A5,Mensal!$C$5:$C$263,5)</f>
        <v/>
      </c>
      <c r="G5" s="6">
        <f>SUMIFS(Mensal!$H$5:$H$263,Mensal!$B$5:$B$263,$A5,Mensal!$C$5:$C$263,6)</f>
        <v/>
      </c>
      <c r="H5" s="6">
        <f>SUMIFS(Mensal!$H$5:$H$263,Mensal!$B$5:$B$263,$A5,Mensal!$C$5:$C$263,7)</f>
        <v/>
      </c>
      <c r="I5" s="6">
        <f>SUMIFS(Mensal!$H$5:$H$263,Mensal!$B$5:$B$263,$A5,Mensal!$C$5:$C$263,8)</f>
        <v/>
      </c>
      <c r="J5" s="6">
        <f>SUMIFS(Mensal!$H$5:$H$263,Mensal!$B$5:$B$263,$A5,Mensal!$C$5:$C$263,9)</f>
        <v/>
      </c>
      <c r="K5" s="6">
        <f>SUMIFS(Mensal!$H$5:$H$263,Mensal!$B$5:$B$263,$A5,Mensal!$C$5:$C$263,10)</f>
        <v/>
      </c>
      <c r="L5" s="6">
        <f>SUMIFS(Mensal!$H$5:$H$263,Mensal!$B$5:$B$263,$A5,Mensal!$C$5:$C$263,11)</f>
        <v/>
      </c>
      <c r="M5" s="6">
        <f>SUMIFS(Mensal!$H$5:$H$263,Mensal!$B$5:$B$263,$A5,Mensal!$C$5:$C$263,12)</f>
        <v/>
      </c>
      <c r="N5" s="20">
        <f>SUM(B5:M5)</f>
        <v/>
      </c>
    </row>
    <row r="6">
      <c r="A6" s="19" t="n">
        <v>2007</v>
      </c>
      <c r="B6" s="6">
        <f>SUMIFS(Mensal!$H$5:$H$263,Mensal!$B$5:$B$263,$A6,Mensal!$C$5:$C$263,1)</f>
        <v/>
      </c>
      <c r="C6" s="6">
        <f>SUMIFS(Mensal!$H$5:$H$263,Mensal!$B$5:$B$263,$A6,Mensal!$C$5:$C$263,2)</f>
        <v/>
      </c>
      <c r="D6" s="6">
        <f>SUMIFS(Mensal!$H$5:$H$263,Mensal!$B$5:$B$263,$A6,Mensal!$C$5:$C$263,3)</f>
        <v/>
      </c>
      <c r="E6" s="6">
        <f>SUMIFS(Mensal!$H$5:$H$263,Mensal!$B$5:$B$263,$A6,Mensal!$C$5:$C$263,4)</f>
        <v/>
      </c>
      <c r="F6" s="6">
        <f>SUMIFS(Mensal!$H$5:$H$263,Mensal!$B$5:$B$263,$A6,Mensal!$C$5:$C$263,5)</f>
        <v/>
      </c>
      <c r="G6" s="6">
        <f>SUMIFS(Mensal!$H$5:$H$263,Mensal!$B$5:$B$263,$A6,Mensal!$C$5:$C$263,6)</f>
        <v/>
      </c>
      <c r="H6" s="6">
        <f>SUMIFS(Mensal!$H$5:$H$263,Mensal!$B$5:$B$263,$A6,Mensal!$C$5:$C$263,7)</f>
        <v/>
      </c>
      <c r="I6" s="6">
        <f>SUMIFS(Mensal!$H$5:$H$263,Mensal!$B$5:$B$263,$A6,Mensal!$C$5:$C$263,8)</f>
        <v/>
      </c>
      <c r="J6" s="6">
        <f>SUMIFS(Mensal!$H$5:$H$263,Mensal!$B$5:$B$263,$A6,Mensal!$C$5:$C$263,9)</f>
        <v/>
      </c>
      <c r="K6" s="6">
        <f>SUMIFS(Mensal!$H$5:$H$263,Mensal!$B$5:$B$263,$A6,Mensal!$C$5:$C$263,10)</f>
        <v/>
      </c>
      <c r="L6" s="6">
        <f>SUMIFS(Mensal!$H$5:$H$263,Mensal!$B$5:$B$263,$A6,Mensal!$C$5:$C$263,11)</f>
        <v/>
      </c>
      <c r="M6" s="6">
        <f>SUMIFS(Mensal!$H$5:$H$263,Mensal!$B$5:$B$263,$A6,Mensal!$C$5:$C$263,12)</f>
        <v/>
      </c>
      <c r="N6" s="20">
        <f>SUM(B6:M6)</f>
        <v/>
      </c>
    </row>
    <row r="7">
      <c r="A7" s="19" t="n">
        <v>2008</v>
      </c>
      <c r="B7" s="6">
        <f>SUMIFS(Mensal!$H$5:$H$263,Mensal!$B$5:$B$263,$A7,Mensal!$C$5:$C$263,1)</f>
        <v/>
      </c>
      <c r="C7" s="6">
        <f>SUMIFS(Mensal!$H$5:$H$263,Mensal!$B$5:$B$263,$A7,Mensal!$C$5:$C$263,2)</f>
        <v/>
      </c>
      <c r="D7" s="6">
        <f>SUMIFS(Mensal!$H$5:$H$263,Mensal!$B$5:$B$263,$A7,Mensal!$C$5:$C$263,3)</f>
        <v/>
      </c>
      <c r="E7" s="6">
        <f>SUMIFS(Mensal!$H$5:$H$263,Mensal!$B$5:$B$263,$A7,Mensal!$C$5:$C$263,4)</f>
        <v/>
      </c>
      <c r="F7" s="6">
        <f>SUMIFS(Mensal!$H$5:$H$263,Mensal!$B$5:$B$263,$A7,Mensal!$C$5:$C$263,5)</f>
        <v/>
      </c>
      <c r="G7" s="6">
        <f>SUMIFS(Mensal!$H$5:$H$263,Mensal!$B$5:$B$263,$A7,Mensal!$C$5:$C$263,6)</f>
        <v/>
      </c>
      <c r="H7" s="6">
        <f>SUMIFS(Mensal!$H$5:$H$263,Mensal!$B$5:$B$263,$A7,Mensal!$C$5:$C$263,7)</f>
        <v/>
      </c>
      <c r="I7" s="6">
        <f>SUMIFS(Mensal!$H$5:$H$263,Mensal!$B$5:$B$263,$A7,Mensal!$C$5:$C$263,8)</f>
        <v/>
      </c>
      <c r="J7" s="6">
        <f>SUMIFS(Mensal!$H$5:$H$263,Mensal!$B$5:$B$263,$A7,Mensal!$C$5:$C$263,9)</f>
        <v/>
      </c>
      <c r="K7" s="6">
        <f>SUMIFS(Mensal!$H$5:$H$263,Mensal!$B$5:$B$263,$A7,Mensal!$C$5:$C$263,10)</f>
        <v/>
      </c>
      <c r="L7" s="6">
        <f>SUMIFS(Mensal!$H$5:$H$263,Mensal!$B$5:$B$263,$A7,Mensal!$C$5:$C$263,11)</f>
        <v/>
      </c>
      <c r="M7" s="6">
        <f>SUMIFS(Mensal!$H$5:$H$263,Mensal!$B$5:$B$263,$A7,Mensal!$C$5:$C$263,12)</f>
        <v/>
      </c>
      <c r="N7" s="20">
        <f>SUM(B7:M7)</f>
        <v/>
      </c>
    </row>
    <row r="8">
      <c r="A8" s="19" t="n">
        <v>2009</v>
      </c>
      <c r="B8" s="6">
        <f>SUMIFS(Mensal!$H$5:$H$263,Mensal!$B$5:$B$263,$A8,Mensal!$C$5:$C$263,1)</f>
        <v/>
      </c>
      <c r="C8" s="6">
        <f>SUMIFS(Mensal!$H$5:$H$263,Mensal!$B$5:$B$263,$A8,Mensal!$C$5:$C$263,2)</f>
        <v/>
      </c>
      <c r="D8" s="6">
        <f>SUMIFS(Mensal!$H$5:$H$263,Mensal!$B$5:$B$263,$A8,Mensal!$C$5:$C$263,3)</f>
        <v/>
      </c>
      <c r="E8" s="6">
        <f>SUMIFS(Mensal!$H$5:$H$263,Mensal!$B$5:$B$263,$A8,Mensal!$C$5:$C$263,4)</f>
        <v/>
      </c>
      <c r="F8" s="6">
        <f>SUMIFS(Mensal!$H$5:$H$263,Mensal!$B$5:$B$263,$A8,Mensal!$C$5:$C$263,5)</f>
        <v/>
      </c>
      <c r="G8" s="6">
        <f>SUMIFS(Mensal!$H$5:$H$263,Mensal!$B$5:$B$263,$A8,Mensal!$C$5:$C$263,6)</f>
        <v/>
      </c>
      <c r="H8" s="6">
        <f>SUMIFS(Mensal!$H$5:$H$263,Mensal!$B$5:$B$263,$A8,Mensal!$C$5:$C$263,7)</f>
        <v/>
      </c>
      <c r="I8" s="6">
        <f>SUMIFS(Mensal!$H$5:$H$263,Mensal!$B$5:$B$263,$A8,Mensal!$C$5:$C$263,8)</f>
        <v/>
      </c>
      <c r="J8" s="6">
        <f>SUMIFS(Mensal!$H$5:$H$263,Mensal!$B$5:$B$263,$A8,Mensal!$C$5:$C$263,9)</f>
        <v/>
      </c>
      <c r="K8" s="6">
        <f>SUMIFS(Mensal!$H$5:$H$263,Mensal!$B$5:$B$263,$A8,Mensal!$C$5:$C$263,10)</f>
        <v/>
      </c>
      <c r="L8" s="6">
        <f>SUMIFS(Mensal!$H$5:$H$263,Mensal!$B$5:$B$263,$A8,Mensal!$C$5:$C$263,11)</f>
        <v/>
      </c>
      <c r="M8" s="6">
        <f>SUMIFS(Mensal!$H$5:$H$263,Mensal!$B$5:$B$263,$A8,Mensal!$C$5:$C$263,12)</f>
        <v/>
      </c>
      <c r="N8" s="20">
        <f>SUM(B8:M8)</f>
        <v/>
      </c>
    </row>
    <row r="9">
      <c r="A9" s="19" t="n">
        <v>2010</v>
      </c>
      <c r="B9" s="6">
        <f>SUMIFS(Mensal!$H$5:$H$263,Mensal!$B$5:$B$263,$A9,Mensal!$C$5:$C$263,1)</f>
        <v/>
      </c>
      <c r="C9" s="6">
        <f>SUMIFS(Mensal!$H$5:$H$263,Mensal!$B$5:$B$263,$A9,Mensal!$C$5:$C$263,2)</f>
        <v/>
      </c>
      <c r="D9" s="6">
        <f>SUMIFS(Mensal!$H$5:$H$263,Mensal!$B$5:$B$263,$A9,Mensal!$C$5:$C$263,3)</f>
        <v/>
      </c>
      <c r="E9" s="6">
        <f>SUMIFS(Mensal!$H$5:$H$263,Mensal!$B$5:$B$263,$A9,Mensal!$C$5:$C$263,4)</f>
        <v/>
      </c>
      <c r="F9" s="6">
        <f>SUMIFS(Mensal!$H$5:$H$263,Mensal!$B$5:$B$263,$A9,Mensal!$C$5:$C$263,5)</f>
        <v/>
      </c>
      <c r="G9" s="6">
        <f>SUMIFS(Mensal!$H$5:$H$263,Mensal!$B$5:$B$263,$A9,Mensal!$C$5:$C$263,6)</f>
        <v/>
      </c>
      <c r="H9" s="6">
        <f>SUMIFS(Mensal!$H$5:$H$263,Mensal!$B$5:$B$263,$A9,Mensal!$C$5:$C$263,7)</f>
        <v/>
      </c>
      <c r="I9" s="6">
        <f>SUMIFS(Mensal!$H$5:$H$263,Mensal!$B$5:$B$263,$A9,Mensal!$C$5:$C$263,8)</f>
        <v/>
      </c>
      <c r="J9" s="6">
        <f>SUMIFS(Mensal!$H$5:$H$263,Mensal!$B$5:$B$263,$A9,Mensal!$C$5:$C$263,9)</f>
        <v/>
      </c>
      <c r="K9" s="6">
        <f>SUMIFS(Mensal!$H$5:$H$263,Mensal!$B$5:$B$263,$A9,Mensal!$C$5:$C$263,10)</f>
        <v/>
      </c>
      <c r="L9" s="6">
        <f>SUMIFS(Mensal!$H$5:$H$263,Mensal!$B$5:$B$263,$A9,Mensal!$C$5:$C$263,11)</f>
        <v/>
      </c>
      <c r="M9" s="6">
        <f>SUMIFS(Mensal!$H$5:$H$263,Mensal!$B$5:$B$263,$A9,Mensal!$C$5:$C$263,12)</f>
        <v/>
      </c>
      <c r="N9" s="20">
        <f>SUM(B9:M9)</f>
        <v/>
      </c>
    </row>
    <row r="10">
      <c r="A10" s="19" t="n">
        <v>2011</v>
      </c>
      <c r="B10" s="6">
        <f>SUMIFS(Mensal!$H$5:$H$263,Mensal!$B$5:$B$263,$A10,Mensal!$C$5:$C$263,1)</f>
        <v/>
      </c>
      <c r="C10" s="6">
        <f>SUMIFS(Mensal!$H$5:$H$263,Mensal!$B$5:$B$263,$A10,Mensal!$C$5:$C$263,2)</f>
        <v/>
      </c>
      <c r="D10" s="6">
        <f>SUMIFS(Mensal!$H$5:$H$263,Mensal!$B$5:$B$263,$A10,Mensal!$C$5:$C$263,3)</f>
        <v/>
      </c>
      <c r="E10" s="6">
        <f>SUMIFS(Mensal!$H$5:$H$263,Mensal!$B$5:$B$263,$A10,Mensal!$C$5:$C$263,4)</f>
        <v/>
      </c>
      <c r="F10" s="6">
        <f>SUMIFS(Mensal!$H$5:$H$263,Mensal!$B$5:$B$263,$A10,Mensal!$C$5:$C$263,5)</f>
        <v/>
      </c>
      <c r="G10" s="6">
        <f>SUMIFS(Mensal!$H$5:$H$263,Mensal!$B$5:$B$263,$A10,Mensal!$C$5:$C$263,6)</f>
        <v/>
      </c>
      <c r="H10" s="6">
        <f>SUMIFS(Mensal!$H$5:$H$263,Mensal!$B$5:$B$263,$A10,Mensal!$C$5:$C$263,7)</f>
        <v/>
      </c>
      <c r="I10" s="6">
        <f>SUMIFS(Mensal!$H$5:$H$263,Mensal!$B$5:$B$263,$A10,Mensal!$C$5:$C$263,8)</f>
        <v/>
      </c>
      <c r="J10" s="6">
        <f>SUMIFS(Mensal!$H$5:$H$263,Mensal!$B$5:$B$263,$A10,Mensal!$C$5:$C$263,9)</f>
        <v/>
      </c>
      <c r="K10" s="6">
        <f>SUMIFS(Mensal!$H$5:$H$263,Mensal!$B$5:$B$263,$A10,Mensal!$C$5:$C$263,10)</f>
        <v/>
      </c>
      <c r="L10" s="6">
        <f>SUMIFS(Mensal!$H$5:$H$263,Mensal!$B$5:$B$263,$A10,Mensal!$C$5:$C$263,11)</f>
        <v/>
      </c>
      <c r="M10" s="6">
        <f>SUMIFS(Mensal!$H$5:$H$263,Mensal!$B$5:$B$263,$A10,Mensal!$C$5:$C$263,12)</f>
        <v/>
      </c>
      <c r="N10" s="20">
        <f>SUM(B10:M10)</f>
        <v/>
      </c>
    </row>
    <row r="11">
      <c r="A11" s="19" t="n">
        <v>2012</v>
      </c>
      <c r="B11" s="6">
        <f>SUMIFS(Mensal!$H$5:$H$263,Mensal!$B$5:$B$263,$A11,Mensal!$C$5:$C$263,1)</f>
        <v/>
      </c>
      <c r="C11" s="6">
        <f>SUMIFS(Mensal!$H$5:$H$263,Mensal!$B$5:$B$263,$A11,Mensal!$C$5:$C$263,2)</f>
        <v/>
      </c>
      <c r="D11" s="6">
        <f>SUMIFS(Mensal!$H$5:$H$263,Mensal!$B$5:$B$263,$A11,Mensal!$C$5:$C$263,3)</f>
        <v/>
      </c>
      <c r="E11" s="6">
        <f>SUMIFS(Mensal!$H$5:$H$263,Mensal!$B$5:$B$263,$A11,Mensal!$C$5:$C$263,4)</f>
        <v/>
      </c>
      <c r="F11" s="6">
        <f>SUMIFS(Mensal!$H$5:$H$263,Mensal!$B$5:$B$263,$A11,Mensal!$C$5:$C$263,5)</f>
        <v/>
      </c>
      <c r="G11" s="6">
        <f>SUMIFS(Mensal!$H$5:$H$263,Mensal!$B$5:$B$263,$A11,Mensal!$C$5:$C$263,6)</f>
        <v/>
      </c>
      <c r="H11" s="6">
        <f>SUMIFS(Mensal!$H$5:$H$263,Mensal!$B$5:$B$263,$A11,Mensal!$C$5:$C$263,7)</f>
        <v/>
      </c>
      <c r="I11" s="6">
        <f>SUMIFS(Mensal!$H$5:$H$263,Mensal!$B$5:$B$263,$A11,Mensal!$C$5:$C$263,8)</f>
        <v/>
      </c>
      <c r="J11" s="6">
        <f>SUMIFS(Mensal!$H$5:$H$263,Mensal!$B$5:$B$263,$A11,Mensal!$C$5:$C$263,9)</f>
        <v/>
      </c>
      <c r="K11" s="6">
        <f>SUMIFS(Mensal!$H$5:$H$263,Mensal!$B$5:$B$263,$A11,Mensal!$C$5:$C$263,10)</f>
        <v/>
      </c>
      <c r="L11" s="6">
        <f>SUMIFS(Mensal!$H$5:$H$263,Mensal!$B$5:$B$263,$A11,Mensal!$C$5:$C$263,11)</f>
        <v/>
      </c>
      <c r="M11" s="6">
        <f>SUMIFS(Mensal!$H$5:$H$263,Mensal!$B$5:$B$263,$A11,Mensal!$C$5:$C$263,12)</f>
        <v/>
      </c>
      <c r="N11" s="20">
        <f>SUM(B11:M11)</f>
        <v/>
      </c>
    </row>
    <row r="12">
      <c r="A12" s="19" t="n">
        <v>2013</v>
      </c>
      <c r="B12" s="6">
        <f>SUMIFS(Mensal!$H$5:$H$263,Mensal!$B$5:$B$263,$A12,Mensal!$C$5:$C$263,1)</f>
        <v/>
      </c>
      <c r="C12" s="6">
        <f>SUMIFS(Mensal!$H$5:$H$263,Mensal!$B$5:$B$263,$A12,Mensal!$C$5:$C$263,2)</f>
        <v/>
      </c>
      <c r="D12" s="6">
        <f>SUMIFS(Mensal!$H$5:$H$263,Mensal!$B$5:$B$263,$A12,Mensal!$C$5:$C$263,3)</f>
        <v/>
      </c>
      <c r="E12" s="6">
        <f>SUMIFS(Mensal!$H$5:$H$263,Mensal!$B$5:$B$263,$A12,Mensal!$C$5:$C$263,4)</f>
        <v/>
      </c>
      <c r="F12" s="6">
        <f>SUMIFS(Mensal!$H$5:$H$263,Mensal!$B$5:$B$263,$A12,Mensal!$C$5:$C$263,5)</f>
        <v/>
      </c>
      <c r="G12" s="6">
        <f>SUMIFS(Mensal!$H$5:$H$263,Mensal!$B$5:$B$263,$A12,Mensal!$C$5:$C$263,6)</f>
        <v/>
      </c>
      <c r="H12" s="6">
        <f>SUMIFS(Mensal!$H$5:$H$263,Mensal!$B$5:$B$263,$A12,Mensal!$C$5:$C$263,7)</f>
        <v/>
      </c>
      <c r="I12" s="6">
        <f>SUMIFS(Mensal!$H$5:$H$263,Mensal!$B$5:$B$263,$A12,Mensal!$C$5:$C$263,8)</f>
        <v/>
      </c>
      <c r="J12" s="6">
        <f>SUMIFS(Mensal!$H$5:$H$263,Mensal!$B$5:$B$263,$A12,Mensal!$C$5:$C$263,9)</f>
        <v/>
      </c>
      <c r="K12" s="6">
        <f>SUMIFS(Mensal!$H$5:$H$263,Mensal!$B$5:$B$263,$A12,Mensal!$C$5:$C$263,10)</f>
        <v/>
      </c>
      <c r="L12" s="6">
        <f>SUMIFS(Mensal!$H$5:$H$263,Mensal!$B$5:$B$263,$A12,Mensal!$C$5:$C$263,11)</f>
        <v/>
      </c>
      <c r="M12" s="6">
        <f>SUMIFS(Mensal!$H$5:$H$263,Mensal!$B$5:$B$263,$A12,Mensal!$C$5:$C$263,12)</f>
        <v/>
      </c>
      <c r="N12" s="20">
        <f>SUM(B12:M12)</f>
        <v/>
      </c>
    </row>
    <row r="13">
      <c r="A13" s="19" t="n">
        <v>2014</v>
      </c>
      <c r="B13" s="6">
        <f>SUMIFS(Mensal!$H$5:$H$263,Mensal!$B$5:$B$263,$A13,Mensal!$C$5:$C$263,1)</f>
        <v/>
      </c>
      <c r="C13" s="6">
        <f>SUMIFS(Mensal!$H$5:$H$263,Mensal!$B$5:$B$263,$A13,Mensal!$C$5:$C$263,2)</f>
        <v/>
      </c>
      <c r="D13" s="6">
        <f>SUMIFS(Mensal!$H$5:$H$263,Mensal!$B$5:$B$263,$A13,Mensal!$C$5:$C$263,3)</f>
        <v/>
      </c>
      <c r="E13" s="6">
        <f>SUMIFS(Mensal!$H$5:$H$263,Mensal!$B$5:$B$263,$A13,Mensal!$C$5:$C$263,4)</f>
        <v/>
      </c>
      <c r="F13" s="6">
        <f>SUMIFS(Mensal!$H$5:$H$263,Mensal!$B$5:$B$263,$A13,Mensal!$C$5:$C$263,5)</f>
        <v/>
      </c>
      <c r="G13" s="6">
        <f>SUMIFS(Mensal!$H$5:$H$263,Mensal!$B$5:$B$263,$A13,Mensal!$C$5:$C$263,6)</f>
        <v/>
      </c>
      <c r="H13" s="6">
        <f>SUMIFS(Mensal!$H$5:$H$263,Mensal!$B$5:$B$263,$A13,Mensal!$C$5:$C$263,7)</f>
        <v/>
      </c>
      <c r="I13" s="6">
        <f>SUMIFS(Mensal!$H$5:$H$263,Mensal!$B$5:$B$263,$A13,Mensal!$C$5:$C$263,8)</f>
        <v/>
      </c>
      <c r="J13" s="6">
        <f>SUMIFS(Mensal!$H$5:$H$263,Mensal!$B$5:$B$263,$A13,Mensal!$C$5:$C$263,9)</f>
        <v/>
      </c>
      <c r="K13" s="6">
        <f>SUMIFS(Mensal!$H$5:$H$263,Mensal!$B$5:$B$263,$A13,Mensal!$C$5:$C$263,10)</f>
        <v/>
      </c>
      <c r="L13" s="6">
        <f>SUMIFS(Mensal!$H$5:$H$263,Mensal!$B$5:$B$263,$A13,Mensal!$C$5:$C$263,11)</f>
        <v/>
      </c>
      <c r="M13" s="6">
        <f>SUMIFS(Mensal!$H$5:$H$263,Mensal!$B$5:$B$263,$A13,Mensal!$C$5:$C$263,12)</f>
        <v/>
      </c>
      <c r="N13" s="20">
        <f>SUM(B13:M13)</f>
        <v/>
      </c>
    </row>
    <row r="14">
      <c r="A14" s="19" t="n">
        <v>2015</v>
      </c>
      <c r="B14" s="6">
        <f>SUMIFS(Mensal!$H$5:$H$263,Mensal!$B$5:$B$263,$A14,Mensal!$C$5:$C$263,1)</f>
        <v/>
      </c>
      <c r="C14" s="6">
        <f>SUMIFS(Mensal!$H$5:$H$263,Mensal!$B$5:$B$263,$A14,Mensal!$C$5:$C$263,2)</f>
        <v/>
      </c>
      <c r="D14" s="6">
        <f>SUMIFS(Mensal!$H$5:$H$263,Mensal!$B$5:$B$263,$A14,Mensal!$C$5:$C$263,3)</f>
        <v/>
      </c>
      <c r="E14" s="6">
        <f>SUMIFS(Mensal!$H$5:$H$263,Mensal!$B$5:$B$263,$A14,Mensal!$C$5:$C$263,4)</f>
        <v/>
      </c>
      <c r="F14" s="6">
        <f>SUMIFS(Mensal!$H$5:$H$263,Mensal!$B$5:$B$263,$A14,Mensal!$C$5:$C$263,5)</f>
        <v/>
      </c>
      <c r="G14" s="6">
        <f>SUMIFS(Mensal!$H$5:$H$263,Mensal!$B$5:$B$263,$A14,Mensal!$C$5:$C$263,6)</f>
        <v/>
      </c>
      <c r="H14" s="6">
        <f>SUMIFS(Mensal!$H$5:$H$263,Mensal!$B$5:$B$263,$A14,Mensal!$C$5:$C$263,7)</f>
        <v/>
      </c>
      <c r="I14" s="6">
        <f>SUMIFS(Mensal!$H$5:$H$263,Mensal!$B$5:$B$263,$A14,Mensal!$C$5:$C$263,8)</f>
        <v/>
      </c>
      <c r="J14" s="6">
        <f>SUMIFS(Mensal!$H$5:$H$263,Mensal!$B$5:$B$263,$A14,Mensal!$C$5:$C$263,9)</f>
        <v/>
      </c>
      <c r="K14" s="6">
        <f>SUMIFS(Mensal!$H$5:$H$263,Mensal!$B$5:$B$263,$A14,Mensal!$C$5:$C$263,10)</f>
        <v/>
      </c>
      <c r="L14" s="6">
        <f>SUMIFS(Mensal!$H$5:$H$263,Mensal!$B$5:$B$263,$A14,Mensal!$C$5:$C$263,11)</f>
        <v/>
      </c>
      <c r="M14" s="6">
        <f>SUMIFS(Mensal!$H$5:$H$263,Mensal!$B$5:$B$263,$A14,Mensal!$C$5:$C$263,12)</f>
        <v/>
      </c>
      <c r="N14" s="20">
        <f>SUM(B14:M14)</f>
        <v/>
      </c>
    </row>
    <row r="15">
      <c r="A15" s="19" t="n">
        <v>2016</v>
      </c>
      <c r="B15" s="6">
        <f>SUMIFS(Mensal!$H$5:$H$263,Mensal!$B$5:$B$263,$A15,Mensal!$C$5:$C$263,1)</f>
        <v/>
      </c>
      <c r="C15" s="6">
        <f>SUMIFS(Mensal!$H$5:$H$263,Mensal!$B$5:$B$263,$A15,Mensal!$C$5:$C$263,2)</f>
        <v/>
      </c>
      <c r="D15" s="6">
        <f>SUMIFS(Mensal!$H$5:$H$263,Mensal!$B$5:$B$263,$A15,Mensal!$C$5:$C$263,3)</f>
        <v/>
      </c>
      <c r="E15" s="6">
        <f>SUMIFS(Mensal!$H$5:$H$263,Mensal!$B$5:$B$263,$A15,Mensal!$C$5:$C$263,4)</f>
        <v/>
      </c>
      <c r="F15" s="6">
        <f>SUMIFS(Mensal!$H$5:$H$263,Mensal!$B$5:$B$263,$A15,Mensal!$C$5:$C$263,5)</f>
        <v/>
      </c>
      <c r="G15" s="6">
        <f>SUMIFS(Mensal!$H$5:$H$263,Mensal!$B$5:$B$263,$A15,Mensal!$C$5:$C$263,6)</f>
        <v/>
      </c>
      <c r="H15" s="6">
        <f>SUMIFS(Mensal!$H$5:$H$263,Mensal!$B$5:$B$263,$A15,Mensal!$C$5:$C$263,7)</f>
        <v/>
      </c>
      <c r="I15" s="6">
        <f>SUMIFS(Mensal!$H$5:$H$263,Mensal!$B$5:$B$263,$A15,Mensal!$C$5:$C$263,8)</f>
        <v/>
      </c>
      <c r="J15" s="6">
        <f>SUMIFS(Mensal!$H$5:$H$263,Mensal!$B$5:$B$263,$A15,Mensal!$C$5:$C$263,9)</f>
        <v/>
      </c>
      <c r="K15" s="6">
        <f>SUMIFS(Mensal!$H$5:$H$263,Mensal!$B$5:$B$263,$A15,Mensal!$C$5:$C$263,10)</f>
        <v/>
      </c>
      <c r="L15" s="6">
        <f>SUMIFS(Mensal!$H$5:$H$263,Mensal!$B$5:$B$263,$A15,Mensal!$C$5:$C$263,11)</f>
        <v/>
      </c>
      <c r="M15" s="6">
        <f>SUMIFS(Mensal!$H$5:$H$263,Mensal!$B$5:$B$263,$A15,Mensal!$C$5:$C$263,12)</f>
        <v/>
      </c>
      <c r="N15" s="20">
        <f>SUM(B15:M15)</f>
        <v/>
      </c>
    </row>
    <row r="16">
      <c r="A16" s="19" t="n">
        <v>2017</v>
      </c>
      <c r="B16" s="6">
        <f>SUMIFS(Mensal!$H$5:$H$263,Mensal!$B$5:$B$263,$A16,Mensal!$C$5:$C$263,1)</f>
        <v/>
      </c>
      <c r="C16" s="6">
        <f>SUMIFS(Mensal!$H$5:$H$263,Mensal!$B$5:$B$263,$A16,Mensal!$C$5:$C$263,2)</f>
        <v/>
      </c>
      <c r="D16" s="6">
        <f>SUMIFS(Mensal!$H$5:$H$263,Mensal!$B$5:$B$263,$A16,Mensal!$C$5:$C$263,3)</f>
        <v/>
      </c>
      <c r="E16" s="6">
        <f>SUMIFS(Mensal!$H$5:$H$263,Mensal!$B$5:$B$263,$A16,Mensal!$C$5:$C$263,4)</f>
        <v/>
      </c>
      <c r="F16" s="6">
        <f>SUMIFS(Mensal!$H$5:$H$263,Mensal!$B$5:$B$263,$A16,Mensal!$C$5:$C$263,5)</f>
        <v/>
      </c>
      <c r="G16" s="6">
        <f>SUMIFS(Mensal!$H$5:$H$263,Mensal!$B$5:$B$263,$A16,Mensal!$C$5:$C$263,6)</f>
        <v/>
      </c>
      <c r="H16" s="6">
        <f>SUMIFS(Mensal!$H$5:$H$263,Mensal!$B$5:$B$263,$A16,Mensal!$C$5:$C$263,7)</f>
        <v/>
      </c>
      <c r="I16" s="6">
        <f>SUMIFS(Mensal!$H$5:$H$263,Mensal!$B$5:$B$263,$A16,Mensal!$C$5:$C$263,8)</f>
        <v/>
      </c>
      <c r="J16" s="6">
        <f>SUMIFS(Mensal!$H$5:$H$263,Mensal!$B$5:$B$263,$A16,Mensal!$C$5:$C$263,9)</f>
        <v/>
      </c>
      <c r="K16" s="6">
        <f>SUMIFS(Mensal!$H$5:$H$263,Mensal!$B$5:$B$263,$A16,Mensal!$C$5:$C$263,10)</f>
        <v/>
      </c>
      <c r="L16" s="6">
        <f>SUMIFS(Mensal!$H$5:$H$263,Mensal!$B$5:$B$263,$A16,Mensal!$C$5:$C$263,11)</f>
        <v/>
      </c>
      <c r="M16" s="6">
        <f>SUMIFS(Mensal!$H$5:$H$263,Mensal!$B$5:$B$263,$A16,Mensal!$C$5:$C$263,12)</f>
        <v/>
      </c>
      <c r="N16" s="20">
        <f>SUM(B16:M16)</f>
        <v/>
      </c>
    </row>
    <row r="17">
      <c r="A17" s="19" t="n">
        <v>2018</v>
      </c>
      <c r="B17" s="6">
        <f>SUMIFS(Mensal!$H$5:$H$263,Mensal!$B$5:$B$263,$A17,Mensal!$C$5:$C$263,1)</f>
        <v/>
      </c>
      <c r="C17" s="6">
        <f>SUMIFS(Mensal!$H$5:$H$263,Mensal!$B$5:$B$263,$A17,Mensal!$C$5:$C$263,2)</f>
        <v/>
      </c>
      <c r="D17" s="6">
        <f>SUMIFS(Mensal!$H$5:$H$263,Mensal!$B$5:$B$263,$A17,Mensal!$C$5:$C$263,3)</f>
        <v/>
      </c>
      <c r="E17" s="6">
        <f>SUMIFS(Mensal!$H$5:$H$263,Mensal!$B$5:$B$263,$A17,Mensal!$C$5:$C$263,4)</f>
        <v/>
      </c>
      <c r="F17" s="6">
        <f>SUMIFS(Mensal!$H$5:$H$263,Mensal!$B$5:$B$263,$A17,Mensal!$C$5:$C$263,5)</f>
        <v/>
      </c>
      <c r="G17" s="6">
        <f>SUMIFS(Mensal!$H$5:$H$263,Mensal!$B$5:$B$263,$A17,Mensal!$C$5:$C$263,6)</f>
        <v/>
      </c>
      <c r="H17" s="6">
        <f>SUMIFS(Mensal!$H$5:$H$263,Mensal!$B$5:$B$263,$A17,Mensal!$C$5:$C$263,7)</f>
        <v/>
      </c>
      <c r="I17" s="6">
        <f>SUMIFS(Mensal!$H$5:$H$263,Mensal!$B$5:$B$263,$A17,Mensal!$C$5:$C$263,8)</f>
        <v/>
      </c>
      <c r="J17" s="6">
        <f>SUMIFS(Mensal!$H$5:$H$263,Mensal!$B$5:$B$263,$A17,Mensal!$C$5:$C$263,9)</f>
        <v/>
      </c>
      <c r="K17" s="6">
        <f>SUMIFS(Mensal!$H$5:$H$263,Mensal!$B$5:$B$263,$A17,Mensal!$C$5:$C$263,10)</f>
        <v/>
      </c>
      <c r="L17" s="6">
        <f>SUMIFS(Mensal!$H$5:$H$263,Mensal!$B$5:$B$263,$A17,Mensal!$C$5:$C$263,11)</f>
        <v/>
      </c>
      <c r="M17" s="6">
        <f>SUMIFS(Mensal!$H$5:$H$263,Mensal!$B$5:$B$263,$A17,Mensal!$C$5:$C$263,12)</f>
        <v/>
      </c>
      <c r="N17" s="20">
        <f>SUM(B17:M17)</f>
        <v/>
      </c>
    </row>
    <row r="18">
      <c r="A18" s="19" t="n">
        <v>2019</v>
      </c>
      <c r="B18" s="6">
        <f>SUMIFS(Mensal!$H$5:$H$263,Mensal!$B$5:$B$263,$A18,Mensal!$C$5:$C$263,1)</f>
        <v/>
      </c>
      <c r="C18" s="6">
        <f>SUMIFS(Mensal!$H$5:$H$263,Mensal!$B$5:$B$263,$A18,Mensal!$C$5:$C$263,2)</f>
        <v/>
      </c>
      <c r="D18" s="6">
        <f>SUMIFS(Mensal!$H$5:$H$263,Mensal!$B$5:$B$263,$A18,Mensal!$C$5:$C$263,3)</f>
        <v/>
      </c>
      <c r="E18" s="6">
        <f>SUMIFS(Mensal!$H$5:$H$263,Mensal!$B$5:$B$263,$A18,Mensal!$C$5:$C$263,4)</f>
        <v/>
      </c>
      <c r="F18" s="6">
        <f>SUMIFS(Mensal!$H$5:$H$263,Mensal!$B$5:$B$263,$A18,Mensal!$C$5:$C$263,5)</f>
        <v/>
      </c>
      <c r="G18" s="6">
        <f>SUMIFS(Mensal!$H$5:$H$263,Mensal!$B$5:$B$263,$A18,Mensal!$C$5:$C$263,6)</f>
        <v/>
      </c>
      <c r="H18" s="6">
        <f>SUMIFS(Mensal!$H$5:$H$263,Mensal!$B$5:$B$263,$A18,Mensal!$C$5:$C$263,7)</f>
        <v/>
      </c>
      <c r="I18" s="6">
        <f>SUMIFS(Mensal!$H$5:$H$263,Mensal!$B$5:$B$263,$A18,Mensal!$C$5:$C$263,8)</f>
        <v/>
      </c>
      <c r="J18" s="6">
        <f>SUMIFS(Mensal!$H$5:$H$263,Mensal!$B$5:$B$263,$A18,Mensal!$C$5:$C$263,9)</f>
        <v/>
      </c>
      <c r="K18" s="6">
        <f>SUMIFS(Mensal!$H$5:$H$263,Mensal!$B$5:$B$263,$A18,Mensal!$C$5:$C$263,10)</f>
        <v/>
      </c>
      <c r="L18" s="6">
        <f>SUMIFS(Mensal!$H$5:$H$263,Mensal!$B$5:$B$263,$A18,Mensal!$C$5:$C$263,11)</f>
        <v/>
      </c>
      <c r="M18" s="6">
        <f>SUMIFS(Mensal!$H$5:$H$263,Mensal!$B$5:$B$263,$A18,Mensal!$C$5:$C$263,12)</f>
        <v/>
      </c>
      <c r="N18" s="20">
        <f>SUM(B18:M18)</f>
        <v/>
      </c>
    </row>
    <row r="19">
      <c r="A19" s="19" t="n">
        <v>2020</v>
      </c>
      <c r="B19" s="6">
        <f>SUMIFS(Mensal!$H$5:$H$263,Mensal!$B$5:$B$263,$A19,Mensal!$C$5:$C$263,1)</f>
        <v/>
      </c>
      <c r="C19" s="6">
        <f>SUMIFS(Mensal!$H$5:$H$263,Mensal!$B$5:$B$263,$A19,Mensal!$C$5:$C$263,2)</f>
        <v/>
      </c>
      <c r="D19" s="6">
        <f>SUMIFS(Mensal!$H$5:$H$263,Mensal!$B$5:$B$263,$A19,Mensal!$C$5:$C$263,3)</f>
        <v/>
      </c>
      <c r="E19" s="6">
        <f>SUMIFS(Mensal!$H$5:$H$263,Mensal!$B$5:$B$263,$A19,Mensal!$C$5:$C$263,4)</f>
        <v/>
      </c>
      <c r="F19" s="6">
        <f>SUMIFS(Mensal!$H$5:$H$263,Mensal!$B$5:$B$263,$A19,Mensal!$C$5:$C$263,5)</f>
        <v/>
      </c>
      <c r="G19" s="6">
        <f>SUMIFS(Mensal!$H$5:$H$263,Mensal!$B$5:$B$263,$A19,Mensal!$C$5:$C$263,6)</f>
        <v/>
      </c>
      <c r="H19" s="6">
        <f>SUMIFS(Mensal!$H$5:$H$263,Mensal!$B$5:$B$263,$A19,Mensal!$C$5:$C$263,7)</f>
        <v/>
      </c>
      <c r="I19" s="6">
        <f>SUMIFS(Mensal!$H$5:$H$263,Mensal!$B$5:$B$263,$A19,Mensal!$C$5:$C$263,8)</f>
        <v/>
      </c>
      <c r="J19" s="6">
        <f>SUMIFS(Mensal!$H$5:$H$263,Mensal!$B$5:$B$263,$A19,Mensal!$C$5:$C$263,9)</f>
        <v/>
      </c>
      <c r="K19" s="6">
        <f>SUMIFS(Mensal!$H$5:$H$263,Mensal!$B$5:$B$263,$A19,Mensal!$C$5:$C$263,10)</f>
        <v/>
      </c>
      <c r="L19" s="6">
        <f>SUMIFS(Mensal!$H$5:$H$263,Mensal!$B$5:$B$263,$A19,Mensal!$C$5:$C$263,11)</f>
        <v/>
      </c>
      <c r="M19" s="6">
        <f>SUMIFS(Mensal!$H$5:$H$263,Mensal!$B$5:$B$263,$A19,Mensal!$C$5:$C$263,12)</f>
        <v/>
      </c>
      <c r="N19" s="20">
        <f>SUM(B19:M19)</f>
        <v/>
      </c>
    </row>
    <row r="20">
      <c r="A20" s="19" t="n">
        <v>2021</v>
      </c>
      <c r="B20" s="6">
        <f>SUMIFS(Mensal!$H$5:$H$263,Mensal!$B$5:$B$263,$A20,Mensal!$C$5:$C$263,1)</f>
        <v/>
      </c>
      <c r="C20" s="6">
        <f>SUMIFS(Mensal!$H$5:$H$263,Mensal!$B$5:$B$263,$A20,Mensal!$C$5:$C$263,2)</f>
        <v/>
      </c>
      <c r="D20" s="6">
        <f>SUMIFS(Mensal!$H$5:$H$263,Mensal!$B$5:$B$263,$A20,Mensal!$C$5:$C$263,3)</f>
        <v/>
      </c>
      <c r="E20" s="6">
        <f>SUMIFS(Mensal!$H$5:$H$263,Mensal!$B$5:$B$263,$A20,Mensal!$C$5:$C$263,4)</f>
        <v/>
      </c>
      <c r="F20" s="6">
        <f>SUMIFS(Mensal!$H$5:$H$263,Mensal!$B$5:$B$263,$A20,Mensal!$C$5:$C$263,5)</f>
        <v/>
      </c>
      <c r="G20" s="6">
        <f>SUMIFS(Mensal!$H$5:$H$263,Mensal!$B$5:$B$263,$A20,Mensal!$C$5:$C$263,6)</f>
        <v/>
      </c>
      <c r="H20" s="6">
        <f>SUMIFS(Mensal!$H$5:$H$263,Mensal!$B$5:$B$263,$A20,Mensal!$C$5:$C$263,7)</f>
        <v/>
      </c>
      <c r="I20" s="6">
        <f>SUMIFS(Mensal!$H$5:$H$263,Mensal!$B$5:$B$263,$A20,Mensal!$C$5:$C$263,8)</f>
        <v/>
      </c>
      <c r="J20" s="6">
        <f>SUMIFS(Mensal!$H$5:$H$263,Mensal!$B$5:$B$263,$A20,Mensal!$C$5:$C$263,9)</f>
        <v/>
      </c>
      <c r="K20" s="6">
        <f>SUMIFS(Mensal!$H$5:$H$263,Mensal!$B$5:$B$263,$A20,Mensal!$C$5:$C$263,10)</f>
        <v/>
      </c>
      <c r="L20" s="6">
        <f>SUMIFS(Mensal!$H$5:$H$263,Mensal!$B$5:$B$263,$A20,Mensal!$C$5:$C$263,11)</f>
        <v/>
      </c>
      <c r="M20" s="6">
        <f>SUMIFS(Mensal!$H$5:$H$263,Mensal!$B$5:$B$263,$A20,Mensal!$C$5:$C$263,12)</f>
        <v/>
      </c>
      <c r="N20" s="20">
        <f>SUM(B20:M20)</f>
        <v/>
      </c>
    </row>
    <row r="21">
      <c r="A21" s="19" t="n">
        <v>2022</v>
      </c>
      <c r="B21" s="6">
        <f>SUMIFS(Mensal!$H$5:$H$263,Mensal!$B$5:$B$263,$A21,Mensal!$C$5:$C$263,1)</f>
        <v/>
      </c>
      <c r="C21" s="6">
        <f>SUMIFS(Mensal!$H$5:$H$263,Mensal!$B$5:$B$263,$A21,Mensal!$C$5:$C$263,2)</f>
        <v/>
      </c>
      <c r="D21" s="6">
        <f>SUMIFS(Mensal!$H$5:$H$263,Mensal!$B$5:$B$263,$A21,Mensal!$C$5:$C$263,3)</f>
        <v/>
      </c>
      <c r="E21" s="6">
        <f>SUMIFS(Mensal!$H$5:$H$263,Mensal!$B$5:$B$263,$A21,Mensal!$C$5:$C$263,4)</f>
        <v/>
      </c>
      <c r="F21" s="6">
        <f>SUMIFS(Mensal!$H$5:$H$263,Mensal!$B$5:$B$263,$A21,Mensal!$C$5:$C$263,5)</f>
        <v/>
      </c>
      <c r="G21" s="6">
        <f>SUMIFS(Mensal!$H$5:$H$263,Mensal!$B$5:$B$263,$A21,Mensal!$C$5:$C$263,6)</f>
        <v/>
      </c>
      <c r="H21" s="6">
        <f>SUMIFS(Mensal!$H$5:$H$263,Mensal!$B$5:$B$263,$A21,Mensal!$C$5:$C$263,7)</f>
        <v/>
      </c>
      <c r="I21" s="6">
        <f>SUMIFS(Mensal!$H$5:$H$263,Mensal!$B$5:$B$263,$A21,Mensal!$C$5:$C$263,8)</f>
        <v/>
      </c>
      <c r="J21" s="6">
        <f>SUMIFS(Mensal!$H$5:$H$263,Mensal!$B$5:$B$263,$A21,Mensal!$C$5:$C$263,9)</f>
        <v/>
      </c>
      <c r="K21" s="6">
        <f>SUMIFS(Mensal!$H$5:$H$263,Mensal!$B$5:$B$263,$A21,Mensal!$C$5:$C$263,10)</f>
        <v/>
      </c>
      <c r="L21" s="6">
        <f>SUMIFS(Mensal!$H$5:$H$263,Mensal!$B$5:$B$263,$A21,Mensal!$C$5:$C$263,11)</f>
        <v/>
      </c>
      <c r="M21" s="6">
        <f>SUMIFS(Mensal!$H$5:$H$263,Mensal!$B$5:$B$263,$A21,Mensal!$C$5:$C$263,12)</f>
        <v/>
      </c>
      <c r="N21" s="20">
        <f>SUM(B21:M21)</f>
        <v/>
      </c>
    </row>
    <row r="22">
      <c r="A22" s="19" t="n">
        <v>2023</v>
      </c>
      <c r="B22" s="6">
        <f>SUMIFS(Mensal!$H$5:$H$263,Mensal!$B$5:$B$263,$A22,Mensal!$C$5:$C$263,1)</f>
        <v/>
      </c>
      <c r="C22" s="6">
        <f>SUMIFS(Mensal!$H$5:$H$263,Mensal!$B$5:$B$263,$A22,Mensal!$C$5:$C$263,2)</f>
        <v/>
      </c>
      <c r="D22" s="6">
        <f>SUMIFS(Mensal!$H$5:$H$263,Mensal!$B$5:$B$263,$A22,Mensal!$C$5:$C$263,3)</f>
        <v/>
      </c>
      <c r="E22" s="6">
        <f>SUMIFS(Mensal!$H$5:$H$263,Mensal!$B$5:$B$263,$A22,Mensal!$C$5:$C$263,4)</f>
        <v/>
      </c>
      <c r="F22" s="6">
        <f>SUMIFS(Mensal!$H$5:$H$263,Mensal!$B$5:$B$263,$A22,Mensal!$C$5:$C$263,5)</f>
        <v/>
      </c>
      <c r="G22" s="6">
        <f>SUMIFS(Mensal!$H$5:$H$263,Mensal!$B$5:$B$263,$A22,Mensal!$C$5:$C$263,6)</f>
        <v/>
      </c>
      <c r="H22" s="6">
        <f>SUMIFS(Mensal!$H$5:$H$263,Mensal!$B$5:$B$263,$A22,Mensal!$C$5:$C$263,7)</f>
        <v/>
      </c>
      <c r="I22" s="6">
        <f>SUMIFS(Mensal!$H$5:$H$263,Mensal!$B$5:$B$263,$A22,Mensal!$C$5:$C$263,8)</f>
        <v/>
      </c>
      <c r="J22" s="6">
        <f>SUMIFS(Mensal!$H$5:$H$263,Mensal!$B$5:$B$263,$A22,Mensal!$C$5:$C$263,9)</f>
        <v/>
      </c>
      <c r="K22" s="6">
        <f>SUMIFS(Mensal!$H$5:$H$263,Mensal!$B$5:$B$263,$A22,Mensal!$C$5:$C$263,10)</f>
        <v/>
      </c>
      <c r="L22" s="6">
        <f>SUMIFS(Mensal!$H$5:$H$263,Mensal!$B$5:$B$263,$A22,Mensal!$C$5:$C$263,11)</f>
        <v/>
      </c>
      <c r="M22" s="6">
        <f>SUMIFS(Mensal!$H$5:$H$263,Mensal!$B$5:$B$263,$A22,Mensal!$C$5:$C$263,12)</f>
        <v/>
      </c>
      <c r="N22" s="20">
        <f>SUM(B22:M22)</f>
        <v/>
      </c>
    </row>
    <row r="23">
      <c r="A23" s="19" t="n">
        <v>2024</v>
      </c>
      <c r="B23" s="6">
        <f>SUMIFS(Mensal!$H$5:$H$263,Mensal!$B$5:$B$263,$A23,Mensal!$C$5:$C$263,1)</f>
        <v/>
      </c>
      <c r="C23" s="6">
        <f>SUMIFS(Mensal!$H$5:$H$263,Mensal!$B$5:$B$263,$A23,Mensal!$C$5:$C$263,2)</f>
        <v/>
      </c>
      <c r="D23" s="6">
        <f>SUMIFS(Mensal!$H$5:$H$263,Mensal!$B$5:$B$263,$A23,Mensal!$C$5:$C$263,3)</f>
        <v/>
      </c>
      <c r="E23" s="6">
        <f>SUMIFS(Mensal!$H$5:$H$263,Mensal!$B$5:$B$263,$A23,Mensal!$C$5:$C$263,4)</f>
        <v/>
      </c>
      <c r="F23" s="6">
        <f>SUMIFS(Mensal!$H$5:$H$263,Mensal!$B$5:$B$263,$A23,Mensal!$C$5:$C$263,5)</f>
        <v/>
      </c>
      <c r="G23" s="6">
        <f>SUMIFS(Mensal!$H$5:$H$263,Mensal!$B$5:$B$263,$A23,Mensal!$C$5:$C$263,6)</f>
        <v/>
      </c>
      <c r="H23" s="6">
        <f>SUMIFS(Mensal!$H$5:$H$263,Mensal!$B$5:$B$263,$A23,Mensal!$C$5:$C$263,7)</f>
        <v/>
      </c>
      <c r="I23" s="6">
        <f>SUMIFS(Mensal!$H$5:$H$263,Mensal!$B$5:$B$263,$A23,Mensal!$C$5:$C$263,8)</f>
        <v/>
      </c>
      <c r="J23" s="6">
        <f>SUMIFS(Mensal!$H$5:$H$263,Mensal!$B$5:$B$263,$A23,Mensal!$C$5:$C$263,9)</f>
        <v/>
      </c>
      <c r="K23" s="6">
        <f>SUMIFS(Mensal!$H$5:$H$263,Mensal!$B$5:$B$263,$A23,Mensal!$C$5:$C$263,10)</f>
        <v/>
      </c>
      <c r="L23" s="6">
        <f>SUMIFS(Mensal!$H$5:$H$263,Mensal!$B$5:$B$263,$A23,Mensal!$C$5:$C$263,11)</f>
        <v/>
      </c>
      <c r="M23" s="6">
        <f>SUMIFS(Mensal!$H$5:$H$263,Mensal!$B$5:$B$263,$A23,Mensal!$C$5:$C$263,12)</f>
        <v/>
      </c>
      <c r="N23" s="20">
        <f>SUM(B23:M23)</f>
        <v/>
      </c>
    </row>
    <row r="24">
      <c r="A24" s="19" t="n">
        <v>2025</v>
      </c>
      <c r="B24" s="6">
        <f>SUMIFS(Mensal!$H$5:$H$263,Mensal!$B$5:$B$263,$A24,Mensal!$C$5:$C$263,1)</f>
        <v/>
      </c>
      <c r="C24" s="6">
        <f>SUMIFS(Mensal!$H$5:$H$263,Mensal!$B$5:$B$263,$A24,Mensal!$C$5:$C$263,2)</f>
        <v/>
      </c>
      <c r="D24" s="6">
        <f>SUMIFS(Mensal!$H$5:$H$263,Mensal!$B$5:$B$263,$A24,Mensal!$C$5:$C$263,3)</f>
        <v/>
      </c>
      <c r="E24" s="6">
        <f>SUMIFS(Mensal!$H$5:$H$263,Mensal!$B$5:$B$263,$A24,Mensal!$C$5:$C$263,4)</f>
        <v/>
      </c>
      <c r="F24" s="6">
        <f>SUMIFS(Mensal!$H$5:$H$263,Mensal!$B$5:$B$263,$A24,Mensal!$C$5:$C$263,5)</f>
        <v/>
      </c>
      <c r="G24" s="6">
        <f>SUMIFS(Mensal!$H$5:$H$263,Mensal!$B$5:$B$263,$A24,Mensal!$C$5:$C$263,6)</f>
        <v/>
      </c>
      <c r="H24" s="6">
        <f>SUMIFS(Mensal!$H$5:$H$263,Mensal!$B$5:$B$263,$A24,Mensal!$C$5:$C$263,7)</f>
        <v/>
      </c>
      <c r="I24" s="6">
        <f>SUMIFS(Mensal!$H$5:$H$263,Mensal!$B$5:$B$263,$A24,Mensal!$C$5:$C$263,8)</f>
        <v/>
      </c>
      <c r="J24" s="6">
        <f>SUMIFS(Mensal!$H$5:$H$263,Mensal!$B$5:$B$263,$A24,Mensal!$C$5:$C$263,9)</f>
        <v/>
      </c>
      <c r="K24" s="6">
        <f>SUMIFS(Mensal!$H$5:$H$263,Mensal!$B$5:$B$263,$A24,Mensal!$C$5:$C$263,10)</f>
        <v/>
      </c>
      <c r="L24" s="6">
        <f>SUMIFS(Mensal!$H$5:$H$263,Mensal!$B$5:$B$263,$A24,Mensal!$C$5:$C$263,11)</f>
        <v/>
      </c>
      <c r="M24" s="6">
        <f>SUMIFS(Mensal!$H$5:$H$263,Mensal!$B$5:$B$263,$A24,Mensal!$C$5:$C$263,12)</f>
        <v/>
      </c>
      <c r="N24" s="20">
        <f>SUM(B24:M24)</f>
        <v/>
      </c>
    </row>
    <row r="25">
      <c r="A25" s="19" t="n">
        <v>2026</v>
      </c>
      <c r="B25" s="6">
        <f>SUMIFS(Mensal!$H$5:$H$263,Mensal!$B$5:$B$263,$A25,Mensal!$C$5:$C$263,1)</f>
        <v/>
      </c>
      <c r="C25" s="6">
        <f>SUMIFS(Mensal!$H$5:$H$263,Mensal!$B$5:$B$263,$A25,Mensal!$C$5:$C$263,2)</f>
        <v/>
      </c>
      <c r="D25" s="6">
        <f>SUMIFS(Mensal!$H$5:$H$263,Mensal!$B$5:$B$263,$A25,Mensal!$C$5:$C$263,3)</f>
        <v/>
      </c>
      <c r="E25" s="6">
        <f>SUMIFS(Mensal!$H$5:$H$263,Mensal!$B$5:$B$263,$A25,Mensal!$C$5:$C$263,4)</f>
        <v/>
      </c>
      <c r="F25" s="6">
        <f>SUMIFS(Mensal!$H$5:$H$263,Mensal!$B$5:$B$263,$A25,Mensal!$C$5:$C$263,5)</f>
        <v/>
      </c>
      <c r="G25" s="6">
        <f>SUMIFS(Mensal!$H$5:$H$263,Mensal!$B$5:$B$263,$A25,Mensal!$C$5:$C$263,6)</f>
        <v/>
      </c>
      <c r="H25" s="6">
        <f>SUMIFS(Mensal!$H$5:$H$263,Mensal!$B$5:$B$263,$A25,Mensal!$C$5:$C$263,7)</f>
        <v/>
      </c>
      <c r="I25" s="6">
        <f>SUMIFS(Mensal!$H$5:$H$263,Mensal!$B$5:$B$263,$A25,Mensal!$C$5:$C$263,8)</f>
        <v/>
      </c>
      <c r="J25" s="6">
        <f>SUMIFS(Mensal!$H$5:$H$263,Mensal!$B$5:$B$263,$A25,Mensal!$C$5:$C$263,9)</f>
        <v/>
      </c>
      <c r="K25" s="6">
        <f>SUMIFS(Mensal!$H$5:$H$263,Mensal!$B$5:$B$263,$A25,Mensal!$C$5:$C$263,10)</f>
        <v/>
      </c>
      <c r="L25" s="6">
        <f>SUMIFS(Mensal!$H$5:$H$263,Mensal!$B$5:$B$263,$A25,Mensal!$C$5:$C$263,11)</f>
        <v/>
      </c>
      <c r="M25" s="6">
        <f>SUMIFS(Mensal!$H$5:$H$263,Mensal!$B$5:$B$263,$A25,Mensal!$C$5:$C$263,12)</f>
        <v/>
      </c>
      <c r="N25" s="20">
        <f>SUM(B25:M25)</f>
        <v/>
      </c>
    </row>
    <row r="26">
      <c r="A26" s="19" t="inlineStr">
        <is>
          <t>TOTAL</t>
        </is>
      </c>
      <c r="B26" s="20">
        <f>SUM(B4:B25)</f>
        <v/>
      </c>
      <c r="C26" s="20">
        <f>SUM(C4:C25)</f>
        <v/>
      </c>
      <c r="D26" s="20">
        <f>SUM(D4:D25)</f>
        <v/>
      </c>
      <c r="E26" s="20">
        <f>SUM(E4:E25)</f>
        <v/>
      </c>
      <c r="F26" s="20">
        <f>SUM(F4:F25)</f>
        <v/>
      </c>
      <c r="G26" s="20">
        <f>SUM(G4:G25)</f>
        <v/>
      </c>
      <c r="H26" s="20">
        <f>SUM(H4:H25)</f>
        <v/>
      </c>
      <c r="I26" s="20">
        <f>SUM(I4:I25)</f>
        <v/>
      </c>
      <c r="J26" s="20">
        <f>SUM(J4:J25)</f>
        <v/>
      </c>
      <c r="K26" s="20">
        <f>SUM(K4:K25)</f>
        <v/>
      </c>
      <c r="L26" s="20">
        <f>SUM(L4:L25)</f>
        <v/>
      </c>
      <c r="M26" s="20">
        <f>SUM(M4:M25)</f>
        <v/>
      </c>
      <c r="N26" s="20">
        <f>SUM(N4:N25)</f>
        <v/>
      </c>
    </row>
    <row r="28">
      <c r="A28" s="2" t="inlineStr">
        <is>
          <t>Inclui meses ESTIMADOS: 2007 (2008 ÷ IPCA) e out/2010–dez/2011, fev/2013–mai/2017 (média com variação). Ver aba Estimativas.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90" customWidth="1" min="3" max="3"/>
  </cols>
  <sheetData>
    <row r="1">
      <c r="A1" s="1" t="inlineStr">
        <is>
          <t>Simulação de distrato - Lei 4.886/65 (representante comercial)</t>
        </is>
      </c>
    </row>
    <row r="3">
      <c r="A3" s="19" t="inlineStr">
        <is>
          <t>Premissas</t>
        </is>
      </c>
    </row>
    <row r="4">
      <c r="A4" s="33" t="inlineStr">
        <is>
          <t>Início do Cenário B (competência)</t>
        </is>
      </c>
      <c r="B4" s="34" t="n">
        <v>44378</v>
      </c>
      <c r="C4" s="2" t="inlineStr">
        <is>
          <t>Premissa: distrato de R$ 93.000 pago abr-jun/2021 teria quitado o período anterior. Altere se necessário.</t>
        </is>
      </c>
    </row>
    <row r="5">
      <c r="A5" s="33" t="inlineStr">
        <is>
          <t>Último mês considerado</t>
        </is>
      </c>
      <c r="B5" s="34" t="n">
        <v>46204</v>
      </c>
      <c r="C5" s="2" t="inlineStr">
        <is>
          <t>Última competência paga (título 174, pago 17/08/2026).</t>
        </is>
      </c>
    </row>
    <row r="7">
      <c r="A7" s="19" t="inlineStr">
        <is>
          <t>Cenário A - todo o período disponível</t>
        </is>
      </c>
    </row>
    <row r="8">
      <c r="A8" s="33" t="inlineStr">
        <is>
          <t>Base: total comissão (real + estimado)</t>
        </is>
      </c>
      <c r="B8" s="7">
        <f>Mensal!H264</f>
        <v/>
      </c>
    </row>
    <row r="9">
      <c r="A9" s="33" t="inlineStr">
        <is>
          <t>Indenização (1/12 - art. 27, "j")</t>
        </is>
      </c>
      <c r="B9" s="6">
        <f>B8/12</f>
        <v/>
      </c>
    </row>
    <row r="10">
      <c r="A10" s="33" t="inlineStr">
        <is>
          <t>Aviso prévio (1/3 das comissões dos últimos 3 meses - art. 34)</t>
        </is>
      </c>
      <c r="B10" s="6">
        <f>B17</f>
        <v/>
      </c>
    </row>
    <row r="11">
      <c r="A11" s="19" t="inlineStr">
        <is>
          <t>TOTAL Cenário A</t>
        </is>
      </c>
      <c r="B11" s="20">
        <f>B9+B10</f>
        <v/>
      </c>
    </row>
    <row r="13">
      <c r="A13" s="19" t="inlineStr">
        <is>
          <t>Cenário B - a partir do início informado em B4</t>
        </is>
      </c>
    </row>
    <row r="14">
      <c r="A14" s="33" t="inlineStr">
        <is>
          <t>Base: total comissão + prêmio</t>
        </is>
      </c>
      <c r="B14" s="7">
        <f>SUMIFS(Mensal!$H$5:$H$263,Mensal!$A$5:$A$263,"&gt;="&amp;B4,Mensal!$A$5:$A$263,"&lt;="&amp;B5)</f>
        <v/>
      </c>
    </row>
    <row r="15">
      <c r="A15" s="33" t="inlineStr">
        <is>
          <t>Indenização (1/12)</t>
        </is>
      </c>
      <c r="B15" s="6">
        <f>B14/12</f>
        <v/>
      </c>
    </row>
    <row r="16">
      <c r="A16" s="33" t="inlineStr">
        <is>
          <t>Soma dos últimos 3 meses</t>
        </is>
      </c>
      <c r="B16" s="7">
        <f>SUMIFS(Mensal!$H$5:$H$263,Mensal!$A$5:$A$263,"&gt;="&amp;DATE(YEAR(B5),MONTH(B5)-2,1),Mensal!$A$5:$A$263,"&lt;="&amp;B5)</f>
        <v/>
      </c>
    </row>
    <row r="17">
      <c r="A17" s="33" t="inlineStr">
        <is>
          <t>Aviso prévio (1/3)</t>
        </is>
      </c>
      <c r="B17" s="6">
        <f>B16/3</f>
        <v/>
      </c>
    </row>
    <row r="18">
      <c r="A18" s="19" t="inlineStr">
        <is>
          <t>TOTAL Cenário B</t>
        </is>
      </c>
      <c r="B18" s="20">
        <f>B15+B17</f>
        <v/>
      </c>
    </row>
    <row r="20">
      <c r="A20" s="2" t="inlineStr">
        <is>
          <t>Células amarelas são premissas editáveis. Valores sem correção monetária. Conferir com o jurídico/contador.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70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Estimativas para meses sem dado (valores NÃO reais - usar com transparência no distrato)</t>
        </is>
      </c>
    </row>
    <row r="3">
      <c r="A3" s="33" t="inlineStr">
        <is>
          <t>IPCA 2008 (IBGE)</t>
        </is>
      </c>
      <c r="B3" s="35" t="n">
        <v>0.059</v>
      </c>
      <c r="C3" s="2" t="inlineStr">
        <is>
          <t>Fonte: IBGE, IPCA acumulado 2008 = 5,90%. Usado para deflacionar 2008 e estimar 2007.</t>
        </is>
      </c>
    </row>
    <row r="4">
      <c r="A4" s="33" t="inlineStr">
        <is>
          <t>Variação aleatória máxima (±)</t>
        </is>
      </c>
      <c r="B4" s="36" t="n">
        <v>0.15</v>
      </c>
      <c r="C4" s="2" t="inlineStr">
        <is>
          <t>Fatores gerados uma única vez (semente 2026) e gravados na coluna E; editáveis.</t>
        </is>
      </c>
    </row>
    <row r="6">
      <c r="A6" s="33" t="inlineStr">
        <is>
          <t>Média real out/2009–set/2010</t>
        </is>
      </c>
      <c r="B6" s="7">
        <f>SUMIFS(Mensal!$F$5:$F$263,Mensal!$A$5:$A$263,"&gt;="&amp;DATE(2009,10,1),Mensal!$A$5:$A$263,"&lt;="&amp;DATE(2010,9,1))/12</f>
        <v/>
      </c>
      <c r="C6" s="2" t="inlineStr">
        <is>
          <t>Âncora antes do buraco out/2010–dez/2011</t>
        </is>
      </c>
    </row>
    <row r="7">
      <c r="A7" s="33" t="inlineStr">
        <is>
          <t>Média real jan–dez/2012</t>
        </is>
      </c>
      <c r="B7" s="7">
        <f>SUMIFS(Mensal!$F$5:$F$263,Mensal!$A$5:$A$263,"&gt;="&amp;DATE(2012,1,1),Mensal!$A$5:$A$263,"&lt;="&amp;DATE(2012,12,1))/12</f>
        <v/>
      </c>
      <c r="C7" s="2" t="inlineStr">
        <is>
          <t>Âncora depois do buraco out/2010–dez/2011</t>
        </is>
      </c>
    </row>
    <row r="8">
      <c r="A8" s="33" t="inlineStr">
        <is>
          <t>Média real fev/2012–jan/2013</t>
        </is>
      </c>
      <c r="B8" s="7">
        <f>SUMIFS(Mensal!$F$5:$F$263,Mensal!$A$5:$A$263,"&gt;="&amp;DATE(2012,2,1),Mensal!$A$5:$A$263,"&lt;="&amp;DATE(2013,1,1))/12</f>
        <v/>
      </c>
      <c r="C8" s="2" t="inlineStr">
        <is>
          <t>Âncora antes do buraco fev/2013–mai/2017</t>
        </is>
      </c>
    </row>
    <row r="9">
      <c r="A9" s="33" t="inlineStr">
        <is>
          <t>Média real jun/2017–mai/2018</t>
        </is>
      </c>
      <c r="B9" s="7">
        <f>SUMIFS(Mensal!$F$5:$F$263,Mensal!$A$5:$A$263,"&gt;="&amp;DATE(2017,6,1),Mensal!$A$5:$A$263,"&lt;="&amp;DATE(2018,5,1))/12</f>
        <v/>
      </c>
      <c r="C9" s="2" t="inlineStr">
        <is>
          <t>Âncora depois do buraco fev/2013–mai/2017 (contas a pagar = total pago à Frugis)</t>
        </is>
      </c>
    </row>
    <row r="11" ht="32" customHeight="1">
      <c r="A11" s="3" t="inlineStr">
        <is>
          <t>Competência</t>
        </is>
      </c>
      <c r="B11" s="3" t="inlineStr">
        <is>
          <t>Grupo</t>
        </is>
      </c>
      <c r="C11" s="3" t="inlineStr">
        <is>
          <t>Método</t>
        </is>
      </c>
      <c r="D11" s="3" t="inlineStr">
        <is>
          <t>Base</t>
        </is>
      </c>
      <c r="E11" s="3" t="inlineStr">
        <is>
          <t>Fator aleatório</t>
        </is>
      </c>
      <c r="F11" s="3" t="inlineStr">
        <is>
          <t>Valor estimado</t>
        </is>
      </c>
    </row>
    <row r="12">
      <c r="A12" s="4" t="n">
        <v>39083</v>
      </c>
      <c r="B12" s="5" t="inlineStr">
        <is>
          <t>2007</t>
        </is>
      </c>
      <c r="C12" s="5" t="inlineStr">
        <is>
          <t>Mesmo mês de 2008 ÷ (1+IPCA 2008)</t>
        </is>
      </c>
      <c r="D12" s="6">
        <f>SUMIFS(Mensal!$F$5:$F$263,Mensal!$A$5:$A$263,DATE(YEAR(A12)+1,MONTH(A12),1))/(1+$B$3)</f>
        <v/>
      </c>
      <c r="E12" s="37" t="n">
        <v>1</v>
      </c>
      <c r="F12" s="6">
        <f>ROUND(D12*E12,2)</f>
        <v/>
      </c>
    </row>
    <row r="13">
      <c r="A13" s="4" t="n">
        <v>39114</v>
      </c>
      <c r="B13" s="5" t="inlineStr">
        <is>
          <t>2007</t>
        </is>
      </c>
      <c r="C13" s="5" t="inlineStr">
        <is>
          <t>Mesmo mês de 2008 ÷ (1+IPCA 2008)</t>
        </is>
      </c>
      <c r="D13" s="6">
        <f>SUMIFS(Mensal!$F$5:$F$263,Mensal!$A$5:$A$263,DATE(YEAR(A13)+1,MONTH(A13),1))/(1+$B$3)</f>
        <v/>
      </c>
      <c r="E13" s="37" t="n">
        <v>1</v>
      </c>
      <c r="F13" s="6">
        <f>ROUND(D13*E13,2)</f>
        <v/>
      </c>
    </row>
    <row r="14">
      <c r="A14" s="4" t="n">
        <v>39142</v>
      </c>
      <c r="B14" s="5" t="inlineStr">
        <is>
          <t>2007</t>
        </is>
      </c>
      <c r="C14" s="5" t="inlineStr">
        <is>
          <t>Mesmo mês de 2008 ÷ (1+IPCA 2008)</t>
        </is>
      </c>
      <c r="D14" s="6">
        <f>SUMIFS(Mensal!$F$5:$F$263,Mensal!$A$5:$A$263,DATE(YEAR(A14)+1,MONTH(A14),1))/(1+$B$3)</f>
        <v/>
      </c>
      <c r="E14" s="37" t="n">
        <v>1</v>
      </c>
      <c r="F14" s="6">
        <f>ROUND(D14*E14,2)</f>
        <v/>
      </c>
    </row>
    <row r="15">
      <c r="A15" s="4" t="n">
        <v>39173</v>
      </c>
      <c r="B15" s="5" t="inlineStr">
        <is>
          <t>2007</t>
        </is>
      </c>
      <c r="C15" s="5" t="inlineStr">
        <is>
          <t>Mesmo mês de 2008 ÷ (1+IPCA 2008)</t>
        </is>
      </c>
      <c r="D15" s="6">
        <f>SUMIFS(Mensal!$F$5:$F$263,Mensal!$A$5:$A$263,DATE(YEAR(A15)+1,MONTH(A15),1))/(1+$B$3)</f>
        <v/>
      </c>
      <c r="E15" s="37" t="n">
        <v>1</v>
      </c>
      <c r="F15" s="6">
        <f>ROUND(D15*E15,2)</f>
        <v/>
      </c>
    </row>
    <row r="16">
      <c r="A16" s="4" t="n">
        <v>39203</v>
      </c>
      <c r="B16" s="5" t="inlineStr">
        <is>
          <t>2007</t>
        </is>
      </c>
      <c r="C16" s="5" t="inlineStr">
        <is>
          <t>Mesmo mês de 2008 ÷ (1+IPCA 2008)</t>
        </is>
      </c>
      <c r="D16" s="6">
        <f>SUMIFS(Mensal!$F$5:$F$263,Mensal!$A$5:$A$263,DATE(YEAR(A16)+1,MONTH(A16),1))/(1+$B$3)</f>
        <v/>
      </c>
      <c r="E16" s="37" t="n">
        <v>1</v>
      </c>
      <c r="F16" s="6">
        <f>ROUND(D16*E16,2)</f>
        <v/>
      </c>
    </row>
    <row r="17">
      <c r="A17" s="4" t="n">
        <v>39234</v>
      </c>
      <c r="B17" s="5" t="inlineStr">
        <is>
          <t>2007</t>
        </is>
      </c>
      <c r="C17" s="5" t="inlineStr">
        <is>
          <t>Mesmo mês de 2008 ÷ (1+IPCA 2008)</t>
        </is>
      </c>
      <c r="D17" s="6">
        <f>SUMIFS(Mensal!$F$5:$F$263,Mensal!$A$5:$A$263,DATE(YEAR(A17)+1,MONTH(A17),1))/(1+$B$3)</f>
        <v/>
      </c>
      <c r="E17" s="37" t="n">
        <v>1</v>
      </c>
      <c r="F17" s="6">
        <f>ROUND(D17*E17,2)</f>
        <v/>
      </c>
    </row>
    <row r="18">
      <c r="A18" s="4" t="n">
        <v>39264</v>
      </c>
      <c r="B18" s="5" t="inlineStr">
        <is>
          <t>2007</t>
        </is>
      </c>
      <c r="C18" s="5" t="inlineStr">
        <is>
          <t>Mesmo mês de 2008 ÷ (1+IPCA 2008)</t>
        </is>
      </c>
      <c r="D18" s="6">
        <f>SUMIFS(Mensal!$F$5:$F$263,Mensal!$A$5:$A$263,DATE(YEAR(A18)+1,MONTH(A18),1))/(1+$B$3)</f>
        <v/>
      </c>
      <c r="E18" s="37" t="n">
        <v>1</v>
      </c>
      <c r="F18" s="6">
        <f>ROUND(D18*E18,2)</f>
        <v/>
      </c>
    </row>
    <row r="19">
      <c r="A19" s="4" t="n">
        <v>39295</v>
      </c>
      <c r="B19" s="5" t="inlineStr">
        <is>
          <t>2007</t>
        </is>
      </c>
      <c r="C19" s="5" t="inlineStr">
        <is>
          <t>Mesmo mês de 2008 ÷ (1+IPCA 2008)</t>
        </is>
      </c>
      <c r="D19" s="6">
        <f>SUMIFS(Mensal!$F$5:$F$263,Mensal!$A$5:$A$263,DATE(YEAR(A19)+1,MONTH(A19),1))/(1+$B$3)</f>
        <v/>
      </c>
      <c r="E19" s="37" t="n">
        <v>1</v>
      </c>
      <c r="F19" s="6">
        <f>ROUND(D19*E19,2)</f>
        <v/>
      </c>
    </row>
    <row r="20">
      <c r="A20" s="4" t="n">
        <v>39326</v>
      </c>
      <c r="B20" s="5" t="inlineStr">
        <is>
          <t>2007</t>
        </is>
      </c>
      <c r="C20" s="5" t="inlineStr">
        <is>
          <t>Mesmo mês de 2008 ÷ (1+IPCA 2008)</t>
        </is>
      </c>
      <c r="D20" s="6">
        <f>SUMIFS(Mensal!$F$5:$F$263,Mensal!$A$5:$A$263,DATE(YEAR(A20)+1,MONTH(A20),1))/(1+$B$3)</f>
        <v/>
      </c>
      <c r="E20" s="37" t="n">
        <v>1</v>
      </c>
      <c r="F20" s="6">
        <f>ROUND(D20*E20,2)</f>
        <v/>
      </c>
    </row>
    <row r="21">
      <c r="A21" s="4" t="n">
        <v>39356</v>
      </c>
      <c r="B21" s="5" t="inlineStr">
        <is>
          <t>2007</t>
        </is>
      </c>
      <c r="C21" s="5" t="inlineStr">
        <is>
          <t>Mesmo mês de 2008 ÷ (1+IPCA 2008)</t>
        </is>
      </c>
      <c r="D21" s="6">
        <f>SUMIFS(Mensal!$F$5:$F$263,Mensal!$A$5:$A$263,DATE(YEAR(A21)+1,MONTH(A21),1))/(1+$B$3)</f>
        <v/>
      </c>
      <c r="E21" s="37" t="n">
        <v>1</v>
      </c>
      <c r="F21" s="6">
        <f>ROUND(D21*E21,2)</f>
        <v/>
      </c>
    </row>
    <row r="22">
      <c r="A22" s="4" t="n">
        <v>39387</v>
      </c>
      <c r="B22" s="5" t="inlineStr">
        <is>
          <t>2007</t>
        </is>
      </c>
      <c r="C22" s="5" t="inlineStr">
        <is>
          <t>Mesmo mês de 2008 ÷ (1+IPCA 2008)</t>
        </is>
      </c>
      <c r="D22" s="6">
        <f>SUMIFS(Mensal!$F$5:$F$263,Mensal!$A$5:$A$263,DATE(YEAR(A22)+1,MONTH(A22),1))/(1+$B$3)</f>
        <v/>
      </c>
      <c r="E22" s="37" t="n">
        <v>1</v>
      </c>
      <c r="F22" s="6">
        <f>ROUND(D22*E22,2)</f>
        <v/>
      </c>
    </row>
    <row r="23">
      <c r="A23" s="4" t="n">
        <v>39417</v>
      </c>
      <c r="B23" s="5" t="inlineStr">
        <is>
          <t>2007</t>
        </is>
      </c>
      <c r="C23" s="5" t="inlineStr">
        <is>
          <t>Mesmo mês de 2008 ÷ (1+IPCA 2008)</t>
        </is>
      </c>
      <c r="D23" s="6">
        <f>SUMIFS(Mensal!$F$5:$F$263,Mensal!$A$5:$A$263,DATE(YEAR(A23)+1,MONTH(A23),1))/(1+$B$3)</f>
        <v/>
      </c>
      <c r="E23" s="37" t="n">
        <v>1</v>
      </c>
      <c r="F23" s="6">
        <f>ROUND(D23*E23,2)</f>
        <v/>
      </c>
    </row>
    <row r="24">
      <c r="A24" s="4" t="n">
        <v>40452</v>
      </c>
      <c r="B24" s="5" t="inlineStr">
        <is>
          <t>out/2010–dez/2011</t>
        </is>
      </c>
      <c r="C24" s="5" t="inlineStr">
        <is>
          <t>Interpolação linear entre as médias vizinhas × fator aleatório (soma do grupo preservada)</t>
        </is>
      </c>
      <c r="D24" s="6">
        <f>$B$6+($B$7-$B$6)*1/16</f>
        <v/>
      </c>
      <c r="E24" s="37" t="n">
        <v>0.8857</v>
      </c>
      <c r="F24" s="6">
        <f>ROUND(D24*E24*SUM($D$24:$D$38)/SUMPRODUCT($D$24:$D$38,$E$24:$E$38),2)</f>
        <v/>
      </c>
    </row>
    <row r="25">
      <c r="A25" s="4" t="n">
        <v>40483</v>
      </c>
      <c r="B25" s="5" t="inlineStr">
        <is>
          <t>out/2010–dez/2011</t>
        </is>
      </c>
      <c r="C25" s="5" t="inlineStr">
        <is>
          <t>Interpolação linear entre as médias vizinhas × fator aleatório (soma do grupo preservada)</t>
        </is>
      </c>
      <c r="D25" s="6">
        <f>$B$6+($B$7-$B$6)*2/16</f>
        <v/>
      </c>
      <c r="E25" s="37" t="n">
        <v>1.0008</v>
      </c>
      <c r="F25" s="6">
        <f>ROUND(D25*E25*SUM($D$24:$D$38)/SUMPRODUCT($D$24:$D$38,$E$24:$E$38),2)</f>
        <v/>
      </c>
    </row>
    <row r="26">
      <c r="A26" s="4" t="n">
        <v>40513</v>
      </c>
      <c r="B26" s="5" t="inlineStr">
        <is>
          <t>out/2010–dez/2011</t>
        </is>
      </c>
      <c r="C26" s="5" t="inlineStr">
        <is>
          <t>Interpolação linear entre as médias vizinhas × fator aleatório (soma do grupo preservada)</t>
        </is>
      </c>
      <c r="D26" s="6">
        <f>$B$6+($B$7-$B$6)*3/16</f>
        <v/>
      </c>
      <c r="E26" s="37" t="n">
        <v>1.0035</v>
      </c>
      <c r="F26" s="6">
        <f>ROUND(D26*E26*SUM($D$24:$D$38)/SUMPRODUCT($D$24:$D$38,$E$24:$E$38),2)</f>
        <v/>
      </c>
    </row>
    <row r="27">
      <c r="A27" s="4" t="n">
        <v>40544</v>
      </c>
      <c r="B27" s="5" t="inlineStr">
        <is>
          <t>out/2010–dez/2011</t>
        </is>
      </c>
      <c r="C27" s="5" t="inlineStr">
        <is>
          <t>Interpolação linear entre as médias vizinhas × fator aleatório (soma do grupo preservada)</t>
        </is>
      </c>
      <c r="D27" s="6">
        <f>$B$6+($B$7-$B$6)*4/16</f>
        <v/>
      </c>
      <c r="E27" s="37" t="n">
        <v>1.108</v>
      </c>
      <c r="F27" s="6">
        <f>ROUND(D27*E27*SUM($D$24:$D$38)/SUMPRODUCT($D$24:$D$38,$E$24:$E$38),2)</f>
        <v/>
      </c>
    </row>
    <row r="28">
      <c r="A28" s="4" t="n">
        <v>40575</v>
      </c>
      <c r="B28" s="5" t="inlineStr">
        <is>
          <t>out/2010–dez/2011</t>
        </is>
      </c>
      <c r="C28" s="5" t="inlineStr">
        <is>
          <t>Interpolação linear entre as médias vizinhas × fator aleatório (soma do grupo preservada)</t>
        </is>
      </c>
      <c r="D28" s="6">
        <f>$B$6+($B$7-$B$6)*5/16</f>
        <v/>
      </c>
      <c r="E28" s="37" t="n">
        <v>0.8808</v>
      </c>
      <c r="F28" s="6">
        <f>ROUND(D28*E28*SUM($D$24:$D$38)/SUMPRODUCT($D$24:$D$38,$E$24:$E$38),2)</f>
        <v/>
      </c>
    </row>
    <row r="29">
      <c r="A29" s="4" t="n">
        <v>40603</v>
      </c>
      <c r="B29" s="5" t="inlineStr">
        <is>
          <t>out/2010–dez/2011</t>
        </is>
      </c>
      <c r="C29" s="5" t="inlineStr">
        <is>
          <t>Interpolação linear entre as médias vizinhas × fator aleatório (soma do grupo preservada)</t>
        </is>
      </c>
      <c r="D29" s="6">
        <f>$B$6+($B$7-$B$6)*6/16</f>
        <v/>
      </c>
      <c r="E29" s="37" t="n">
        <v>0.917</v>
      </c>
      <c r="F29" s="6">
        <f>ROUND(D29*E29*SUM($D$24:$D$38)/SUMPRODUCT($D$24:$D$38,$E$24:$E$38),2)</f>
        <v/>
      </c>
    </row>
    <row r="30">
      <c r="A30" s="4" t="n">
        <v>40634</v>
      </c>
      <c r="B30" s="5" t="inlineStr">
        <is>
          <t>out/2010–dez/2011</t>
        </is>
      </c>
      <c r="C30" s="5" t="inlineStr">
        <is>
          <t>Interpolação linear entre as médias vizinhas × fator aleatório (soma do grupo preservada)</t>
        </is>
      </c>
      <c r="D30" s="6">
        <f>$B$6+($B$7-$B$6)*7/16</f>
        <v/>
      </c>
      <c r="E30" s="37" t="n">
        <v>1.0303</v>
      </c>
      <c r="F30" s="6">
        <f>ROUND(D30*E30*SUM($D$24:$D$38)/SUMPRODUCT($D$24:$D$38,$E$24:$E$38),2)</f>
        <v/>
      </c>
    </row>
    <row r="31">
      <c r="A31" s="4" t="n">
        <v>40664</v>
      </c>
      <c r="B31" s="5" t="inlineStr">
        <is>
          <t>out/2010–dez/2011</t>
        </is>
      </c>
      <c r="C31" s="5" t="inlineStr">
        <is>
          <t>Interpolação linear entre as médias vizinhas × fator aleatório (soma do grupo preservada)</t>
        </is>
      </c>
      <c r="D31" s="6">
        <f>$B$6+($B$7-$B$6)*8/16</f>
        <v/>
      </c>
      <c r="E31" s="37" t="n">
        <v>1.017</v>
      </c>
      <c r="F31" s="6">
        <f>ROUND(D31*E31*SUM($D$24:$D$38)/SUMPRODUCT($D$24:$D$38,$E$24:$E$38),2)</f>
        <v/>
      </c>
    </row>
    <row r="32">
      <c r="A32" s="4" t="n">
        <v>40695</v>
      </c>
      <c r="B32" s="5" t="inlineStr">
        <is>
          <t>out/2010–dez/2011</t>
        </is>
      </c>
      <c r="C32" s="5" t="inlineStr">
        <is>
          <t>Interpolação linear entre as médias vizinhas × fator aleatório (soma do grupo preservada)</t>
        </is>
      </c>
      <c r="D32" s="6">
        <f>$B$6+($B$7-$B$6)*9/16</f>
        <v/>
      </c>
      <c r="E32" s="37" t="n">
        <v>1.085</v>
      </c>
      <c r="F32" s="6">
        <f>ROUND(D32*E32*SUM($D$24:$D$38)/SUMPRODUCT($D$24:$D$38,$E$24:$E$38),2)</f>
        <v/>
      </c>
    </row>
    <row r="33">
      <c r="A33" s="4" t="n">
        <v>40725</v>
      </c>
      <c r="B33" s="5" t="inlineStr">
        <is>
          <t>out/2010–dez/2011</t>
        </is>
      </c>
      <c r="C33" s="5" t="inlineStr">
        <is>
          <t>Interpolação linear entre as médias vizinhas × fator aleatório (soma do grupo preservada)</t>
        </is>
      </c>
      <c r="D33" s="6">
        <f>$B$6+($B$7-$B$6)*10/16</f>
        <v/>
      </c>
      <c r="E33" s="37" t="n">
        <v>1.0143</v>
      </c>
      <c r="F33" s="6">
        <f>ROUND(D33*E33*SUM($D$24:$D$38)/SUMPRODUCT($D$24:$D$38,$E$24:$E$38),2)</f>
        <v/>
      </c>
    </row>
    <row r="34">
      <c r="A34" s="4" t="n">
        <v>40756</v>
      </c>
      <c r="B34" s="5" t="inlineStr">
        <is>
          <t>out/2010–dez/2011</t>
        </is>
      </c>
      <c r="C34" s="5" t="inlineStr">
        <is>
          <t>Interpolação linear entre as médias vizinhas × fator aleatório (soma do grupo preservada)</t>
        </is>
      </c>
      <c r="D34" s="6">
        <f>$B$6+($B$7-$B$6)*11/16</f>
        <v/>
      </c>
      <c r="E34" s="37" t="n">
        <v>1.0692</v>
      </c>
      <c r="F34" s="6">
        <f>ROUND(D34*E34*SUM($D$24:$D$38)/SUMPRODUCT($D$24:$D$38,$E$24:$E$38),2)</f>
        <v/>
      </c>
    </row>
    <row r="35">
      <c r="A35" s="4" t="n">
        <v>40787</v>
      </c>
      <c r="B35" s="5" t="inlineStr">
        <is>
          <t>out/2010–dez/2011</t>
        </is>
      </c>
      <c r="C35" s="5" t="inlineStr">
        <is>
          <t>Interpolação linear entre as médias vizinhas × fator aleatório (soma do grupo preservada)</t>
        </is>
      </c>
      <c r="D35" s="6">
        <f>$B$6+($B$7-$B$6)*12/16</f>
        <v/>
      </c>
      <c r="E35" s="37" t="n">
        <v>1.0804</v>
      </c>
      <c r="F35" s="6">
        <f>ROUND(D35*E35*SUM($D$24:$D$38)/SUMPRODUCT($D$24:$D$38,$E$24:$E$38),2)</f>
        <v/>
      </c>
    </row>
    <row r="36">
      <c r="A36" s="4" t="n">
        <v>40817</v>
      </c>
      <c r="B36" s="5" t="inlineStr">
        <is>
          <t>out/2010–dez/2011</t>
        </is>
      </c>
      <c r="C36" s="5" t="inlineStr">
        <is>
          <t>Interpolação linear entre as médias vizinhas × fator aleatório (soma do grupo preservada)</t>
        </is>
      </c>
      <c r="D36" s="6">
        <f>$B$6+($B$7-$B$6)*13/16</f>
        <v/>
      </c>
      <c r="E36" s="37" t="n">
        <v>1.0753</v>
      </c>
      <c r="F36" s="6">
        <f>ROUND(D36*E36*SUM($D$24:$D$38)/SUMPRODUCT($D$24:$D$38,$E$24:$E$38),2)</f>
        <v/>
      </c>
    </row>
    <row r="37">
      <c r="A37" s="4" t="n">
        <v>40848</v>
      </c>
      <c r="B37" s="5" t="inlineStr">
        <is>
          <t>out/2010–dez/2011</t>
        </is>
      </c>
      <c r="C37" s="5" t="inlineStr">
        <is>
          <t>Interpolação linear entre as médias vizinhas × fator aleatório (soma do grupo preservada)</t>
        </is>
      </c>
      <c r="D37" s="6">
        <f>$B$6+($B$7-$B$6)*14/16</f>
        <v/>
      </c>
      <c r="E37" s="37" t="n">
        <v>1.026</v>
      </c>
      <c r="F37" s="6">
        <f>ROUND(D37*E37*SUM($D$24:$D$38)/SUMPRODUCT($D$24:$D$38,$E$24:$E$38),2)</f>
        <v/>
      </c>
    </row>
    <row r="38">
      <c r="A38" s="4" t="n">
        <v>40878</v>
      </c>
      <c r="B38" s="5" t="inlineStr">
        <is>
          <t>out/2010–dez/2011</t>
        </is>
      </c>
      <c r="C38" s="5" t="inlineStr">
        <is>
          <t>Interpolação linear entre as médias vizinhas × fator aleatório (soma do grupo preservada)</t>
        </is>
      </c>
      <c r="D38" s="6">
        <f>$B$6+($B$7-$B$6)*15/16</f>
        <v/>
      </c>
      <c r="E38" s="37" t="n">
        <v>0.922</v>
      </c>
      <c r="F38" s="6">
        <f>ROUND(D38*E38*SUM($D$24:$D$38)/SUMPRODUCT($D$24:$D$38,$E$24:$E$38),2)</f>
        <v/>
      </c>
    </row>
    <row r="39">
      <c r="A39" s="4" t="n">
        <v>41306</v>
      </c>
      <c r="B39" s="5" t="inlineStr">
        <is>
          <t>fev/2013–mai/2017</t>
        </is>
      </c>
      <c r="C39" s="5" t="inlineStr">
        <is>
          <t>Interpolação linear entre as médias vizinhas × fator aleatório (soma do grupo preservada)</t>
        </is>
      </c>
      <c r="D39" s="6">
        <f>$B$8+($B$9-$B$8)*1/53</f>
        <v/>
      </c>
      <c r="E39" s="37" t="n">
        <v>1.0343</v>
      </c>
      <c r="F39" s="6">
        <f>ROUND(D39*E39*SUM($D$39:$D$90)/SUMPRODUCT($D$39:$D$90,$E$39:$E$90),2)</f>
        <v/>
      </c>
    </row>
    <row r="40">
      <c r="A40" s="4" t="n">
        <v>41334</v>
      </c>
      <c r="B40" s="5" t="inlineStr">
        <is>
          <t>fev/2013–mai/2017</t>
        </is>
      </c>
      <c r="C40" s="5" t="inlineStr">
        <is>
          <t>Interpolação linear entre as médias vizinhas × fator aleatório (soma do grupo preservada)</t>
        </is>
      </c>
      <c r="D40" s="6">
        <f>$B$8+($B$9-$B$8)*2/53</f>
        <v/>
      </c>
      <c r="E40" s="37" t="n">
        <v>0.8832</v>
      </c>
      <c r="F40" s="6">
        <f>ROUND(D40*E40*SUM($D$39:$D$90)/SUMPRODUCT($D$39:$D$90,$E$39:$E$90),2)</f>
        <v/>
      </c>
    </row>
    <row r="41">
      <c r="A41" s="4" t="n">
        <v>41365</v>
      </c>
      <c r="B41" s="5" t="inlineStr">
        <is>
          <t>fev/2013–mai/2017</t>
        </is>
      </c>
      <c r="C41" s="5" t="inlineStr">
        <is>
          <t>Interpolação linear entre as médias vizinhas × fator aleatório (soma do grupo preservada)</t>
        </is>
      </c>
      <c r="D41" s="6">
        <f>$B$8+($B$9-$B$8)*3/53</f>
        <v/>
      </c>
      <c r="E41" s="37" t="n">
        <v>1.095</v>
      </c>
      <c r="F41" s="6">
        <f>ROUND(D41*E41*SUM($D$39:$D$90)/SUMPRODUCT($D$39:$D$90,$E$39:$E$90),2)</f>
        <v/>
      </c>
    </row>
    <row r="42">
      <c r="A42" s="4" t="n">
        <v>41395</v>
      </c>
      <c r="B42" s="5" t="inlineStr">
        <is>
          <t>fev/2013–mai/2017</t>
        </is>
      </c>
      <c r="C42" s="5" t="inlineStr">
        <is>
          <t>Interpolação linear entre as médias vizinhas × fator aleatório (soma do grupo preservada)</t>
        </is>
      </c>
      <c r="D42" s="6">
        <f>$B$8+($B$9-$B$8)*4/53</f>
        <v/>
      </c>
      <c r="E42" s="37" t="n">
        <v>0.9849</v>
      </c>
      <c r="F42" s="6">
        <f>ROUND(D42*E42*SUM($D$39:$D$90)/SUMPRODUCT($D$39:$D$90,$E$39:$E$90),2)</f>
        <v/>
      </c>
    </row>
    <row r="43">
      <c r="A43" s="4" t="n">
        <v>41426</v>
      </c>
      <c r="B43" s="5" t="inlineStr">
        <is>
          <t>fev/2013–mai/2017</t>
        </is>
      </c>
      <c r="C43" s="5" t="inlineStr">
        <is>
          <t>Interpolação linear entre as médias vizinhas × fator aleatório (soma do grupo preservada)</t>
        </is>
      </c>
      <c r="D43" s="6">
        <f>$B$8+($B$9-$B$8)*5/53</f>
        <v/>
      </c>
      <c r="E43" s="37" t="n">
        <v>1.0944</v>
      </c>
      <c r="F43" s="6">
        <f>ROUND(D43*E43*SUM($D$39:$D$90)/SUMPRODUCT($D$39:$D$90,$E$39:$E$90),2)</f>
        <v/>
      </c>
    </row>
    <row r="44">
      <c r="A44" s="4" t="n">
        <v>41456</v>
      </c>
      <c r="B44" s="5" t="inlineStr">
        <is>
          <t>fev/2013–mai/2017</t>
        </is>
      </c>
      <c r="C44" s="5" t="inlineStr">
        <is>
          <t>Interpolação linear entre as médias vizinhas × fator aleatório (soma do grupo preservada)</t>
        </is>
      </c>
      <c r="D44" s="6">
        <f>$B$8+($B$9-$B$8)*6/53</f>
        <v/>
      </c>
      <c r="E44" s="37" t="n">
        <v>1.0556</v>
      </c>
      <c r="F44" s="6">
        <f>ROUND(D44*E44*SUM($D$39:$D$90)/SUMPRODUCT($D$39:$D$90,$E$39:$E$90),2)</f>
        <v/>
      </c>
    </row>
    <row r="45">
      <c r="A45" s="4" t="n">
        <v>41487</v>
      </c>
      <c r="B45" s="5" t="inlineStr">
        <is>
          <t>fev/2013–mai/2017</t>
        </is>
      </c>
      <c r="C45" s="5" t="inlineStr">
        <is>
          <t>Interpolação linear entre as médias vizinhas × fator aleatório (soma do grupo preservada)</t>
        </is>
      </c>
      <c r="D45" s="6">
        <f>$B$8+($B$9-$B$8)*7/53</f>
        <v/>
      </c>
      <c r="E45" s="37" t="n">
        <v>1.0538</v>
      </c>
      <c r="F45" s="6">
        <f>ROUND(D45*E45*SUM($D$39:$D$90)/SUMPRODUCT($D$39:$D$90,$E$39:$E$90),2)</f>
        <v/>
      </c>
    </row>
    <row r="46">
      <c r="A46" s="4" t="n">
        <v>41518</v>
      </c>
      <c r="B46" s="5" t="inlineStr">
        <is>
          <t>fev/2013–mai/2017</t>
        </is>
      </c>
      <c r="C46" s="5" t="inlineStr">
        <is>
          <t>Interpolação linear entre as médias vizinhas × fator aleatório (soma do grupo preservada)</t>
        </is>
      </c>
      <c r="D46" s="6">
        <f>$B$8+($B$9-$B$8)*8/53</f>
        <v/>
      </c>
      <c r="E46" s="37" t="n">
        <v>0.9131</v>
      </c>
      <c r="F46" s="6">
        <f>ROUND(D46*E46*SUM($D$39:$D$90)/SUMPRODUCT($D$39:$D$90,$E$39:$E$90),2)</f>
        <v/>
      </c>
    </row>
    <row r="47">
      <c r="A47" s="4" t="n">
        <v>41548</v>
      </c>
      <c r="B47" s="5" t="inlineStr">
        <is>
          <t>fev/2013–mai/2017</t>
        </is>
      </c>
      <c r="C47" s="5" t="inlineStr">
        <is>
          <t>Interpolação linear entre as médias vizinhas × fator aleatório (soma do grupo preservada)</t>
        </is>
      </c>
      <c r="D47" s="6">
        <f>$B$8+($B$9-$B$8)*9/53</f>
        <v/>
      </c>
      <c r="E47" s="37" t="n">
        <v>0.9255</v>
      </c>
      <c r="F47" s="6">
        <f>ROUND(D47*E47*SUM($D$39:$D$90)/SUMPRODUCT($D$39:$D$90,$E$39:$E$90),2)</f>
        <v/>
      </c>
    </row>
    <row r="48">
      <c r="A48" s="4" t="n">
        <v>41579</v>
      </c>
      <c r="B48" s="5" t="inlineStr">
        <is>
          <t>fev/2013–mai/2017</t>
        </is>
      </c>
      <c r="C48" s="5" t="inlineStr">
        <is>
          <t>Interpolação linear entre as médias vizinhas × fator aleatório (soma do grupo preservada)</t>
        </is>
      </c>
      <c r="D48" s="6">
        <f>$B$8+($B$9-$B$8)*10/53</f>
        <v/>
      </c>
      <c r="E48" s="37" t="n">
        <v>1.144</v>
      </c>
      <c r="F48" s="6">
        <f>ROUND(D48*E48*SUM($D$39:$D$90)/SUMPRODUCT($D$39:$D$90,$E$39:$E$90),2)</f>
        <v/>
      </c>
    </row>
    <row r="49">
      <c r="A49" s="4" t="n">
        <v>41609</v>
      </c>
      <c r="B49" s="5" t="inlineStr">
        <is>
          <t>fev/2013–mai/2017</t>
        </is>
      </c>
      <c r="C49" s="5" t="inlineStr">
        <is>
          <t>Interpolação linear entre as médias vizinhas × fator aleatório (soma do grupo preservada)</t>
        </is>
      </c>
      <c r="D49" s="6">
        <f>$B$8+($B$9-$B$8)*11/53</f>
        <v/>
      </c>
      <c r="E49" s="37" t="n">
        <v>1.1288</v>
      </c>
      <c r="F49" s="6">
        <f>ROUND(D49*E49*SUM($D$39:$D$90)/SUMPRODUCT($D$39:$D$90,$E$39:$E$90),2)</f>
        <v/>
      </c>
    </row>
    <row r="50">
      <c r="A50" s="4" t="n">
        <v>41640</v>
      </c>
      <c r="B50" s="5" t="inlineStr">
        <is>
          <t>fev/2013–mai/2017</t>
        </is>
      </c>
      <c r="C50" s="5" t="inlineStr">
        <is>
          <t>Interpolação linear entre as médias vizinhas × fator aleatório (soma do grupo preservada)</t>
        </is>
      </c>
      <c r="D50" s="6">
        <f>$B$8+($B$9-$B$8)*12/53</f>
        <v/>
      </c>
      <c r="E50" s="37" t="n">
        <v>1.0915</v>
      </c>
      <c r="F50" s="6">
        <f>ROUND(D50*E50*SUM($D$39:$D$90)/SUMPRODUCT($D$39:$D$90,$E$39:$E$90),2)</f>
        <v/>
      </c>
    </row>
    <row r="51">
      <c r="A51" s="4" t="n">
        <v>41671</v>
      </c>
      <c r="B51" s="5" t="inlineStr">
        <is>
          <t>fev/2013–mai/2017</t>
        </is>
      </c>
      <c r="C51" s="5" t="inlineStr">
        <is>
          <t>Interpolação linear entre as médias vizinhas × fator aleatório (soma do grupo preservada)</t>
        </is>
      </c>
      <c r="D51" s="6">
        <f>$B$8+($B$9-$B$8)*13/53</f>
        <v/>
      </c>
      <c r="E51" s="37" t="n">
        <v>1.1499</v>
      </c>
      <c r="F51" s="6">
        <f>ROUND(D51*E51*SUM($D$39:$D$90)/SUMPRODUCT($D$39:$D$90,$E$39:$E$90),2)</f>
        <v/>
      </c>
    </row>
    <row r="52">
      <c r="A52" s="4" t="n">
        <v>41699</v>
      </c>
      <c r="B52" s="5" t="inlineStr">
        <is>
          <t>fev/2013–mai/2017</t>
        </is>
      </c>
      <c r="C52" s="5" t="inlineStr">
        <is>
          <t>Interpolação linear entre as médias vizinhas × fator aleatório (soma do grupo preservada)</t>
        </is>
      </c>
      <c r="D52" s="6">
        <f>$B$8+($B$9-$B$8)*14/53</f>
        <v/>
      </c>
      <c r="E52" s="37" t="n">
        <v>1.0041</v>
      </c>
      <c r="F52" s="6">
        <f>ROUND(D52*E52*SUM($D$39:$D$90)/SUMPRODUCT($D$39:$D$90,$E$39:$E$90),2)</f>
        <v/>
      </c>
    </row>
    <row r="53">
      <c r="A53" s="4" t="n">
        <v>41730</v>
      </c>
      <c r="B53" s="5" t="inlineStr">
        <is>
          <t>fev/2013–mai/2017</t>
        </is>
      </c>
      <c r="C53" s="5" t="inlineStr">
        <is>
          <t>Interpolação linear entre as médias vizinhas × fator aleatório (soma do grupo preservada)</t>
        </is>
      </c>
      <c r="D53" s="6">
        <f>$B$8+($B$9-$B$8)*15/53</f>
        <v/>
      </c>
      <c r="E53" s="37" t="n">
        <v>0.8729</v>
      </c>
      <c r="F53" s="6">
        <f>ROUND(D53*E53*SUM($D$39:$D$90)/SUMPRODUCT($D$39:$D$90,$E$39:$E$90),2)</f>
        <v/>
      </c>
    </row>
    <row r="54">
      <c r="A54" s="4" t="n">
        <v>41760</v>
      </c>
      <c r="B54" s="5" t="inlineStr">
        <is>
          <t>fev/2013–mai/2017</t>
        </is>
      </c>
      <c r="C54" s="5" t="inlineStr">
        <is>
          <t>Interpolação linear entre as médias vizinhas × fator aleatório (soma do grupo preservada)</t>
        </is>
      </c>
      <c r="D54" s="6">
        <f>$B$8+($B$9-$B$8)*16/53</f>
        <v/>
      </c>
      <c r="E54" s="37" t="n">
        <v>0.9520999999999999</v>
      </c>
      <c r="F54" s="6">
        <f>ROUND(D54*E54*SUM($D$39:$D$90)/SUMPRODUCT($D$39:$D$90,$E$39:$E$90),2)</f>
        <v/>
      </c>
    </row>
    <row r="55">
      <c r="A55" s="4" t="n">
        <v>41791</v>
      </c>
      <c r="B55" s="5" t="inlineStr">
        <is>
          <t>fev/2013–mai/2017</t>
        </is>
      </c>
      <c r="C55" s="5" t="inlineStr">
        <is>
          <t>Interpolação linear entre as médias vizinhas × fator aleatório (soma do grupo preservada)</t>
        </is>
      </c>
      <c r="D55" s="6">
        <f>$B$8+($B$9-$B$8)*17/53</f>
        <v/>
      </c>
      <c r="E55" s="37" t="n">
        <v>1.0172</v>
      </c>
      <c r="F55" s="6">
        <f>ROUND(D55*E55*SUM($D$39:$D$90)/SUMPRODUCT($D$39:$D$90,$E$39:$E$90),2)</f>
        <v/>
      </c>
    </row>
    <row r="56">
      <c r="A56" s="4" t="n">
        <v>41821</v>
      </c>
      <c r="B56" s="5" t="inlineStr">
        <is>
          <t>fev/2013–mai/2017</t>
        </is>
      </c>
      <c r="C56" s="5" t="inlineStr">
        <is>
          <t>Interpolação linear entre as médias vizinhas × fator aleatório (soma do grupo preservada)</t>
        </is>
      </c>
      <c r="D56" s="6">
        <f>$B$8+($B$9-$B$8)*18/53</f>
        <v/>
      </c>
      <c r="E56" s="37" t="n">
        <v>0.9376</v>
      </c>
      <c r="F56" s="6">
        <f>ROUND(D56*E56*SUM($D$39:$D$90)/SUMPRODUCT($D$39:$D$90,$E$39:$E$90),2)</f>
        <v/>
      </c>
    </row>
    <row r="57">
      <c r="A57" s="4" t="n">
        <v>41852</v>
      </c>
      <c r="B57" s="5" t="inlineStr">
        <is>
          <t>fev/2013–mai/2017</t>
        </is>
      </c>
      <c r="C57" s="5" t="inlineStr">
        <is>
          <t>Interpolação linear entre as médias vizinhas × fator aleatório (soma do grupo preservada)</t>
        </is>
      </c>
      <c r="D57" s="6">
        <f>$B$8+($B$9-$B$8)*19/53</f>
        <v/>
      </c>
      <c r="E57" s="37" t="n">
        <v>0.9872</v>
      </c>
      <c r="F57" s="6">
        <f>ROUND(D57*E57*SUM($D$39:$D$90)/SUMPRODUCT($D$39:$D$90,$E$39:$E$90),2)</f>
        <v/>
      </c>
    </row>
    <row r="58">
      <c r="A58" s="4" t="n">
        <v>41883</v>
      </c>
      <c r="B58" s="5" t="inlineStr">
        <is>
          <t>fev/2013–mai/2017</t>
        </is>
      </c>
      <c r="C58" s="5" t="inlineStr">
        <is>
          <t>Interpolação linear entre as médias vizinhas × fator aleatório (soma do grupo preservada)</t>
        </is>
      </c>
      <c r="D58" s="6">
        <f>$B$8+($B$9-$B$8)*20/53</f>
        <v/>
      </c>
      <c r="E58" s="37" t="n">
        <v>1.1129</v>
      </c>
      <c r="F58" s="6">
        <f>ROUND(D58*E58*SUM($D$39:$D$90)/SUMPRODUCT($D$39:$D$90,$E$39:$E$90),2)</f>
        <v/>
      </c>
    </row>
    <row r="59">
      <c r="A59" s="4" t="n">
        <v>41913</v>
      </c>
      <c r="B59" s="5" t="inlineStr">
        <is>
          <t>fev/2013–mai/2017</t>
        </is>
      </c>
      <c r="C59" s="5" t="inlineStr">
        <is>
          <t>Interpolação linear entre as médias vizinhas × fator aleatório (soma do grupo preservada)</t>
        </is>
      </c>
      <c r="D59" s="6">
        <f>$B$8+($B$9-$B$8)*21/53</f>
        <v/>
      </c>
      <c r="E59" s="37" t="n">
        <v>1.0612</v>
      </c>
      <c r="F59" s="6">
        <f>ROUND(D59*E59*SUM($D$39:$D$90)/SUMPRODUCT($D$39:$D$90,$E$39:$E$90),2)</f>
        <v/>
      </c>
    </row>
    <row r="60">
      <c r="A60" s="4" t="n">
        <v>41944</v>
      </c>
      <c r="B60" s="5" t="inlineStr">
        <is>
          <t>fev/2013–mai/2017</t>
        </is>
      </c>
      <c r="C60" s="5" t="inlineStr">
        <is>
          <t>Interpolação linear entre as médias vizinhas × fator aleatório (soma do grupo preservada)</t>
        </is>
      </c>
      <c r="D60" s="6">
        <f>$B$8+($B$9-$B$8)*22/53</f>
        <v/>
      </c>
      <c r="E60" s="37" t="n">
        <v>1.0232</v>
      </c>
      <c r="F60" s="6">
        <f>ROUND(D60*E60*SUM($D$39:$D$90)/SUMPRODUCT($D$39:$D$90,$E$39:$E$90),2)</f>
        <v/>
      </c>
    </row>
    <row r="61">
      <c r="A61" s="4" t="n">
        <v>41974</v>
      </c>
      <c r="B61" s="5" t="inlineStr">
        <is>
          <t>fev/2013–mai/2017</t>
        </is>
      </c>
      <c r="C61" s="5" t="inlineStr">
        <is>
          <t>Interpolação linear entre as médias vizinhas × fator aleatório (soma do grupo preservada)</t>
        </is>
      </c>
      <c r="D61" s="6">
        <f>$B$8+($B$9-$B$8)*23/53</f>
        <v/>
      </c>
      <c r="E61" s="37" t="n">
        <v>0.8574000000000001</v>
      </c>
      <c r="F61" s="6">
        <f>ROUND(D61*E61*SUM($D$39:$D$90)/SUMPRODUCT($D$39:$D$90,$E$39:$E$90),2)</f>
        <v/>
      </c>
    </row>
    <row r="62">
      <c r="A62" s="4" t="n">
        <v>42005</v>
      </c>
      <c r="B62" s="5" t="inlineStr">
        <is>
          <t>fev/2013–mai/2017</t>
        </is>
      </c>
      <c r="C62" s="5" t="inlineStr">
        <is>
          <t>Interpolação linear entre as médias vizinhas × fator aleatório (soma do grupo preservada)</t>
        </is>
      </c>
      <c r="D62" s="6">
        <f>$B$8+($B$9-$B$8)*24/53</f>
        <v/>
      </c>
      <c r="E62" s="37" t="n">
        <v>1.0633</v>
      </c>
      <c r="F62" s="6">
        <f>ROUND(D62*E62*SUM($D$39:$D$90)/SUMPRODUCT($D$39:$D$90,$E$39:$E$90),2)</f>
        <v/>
      </c>
    </row>
    <row r="63">
      <c r="A63" s="4" t="n">
        <v>42036</v>
      </c>
      <c r="B63" s="5" t="inlineStr">
        <is>
          <t>fev/2013–mai/2017</t>
        </is>
      </c>
      <c r="C63" s="5" t="inlineStr">
        <is>
          <t>Interpolação linear entre as médias vizinhas × fator aleatório (soma do grupo preservada)</t>
        </is>
      </c>
      <c r="D63" s="6">
        <f>$B$8+($B$9-$B$8)*25/53</f>
        <v/>
      </c>
      <c r="E63" s="37" t="n">
        <v>0.9591</v>
      </c>
      <c r="F63" s="6">
        <f>ROUND(D63*E63*SUM($D$39:$D$90)/SUMPRODUCT($D$39:$D$90,$E$39:$E$90),2)</f>
        <v/>
      </c>
    </row>
    <row r="64">
      <c r="A64" s="4" t="n">
        <v>42064</v>
      </c>
      <c r="B64" s="5" t="inlineStr">
        <is>
          <t>fev/2013–mai/2017</t>
        </is>
      </c>
      <c r="C64" s="5" t="inlineStr">
        <is>
          <t>Interpolação linear entre as médias vizinhas × fator aleatório (soma do grupo preservada)</t>
        </is>
      </c>
      <c r="D64" s="6">
        <f>$B$8+($B$9-$B$8)*26/53</f>
        <v/>
      </c>
      <c r="E64" s="37" t="n">
        <v>0.9767</v>
      </c>
      <c r="F64" s="6">
        <f>ROUND(D64*E64*SUM($D$39:$D$90)/SUMPRODUCT($D$39:$D$90,$E$39:$E$90),2)</f>
        <v/>
      </c>
    </row>
    <row r="65">
      <c r="A65" s="4" t="n">
        <v>42095</v>
      </c>
      <c r="B65" s="5" t="inlineStr">
        <is>
          <t>fev/2013–mai/2017</t>
        </is>
      </c>
      <c r="C65" s="5" t="inlineStr">
        <is>
          <t>Interpolação linear entre as médias vizinhas × fator aleatório (soma do grupo preservada)</t>
        </is>
      </c>
      <c r="D65" s="6">
        <f>$B$8+($B$9-$B$8)*27/53</f>
        <v/>
      </c>
      <c r="E65" s="37" t="n">
        <v>0.9696</v>
      </c>
      <c r="F65" s="6">
        <f>ROUND(D65*E65*SUM($D$39:$D$90)/SUMPRODUCT($D$39:$D$90,$E$39:$E$90),2)</f>
        <v/>
      </c>
    </row>
    <row r="66">
      <c r="A66" s="4" t="n">
        <v>42125</v>
      </c>
      <c r="B66" s="5" t="inlineStr">
        <is>
          <t>fev/2013–mai/2017</t>
        </is>
      </c>
      <c r="C66" s="5" t="inlineStr">
        <is>
          <t>Interpolação linear entre as médias vizinhas × fator aleatório (soma do grupo preservada)</t>
        </is>
      </c>
      <c r="D66" s="6">
        <f>$B$8+($B$9-$B$8)*28/53</f>
        <v/>
      </c>
      <c r="E66" s="37" t="n">
        <v>1.0257</v>
      </c>
      <c r="F66" s="6">
        <f>ROUND(D66*E66*SUM($D$39:$D$90)/SUMPRODUCT($D$39:$D$90,$E$39:$E$90),2)</f>
        <v/>
      </c>
    </row>
    <row r="67">
      <c r="A67" s="4" t="n">
        <v>42156</v>
      </c>
      <c r="B67" s="5" t="inlineStr">
        <is>
          <t>fev/2013–mai/2017</t>
        </is>
      </c>
      <c r="C67" s="5" t="inlineStr">
        <is>
          <t>Interpolação linear entre as médias vizinhas × fator aleatório (soma do grupo preservada)</t>
        </is>
      </c>
      <c r="D67" s="6">
        <f>$B$8+($B$9-$B$8)*29/53</f>
        <v/>
      </c>
      <c r="E67" s="37" t="n">
        <v>0.9995000000000001</v>
      </c>
      <c r="F67" s="6">
        <f>ROUND(D67*E67*SUM($D$39:$D$90)/SUMPRODUCT($D$39:$D$90,$E$39:$E$90),2)</f>
        <v/>
      </c>
    </row>
    <row r="68">
      <c r="A68" s="4" t="n">
        <v>42186</v>
      </c>
      <c r="B68" s="5" t="inlineStr">
        <is>
          <t>fev/2013–mai/2017</t>
        </is>
      </c>
      <c r="C68" s="5" t="inlineStr">
        <is>
          <t>Interpolação linear entre as médias vizinhas × fator aleatório (soma do grupo preservada)</t>
        </is>
      </c>
      <c r="D68" s="6">
        <f>$B$8+($B$9-$B$8)*30/53</f>
        <v/>
      </c>
      <c r="E68" s="37" t="n">
        <v>0.8849</v>
      </c>
      <c r="F68" s="6">
        <f>ROUND(D68*E68*SUM($D$39:$D$90)/SUMPRODUCT($D$39:$D$90,$E$39:$E$90),2)</f>
        <v/>
      </c>
    </row>
    <row r="69">
      <c r="A69" s="4" t="n">
        <v>42217</v>
      </c>
      <c r="B69" s="5" t="inlineStr">
        <is>
          <t>fev/2013–mai/2017</t>
        </is>
      </c>
      <c r="C69" s="5" t="inlineStr">
        <is>
          <t>Interpolação linear entre as médias vizinhas × fator aleatório (soma do grupo preservada)</t>
        </is>
      </c>
      <c r="D69" s="6">
        <f>$B$8+($B$9-$B$8)*31/53</f>
        <v/>
      </c>
      <c r="E69" s="37" t="n">
        <v>1.0019</v>
      </c>
      <c r="F69" s="6">
        <f>ROUND(D69*E69*SUM($D$39:$D$90)/SUMPRODUCT($D$39:$D$90,$E$39:$E$90),2)</f>
        <v/>
      </c>
    </row>
    <row r="70">
      <c r="A70" s="4" t="n">
        <v>42248</v>
      </c>
      <c r="B70" s="5" t="inlineStr">
        <is>
          <t>fev/2013–mai/2017</t>
        </is>
      </c>
      <c r="C70" s="5" t="inlineStr">
        <is>
          <t>Interpolação linear entre as médias vizinhas × fator aleatório (soma do grupo preservada)</t>
        </is>
      </c>
      <c r="D70" s="6">
        <f>$B$8+($B$9-$B$8)*32/53</f>
        <v/>
      </c>
      <c r="E70" s="37" t="n">
        <v>1.075</v>
      </c>
      <c r="F70" s="6">
        <f>ROUND(D70*E70*SUM($D$39:$D$90)/SUMPRODUCT($D$39:$D$90,$E$39:$E$90),2)</f>
        <v/>
      </c>
    </row>
    <row r="71">
      <c r="A71" s="4" t="n">
        <v>42278</v>
      </c>
      <c r="B71" s="5" t="inlineStr">
        <is>
          <t>fev/2013–mai/2017</t>
        </is>
      </c>
      <c r="C71" s="5" t="inlineStr">
        <is>
          <t>Interpolação linear entre as médias vizinhas × fator aleatório (soma do grupo preservada)</t>
        </is>
      </c>
      <c r="D71" s="6">
        <f>$B$8+($B$9-$B$8)*33/53</f>
        <v/>
      </c>
      <c r="E71" s="37" t="n">
        <v>1.03</v>
      </c>
      <c r="F71" s="6">
        <f>ROUND(D71*E71*SUM($D$39:$D$90)/SUMPRODUCT($D$39:$D$90,$E$39:$E$90),2)</f>
        <v/>
      </c>
    </row>
    <row r="72">
      <c r="A72" s="4" t="n">
        <v>42309</v>
      </c>
      <c r="B72" s="5" t="inlineStr">
        <is>
          <t>fev/2013–mai/2017</t>
        </is>
      </c>
      <c r="C72" s="5" t="inlineStr">
        <is>
          <t>Interpolação linear entre as médias vizinhas × fator aleatório (soma do grupo preservada)</t>
        </is>
      </c>
      <c r="D72" s="6">
        <f>$B$8+($B$9-$B$8)*34/53</f>
        <v/>
      </c>
      <c r="E72" s="37" t="n">
        <v>0.9973</v>
      </c>
      <c r="F72" s="6">
        <f>ROUND(D72*E72*SUM($D$39:$D$90)/SUMPRODUCT($D$39:$D$90,$E$39:$E$90),2)</f>
        <v/>
      </c>
    </row>
    <row r="73">
      <c r="A73" s="4" t="n">
        <v>42339</v>
      </c>
      <c r="B73" s="5" t="inlineStr">
        <is>
          <t>fev/2013–mai/2017</t>
        </is>
      </c>
      <c r="C73" s="5" t="inlineStr">
        <is>
          <t>Interpolação linear entre as médias vizinhas × fator aleatório (soma do grupo preservada)</t>
        </is>
      </c>
      <c r="D73" s="6">
        <f>$B$8+($B$9-$B$8)*35/53</f>
        <v/>
      </c>
      <c r="E73" s="37" t="n">
        <v>1.125</v>
      </c>
      <c r="F73" s="6">
        <f>ROUND(D73*E73*SUM($D$39:$D$90)/SUMPRODUCT($D$39:$D$90,$E$39:$E$90),2)</f>
        <v/>
      </c>
    </row>
    <row r="74">
      <c r="A74" s="4" t="n">
        <v>42370</v>
      </c>
      <c r="B74" s="5" t="inlineStr">
        <is>
          <t>fev/2013–mai/2017</t>
        </is>
      </c>
      <c r="C74" s="5" t="inlineStr">
        <is>
          <t>Interpolação linear entre as médias vizinhas × fator aleatório (soma do grupo preservada)</t>
        </is>
      </c>
      <c r="D74" s="6">
        <f>$B$8+($B$9-$B$8)*36/53</f>
        <v/>
      </c>
      <c r="E74" s="37" t="n">
        <v>0.9276</v>
      </c>
      <c r="F74" s="6">
        <f>ROUND(D74*E74*SUM($D$39:$D$90)/SUMPRODUCT($D$39:$D$90,$E$39:$E$90),2)</f>
        <v/>
      </c>
    </row>
    <row r="75">
      <c r="A75" s="4" t="n">
        <v>42401</v>
      </c>
      <c r="B75" s="5" t="inlineStr">
        <is>
          <t>fev/2013–mai/2017</t>
        </is>
      </c>
      <c r="C75" s="5" t="inlineStr">
        <is>
          <t>Interpolação linear entre as médias vizinhas × fator aleatório (soma do grupo preservada)</t>
        </is>
      </c>
      <c r="D75" s="6">
        <f>$B$8+($B$9-$B$8)*37/53</f>
        <v/>
      </c>
      <c r="E75" s="37" t="n">
        <v>0.976</v>
      </c>
      <c r="F75" s="6">
        <f>ROUND(D75*E75*SUM($D$39:$D$90)/SUMPRODUCT($D$39:$D$90,$E$39:$E$90),2)</f>
        <v/>
      </c>
    </row>
    <row r="76">
      <c r="A76" s="4" t="n">
        <v>42430</v>
      </c>
      <c r="B76" s="5" t="inlineStr">
        <is>
          <t>fev/2013–mai/2017</t>
        </is>
      </c>
      <c r="C76" s="5" t="inlineStr">
        <is>
          <t>Interpolação linear entre as médias vizinhas × fator aleatório (soma do grupo preservada)</t>
        </is>
      </c>
      <c r="D76" s="6">
        <f>$B$8+($B$9-$B$8)*38/53</f>
        <v/>
      </c>
      <c r="E76" s="37" t="n">
        <v>1.1279</v>
      </c>
      <c r="F76" s="6">
        <f>ROUND(D76*E76*SUM($D$39:$D$90)/SUMPRODUCT($D$39:$D$90,$E$39:$E$90),2)</f>
        <v/>
      </c>
    </row>
    <row r="77">
      <c r="A77" s="4" t="n">
        <v>42461</v>
      </c>
      <c r="B77" s="5" t="inlineStr">
        <is>
          <t>fev/2013–mai/2017</t>
        </is>
      </c>
      <c r="C77" s="5" t="inlineStr">
        <is>
          <t>Interpolação linear entre as médias vizinhas × fator aleatório (soma do grupo preservada)</t>
        </is>
      </c>
      <c r="D77" s="6">
        <f>$B$8+($B$9-$B$8)*39/53</f>
        <v/>
      </c>
      <c r="E77" s="37" t="n">
        <v>0.9938</v>
      </c>
      <c r="F77" s="6">
        <f>ROUND(D77*E77*SUM($D$39:$D$90)/SUMPRODUCT($D$39:$D$90,$E$39:$E$90),2)</f>
        <v/>
      </c>
    </row>
    <row r="78">
      <c r="A78" s="4" t="n">
        <v>42491</v>
      </c>
      <c r="B78" s="5" t="inlineStr">
        <is>
          <t>fev/2013–mai/2017</t>
        </is>
      </c>
      <c r="C78" s="5" t="inlineStr">
        <is>
          <t>Interpolação linear entre as médias vizinhas × fator aleatório (soma do grupo preservada)</t>
        </is>
      </c>
      <c r="D78" s="6">
        <f>$B$8+($B$9-$B$8)*40/53</f>
        <v/>
      </c>
      <c r="E78" s="37" t="n">
        <v>1.0054</v>
      </c>
      <c r="F78" s="6">
        <f>ROUND(D78*E78*SUM($D$39:$D$90)/SUMPRODUCT($D$39:$D$90,$E$39:$E$90),2)</f>
        <v/>
      </c>
    </row>
    <row r="79">
      <c r="A79" s="4" t="n">
        <v>42522</v>
      </c>
      <c r="B79" s="5" t="inlineStr">
        <is>
          <t>fev/2013–mai/2017</t>
        </is>
      </c>
      <c r="C79" s="5" t="inlineStr">
        <is>
          <t>Interpolação linear entre as médias vizinhas × fator aleatório (soma do grupo preservada)</t>
        </is>
      </c>
      <c r="D79" s="6">
        <f>$B$8+($B$9-$B$8)*41/53</f>
        <v/>
      </c>
      <c r="E79" s="37" t="n">
        <v>0.8576</v>
      </c>
      <c r="F79" s="6">
        <f>ROUND(D79*E79*SUM($D$39:$D$90)/SUMPRODUCT($D$39:$D$90,$E$39:$E$90),2)</f>
        <v/>
      </c>
    </row>
    <row r="80">
      <c r="A80" s="4" t="n">
        <v>42552</v>
      </c>
      <c r="B80" s="5" t="inlineStr">
        <is>
          <t>fev/2013–mai/2017</t>
        </is>
      </c>
      <c r="C80" s="5" t="inlineStr">
        <is>
          <t>Interpolação linear entre as médias vizinhas × fator aleatório (soma do grupo preservada)</t>
        </is>
      </c>
      <c r="D80" s="6">
        <f>$B$8+($B$9-$B$8)*42/53</f>
        <v/>
      </c>
      <c r="E80" s="37" t="n">
        <v>0.9174</v>
      </c>
      <c r="F80" s="6">
        <f>ROUND(D80*E80*SUM($D$39:$D$90)/SUMPRODUCT($D$39:$D$90,$E$39:$E$90),2)</f>
        <v/>
      </c>
    </row>
    <row r="81">
      <c r="A81" s="4" t="n">
        <v>42583</v>
      </c>
      <c r="B81" s="5" t="inlineStr">
        <is>
          <t>fev/2013–mai/2017</t>
        </is>
      </c>
      <c r="C81" s="5" t="inlineStr">
        <is>
          <t>Interpolação linear entre as médias vizinhas × fator aleatório (soma do grupo preservada)</t>
        </is>
      </c>
      <c r="D81" s="6">
        <f>$B$8+($B$9-$B$8)*43/53</f>
        <v/>
      </c>
      <c r="E81" s="37" t="n">
        <v>0.8887</v>
      </c>
      <c r="F81" s="6">
        <f>ROUND(D81*E81*SUM($D$39:$D$90)/SUMPRODUCT($D$39:$D$90,$E$39:$E$90),2)</f>
        <v/>
      </c>
    </row>
    <row r="82">
      <c r="A82" s="4" t="n">
        <v>42614</v>
      </c>
      <c r="B82" s="5" t="inlineStr">
        <is>
          <t>fev/2013–mai/2017</t>
        </is>
      </c>
      <c r="C82" s="5" t="inlineStr">
        <is>
          <t>Interpolação linear entre as médias vizinhas × fator aleatório (soma do grupo preservada)</t>
        </is>
      </c>
      <c r="D82" s="6">
        <f>$B$8+($B$9-$B$8)*44/53</f>
        <v/>
      </c>
      <c r="E82" s="37" t="n">
        <v>0.8647</v>
      </c>
      <c r="F82" s="6">
        <f>ROUND(D82*E82*SUM($D$39:$D$90)/SUMPRODUCT($D$39:$D$90,$E$39:$E$90),2)</f>
        <v/>
      </c>
    </row>
    <row r="83">
      <c r="A83" s="4" t="n">
        <v>42644</v>
      </c>
      <c r="B83" s="5" t="inlineStr">
        <is>
          <t>fev/2013–mai/2017</t>
        </is>
      </c>
      <c r="C83" s="5" t="inlineStr">
        <is>
          <t>Interpolação linear entre as médias vizinhas × fator aleatório (soma do grupo preservada)</t>
        </is>
      </c>
      <c r="D83" s="6">
        <f>$B$8+($B$9-$B$8)*45/53</f>
        <v/>
      </c>
      <c r="E83" s="37" t="n">
        <v>1.0614</v>
      </c>
      <c r="F83" s="6">
        <f>ROUND(D83*E83*SUM($D$39:$D$90)/SUMPRODUCT($D$39:$D$90,$E$39:$E$90),2)</f>
        <v/>
      </c>
    </row>
    <row r="84">
      <c r="A84" s="4" t="n">
        <v>42675</v>
      </c>
      <c r="B84" s="5" t="inlineStr">
        <is>
          <t>fev/2013–mai/2017</t>
        </is>
      </c>
      <c r="C84" s="5" t="inlineStr">
        <is>
          <t>Interpolação linear entre as médias vizinhas × fator aleatório (soma do grupo preservada)</t>
        </is>
      </c>
      <c r="D84" s="6">
        <f>$B$8+($B$9-$B$8)*46/53</f>
        <v/>
      </c>
      <c r="E84" s="37" t="n">
        <v>1.116</v>
      </c>
      <c r="F84" s="6">
        <f>ROUND(D84*E84*SUM($D$39:$D$90)/SUMPRODUCT($D$39:$D$90,$E$39:$E$90),2)</f>
        <v/>
      </c>
    </row>
    <row r="85">
      <c r="A85" s="4" t="n">
        <v>42705</v>
      </c>
      <c r="B85" s="5" t="inlineStr">
        <is>
          <t>fev/2013–mai/2017</t>
        </is>
      </c>
      <c r="C85" s="5" t="inlineStr">
        <is>
          <t>Interpolação linear entre as médias vizinhas × fator aleatório (soma do grupo preservada)</t>
        </is>
      </c>
      <c r="D85" s="6">
        <f>$B$8+($B$9-$B$8)*47/53</f>
        <v/>
      </c>
      <c r="E85" s="37" t="n">
        <v>0.8808</v>
      </c>
      <c r="F85" s="6">
        <f>ROUND(D85*E85*SUM($D$39:$D$90)/SUMPRODUCT($D$39:$D$90,$E$39:$E$90),2)</f>
        <v/>
      </c>
    </row>
    <row r="86">
      <c r="A86" s="4" t="n">
        <v>42736</v>
      </c>
      <c r="B86" s="5" t="inlineStr">
        <is>
          <t>fev/2013–mai/2017</t>
        </is>
      </c>
      <c r="C86" s="5" t="inlineStr">
        <is>
          <t>Interpolação linear entre as médias vizinhas × fator aleatório (soma do grupo preservada)</t>
        </is>
      </c>
      <c r="D86" s="6">
        <f>$B$8+($B$9-$B$8)*48/53</f>
        <v/>
      </c>
      <c r="E86" s="37" t="n">
        <v>1.0367</v>
      </c>
      <c r="F86" s="6">
        <f>ROUND(D86*E86*SUM($D$39:$D$90)/SUMPRODUCT($D$39:$D$90,$E$39:$E$90),2)</f>
        <v/>
      </c>
    </row>
    <row r="87">
      <c r="A87" s="4" t="n">
        <v>42767</v>
      </c>
      <c r="B87" s="5" t="inlineStr">
        <is>
          <t>fev/2013–mai/2017</t>
        </is>
      </c>
      <c r="C87" s="5" t="inlineStr">
        <is>
          <t>Interpolação linear entre as médias vizinhas × fator aleatório (soma do grupo preservada)</t>
        </is>
      </c>
      <c r="D87" s="6">
        <f>$B$8+($B$9-$B$8)*49/53</f>
        <v/>
      </c>
      <c r="E87" s="37" t="n">
        <v>0.991</v>
      </c>
      <c r="F87" s="6">
        <f>ROUND(D87*E87*SUM($D$39:$D$90)/SUMPRODUCT($D$39:$D$90,$E$39:$E$90),2)</f>
        <v/>
      </c>
    </row>
    <row r="88">
      <c r="A88" s="4" t="n">
        <v>42795</v>
      </c>
      <c r="B88" s="5" t="inlineStr">
        <is>
          <t>fev/2013–mai/2017</t>
        </is>
      </c>
      <c r="C88" s="5" t="inlineStr">
        <is>
          <t>Interpolação linear entre as médias vizinhas × fator aleatório (soma do grupo preservada)</t>
        </is>
      </c>
      <c r="D88" s="6">
        <f>$B$8+($B$9-$B$8)*50/53</f>
        <v/>
      </c>
      <c r="E88" s="37" t="n">
        <v>0.9946</v>
      </c>
      <c r="F88" s="6">
        <f>ROUND(D88*E88*SUM($D$39:$D$90)/SUMPRODUCT($D$39:$D$90,$E$39:$E$90),2)</f>
        <v/>
      </c>
    </row>
    <row r="89">
      <c r="A89" s="4" t="n">
        <v>42826</v>
      </c>
      <c r="B89" s="5" t="inlineStr">
        <is>
          <t>fev/2013–mai/2017</t>
        </is>
      </c>
      <c r="C89" s="5" t="inlineStr">
        <is>
          <t>Interpolação linear entre as médias vizinhas × fator aleatório (soma do grupo preservada)</t>
        </is>
      </c>
      <c r="D89" s="6">
        <f>$B$8+($B$9-$B$8)*51/53</f>
        <v/>
      </c>
      <c r="E89" s="37" t="n">
        <v>0.9187</v>
      </c>
      <c r="F89" s="6">
        <f>ROUND(D89*E89*SUM($D$39:$D$90)/SUMPRODUCT($D$39:$D$90,$E$39:$E$90),2)</f>
        <v/>
      </c>
    </row>
    <row r="90">
      <c r="A90" s="4" t="n">
        <v>42856</v>
      </c>
      <c r="B90" s="5" t="inlineStr">
        <is>
          <t>fev/2013–mai/2017</t>
        </is>
      </c>
      <c r="C90" s="5" t="inlineStr">
        <is>
          <t>Interpolação linear entre as médias vizinhas × fator aleatório (soma do grupo preservada)</t>
        </is>
      </c>
      <c r="D90" s="6">
        <f>$B$8+($B$9-$B$8)*52/53</f>
        <v/>
      </c>
      <c r="E90" s="37" t="n">
        <v>1.1158</v>
      </c>
      <c r="F90" s="6">
        <f>ROUND(D90*E90*SUM($D$39:$D$90)/SUMPRODUCT($D$39:$D$90,$E$39:$E$90),2)</f>
        <v/>
      </c>
    </row>
    <row r="91">
      <c r="A91" s="19" t="inlineStr">
        <is>
          <t>TOTAL ESTIMADO</t>
        </is>
      </c>
      <c r="F91" s="32">
        <f>SUM(F12:F90)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7" customWidth="1" min="4" max="4"/>
    <col width="6" customWidth="1" min="5" max="5"/>
    <col width="14" customWidth="1" min="6" max="6"/>
    <col width="48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</cols>
  <sheetData>
    <row r="1" ht="32" customHeight="1">
      <c r="A1" s="3" t="inlineStr">
        <is>
          <t>Fonte</t>
        </is>
      </c>
      <c r="B1" s="3" t="inlineStr">
        <is>
          <t>Data (pagto / nota)</t>
        </is>
      </c>
      <c r="C1" s="3" t="inlineStr">
        <is>
          <t>Competência</t>
        </is>
      </c>
      <c r="D1" s="3" t="inlineStr">
        <is>
          <t>Ano</t>
        </is>
      </c>
      <c r="E1" s="3" t="inlineStr">
        <is>
          <t>Mês</t>
        </is>
      </c>
      <c r="F1" s="3" t="inlineStr">
        <is>
          <t>Título / Histórico</t>
        </is>
      </c>
      <c r="G1" s="3" t="inlineStr">
        <is>
          <t>Favorecido</t>
        </is>
      </c>
      <c r="H1" s="3" t="inlineStr">
        <is>
          <t>Tipo</t>
        </is>
      </c>
      <c r="I1" s="3" t="inlineStr">
        <is>
          <t>Valor bruto</t>
        </is>
      </c>
      <c r="J1" s="3" t="inlineStr">
        <is>
          <t>Desconto</t>
        </is>
      </c>
      <c r="K1" s="3" t="inlineStr">
        <is>
          <t>Valor líquido</t>
        </is>
      </c>
      <c r="L1" s="3" t="inlineStr">
        <is>
          <t>Base comissão</t>
        </is>
      </c>
    </row>
    <row r="2">
      <c r="A2" s="38" t="inlineStr">
        <is>
          <t>Conta corrente MFRUGIS05.XLS</t>
        </is>
      </c>
      <c r="B2" s="39" t="n">
        <v>38365</v>
      </c>
      <c r="C2" s="4" t="n">
        <v>38353</v>
      </c>
      <c r="D2" s="5">
        <f>YEAR(C2)</f>
        <v/>
      </c>
      <c r="E2" s="5">
        <f>MONTH(C2)</f>
        <v/>
      </c>
      <c r="F2" s="38" t="inlineStr">
        <is>
          <t>DEV  :TENDA ATACADO LTDA</t>
        </is>
      </c>
      <c r="G2" s="38" t="inlineStr">
        <is>
          <t>MARIO FRUGIS (01.04.01)</t>
        </is>
      </c>
      <c r="H2" s="38" t="inlineStr">
        <is>
          <t>DEVOLUCAO</t>
        </is>
      </c>
      <c r="I2" s="40" t="n">
        <v>-2.13</v>
      </c>
      <c r="J2" s="40" t="n">
        <v>0</v>
      </c>
      <c r="K2" s="6">
        <f>I2-J2</f>
        <v/>
      </c>
      <c r="L2" s="6">
        <f>IF(H2="DISTRATO",0,I2)</f>
        <v/>
      </c>
    </row>
    <row r="3">
      <c r="A3" s="38" t="inlineStr">
        <is>
          <t>Conta corrente MFRUGIS05.XLS</t>
        </is>
      </c>
      <c r="B3" s="39" t="n">
        <v>38376</v>
      </c>
      <c r="C3" s="4" t="n">
        <v>38353</v>
      </c>
      <c r="D3" s="5">
        <f>YEAR(C3)</f>
        <v/>
      </c>
      <c r="E3" s="5">
        <f>MONTH(C3)</f>
        <v/>
      </c>
      <c r="F3" s="38" t="inlineStr">
        <is>
          <t>40306 NFV  :TENDA ATACADO LTDA</t>
        </is>
      </c>
      <c r="G3" s="38" t="inlineStr">
        <is>
          <t>MARIO FRUGIS (01.04.01)</t>
        </is>
      </c>
      <c r="H3" s="38" t="inlineStr">
        <is>
          <t>NFV</t>
        </is>
      </c>
      <c r="I3" s="40" t="n">
        <v>200.84</v>
      </c>
      <c r="J3" s="40" t="n">
        <v>0</v>
      </c>
      <c r="K3" s="6">
        <f>I3-J3</f>
        <v/>
      </c>
      <c r="L3" s="6">
        <f>IF(H3="DISTRATO",0,I3)</f>
        <v/>
      </c>
    </row>
    <row r="4">
      <c r="A4" s="38" t="inlineStr">
        <is>
          <t>Conta corrente MFRUGIS05.XLS</t>
        </is>
      </c>
      <c r="B4" s="39" t="n">
        <v>38383</v>
      </c>
      <c r="C4" s="4" t="n">
        <v>38353</v>
      </c>
      <c r="D4" s="5">
        <f>YEAR(C4)</f>
        <v/>
      </c>
      <c r="E4" s="5">
        <f>MONTH(C4)</f>
        <v/>
      </c>
      <c r="F4" s="38" t="inlineStr">
        <is>
          <t>40328 NFV  :TENDA ATACADO LTDA</t>
        </is>
      </c>
      <c r="G4" s="38" t="inlineStr">
        <is>
          <t>MARIO FRUGIS (01.04.01)</t>
        </is>
      </c>
      <c r="H4" s="38" t="inlineStr">
        <is>
          <t>NFV</t>
        </is>
      </c>
      <c r="I4" s="40" t="n">
        <v>255.21</v>
      </c>
      <c r="J4" s="40" t="n">
        <v>0</v>
      </c>
      <c r="K4" s="6">
        <f>I4-J4</f>
        <v/>
      </c>
      <c r="L4" s="6">
        <f>IF(H4="DISTRATO",0,I4)</f>
        <v/>
      </c>
    </row>
    <row r="5">
      <c r="A5" s="38" t="inlineStr">
        <is>
          <t>Conta corrente MFRUGIS05.XLS</t>
        </is>
      </c>
      <c r="B5" s="39" t="n">
        <v>38383</v>
      </c>
      <c r="C5" s="4" t="n">
        <v>38353</v>
      </c>
      <c r="D5" s="5">
        <f>YEAR(C5)</f>
        <v/>
      </c>
      <c r="E5" s="5">
        <f>MONTH(C5)</f>
        <v/>
      </c>
      <c r="F5" s="38" t="inlineStr">
        <is>
          <t>40328 NFV  :TENDA ATACADO LTDA</t>
        </is>
      </c>
      <c r="G5" s="38" t="inlineStr">
        <is>
          <t>MARIO FRUGIS (01.04.01)</t>
        </is>
      </c>
      <c r="H5" s="38" t="inlineStr">
        <is>
          <t>NFV</t>
        </is>
      </c>
      <c r="I5" s="40" t="n">
        <v>148.28</v>
      </c>
      <c r="J5" s="40" t="n">
        <v>0</v>
      </c>
      <c r="K5" s="6">
        <f>I5-J5</f>
        <v/>
      </c>
      <c r="L5" s="6">
        <f>IF(H5="DISTRATO",0,I5)</f>
        <v/>
      </c>
    </row>
    <row r="6">
      <c r="A6" s="38" t="inlineStr">
        <is>
          <t>Conta corrente MFRUGIS05.XLS</t>
        </is>
      </c>
      <c r="B6" s="39" t="n">
        <v>38394</v>
      </c>
      <c r="C6" s="4" t="n">
        <v>38384</v>
      </c>
      <c r="D6" s="5">
        <f>YEAR(C6)</f>
        <v/>
      </c>
      <c r="E6" s="5">
        <f>MONTH(C6)</f>
        <v/>
      </c>
      <c r="F6" s="38" t="inlineStr">
        <is>
          <t>DEV  :TENDA ATACADO LTDA</t>
        </is>
      </c>
      <c r="G6" s="38" t="inlineStr">
        <is>
          <t>MARIO FRUGIS (01.04.01)</t>
        </is>
      </c>
      <c r="H6" s="38" t="inlineStr">
        <is>
          <t>DEVOLUCAO</t>
        </is>
      </c>
      <c r="I6" s="40" t="n">
        <v>-0.52</v>
      </c>
      <c r="J6" s="40" t="n">
        <v>0</v>
      </c>
      <c r="K6" s="6">
        <f>I6-J6</f>
        <v/>
      </c>
      <c r="L6" s="6">
        <f>IF(H6="DISTRATO",0,I6)</f>
        <v/>
      </c>
    </row>
    <row r="7">
      <c r="A7" s="38" t="inlineStr">
        <is>
          <t>Conta corrente MFRUGIS05.XLS</t>
        </is>
      </c>
      <c r="B7" s="39" t="n">
        <v>38405</v>
      </c>
      <c r="C7" s="4" t="n">
        <v>38384</v>
      </c>
      <c r="D7" s="5">
        <f>YEAR(C7)</f>
        <v/>
      </c>
      <c r="E7" s="5">
        <f>MONTH(C7)</f>
        <v/>
      </c>
      <c r="F7" s="38" t="inlineStr">
        <is>
          <t>27524 NFV  :TENDA ATACADO LTDA</t>
        </is>
      </c>
      <c r="G7" s="38" t="inlineStr">
        <is>
          <t>MARIO FRUGIS (01.04.01)</t>
        </is>
      </c>
      <c r="H7" s="38" t="inlineStr">
        <is>
          <t>NFV</t>
        </is>
      </c>
      <c r="I7" s="40" t="n">
        <v>147.84</v>
      </c>
      <c r="J7" s="40" t="n">
        <v>0</v>
      </c>
      <c r="K7" s="6">
        <f>I7-J7</f>
        <v/>
      </c>
      <c r="L7" s="6">
        <f>IF(H7="DISTRATO",0,I7)</f>
        <v/>
      </c>
    </row>
    <row r="8">
      <c r="A8" s="38" t="inlineStr">
        <is>
          <t>Conta corrente MFRUGIS05.XLS</t>
        </is>
      </c>
      <c r="B8" s="39" t="n">
        <v>38411</v>
      </c>
      <c r="C8" s="4" t="n">
        <v>38384</v>
      </c>
      <c r="D8" s="5">
        <f>YEAR(C8)</f>
        <v/>
      </c>
      <c r="E8" s="5">
        <f>MONTH(C8)</f>
        <v/>
      </c>
      <c r="F8" s="38" t="inlineStr">
        <is>
          <t>27540 NFV  :TENDA ATACADO LTDA</t>
        </is>
      </c>
      <c r="G8" s="38" t="inlineStr">
        <is>
          <t>MARIO FRUGIS (01.04.01)</t>
        </is>
      </c>
      <c r="H8" s="38" t="inlineStr">
        <is>
          <t>NFV</t>
        </is>
      </c>
      <c r="I8" s="40" t="n">
        <v>70.06</v>
      </c>
      <c r="J8" s="40" t="n">
        <v>0</v>
      </c>
      <c r="K8" s="6">
        <f>I8-J8</f>
        <v/>
      </c>
      <c r="L8" s="6">
        <f>IF(H8="DISTRATO",0,I8)</f>
        <v/>
      </c>
    </row>
    <row r="9">
      <c r="A9" s="38" t="inlineStr">
        <is>
          <t>Conta corrente MFRUGIS05.XLS</t>
        </is>
      </c>
      <c r="B9" s="39" t="n">
        <v>38425</v>
      </c>
      <c r="C9" s="4" t="n">
        <v>38412</v>
      </c>
      <c r="D9" s="5">
        <f>YEAR(C9)</f>
        <v/>
      </c>
      <c r="E9" s="5">
        <f>MONTH(C9)</f>
        <v/>
      </c>
      <c r="F9" s="38" t="inlineStr">
        <is>
          <t>1605 NFV  :TENDA ATACADO LTDA</t>
        </is>
      </c>
      <c r="G9" s="38" t="inlineStr">
        <is>
          <t>MARIO FRUGIS (01.04.01)</t>
        </is>
      </c>
      <c r="H9" s="38" t="inlineStr">
        <is>
          <t>NFV</t>
        </is>
      </c>
      <c r="I9" s="40" t="n">
        <v>159.17</v>
      </c>
      <c r="J9" s="40" t="n">
        <v>0</v>
      </c>
      <c r="K9" s="6">
        <f>I9-J9</f>
        <v/>
      </c>
      <c r="L9" s="6">
        <f>IF(H9="DISTRATO",0,I9)</f>
        <v/>
      </c>
    </row>
    <row r="10">
      <c r="A10" s="38" t="inlineStr">
        <is>
          <t>Conta corrente MFRUGIS05.XLS</t>
        </is>
      </c>
      <c r="B10" s="39" t="n">
        <v>38428</v>
      </c>
      <c r="C10" s="4" t="n">
        <v>38412</v>
      </c>
      <c r="D10" s="5">
        <f>YEAR(C10)</f>
        <v/>
      </c>
      <c r="E10" s="5">
        <f>MONTH(C10)</f>
        <v/>
      </c>
      <c r="F10" s="38" t="inlineStr">
        <is>
          <t>1622 NFV  :TENDA ATACADO LTDA</t>
        </is>
      </c>
      <c r="G10" s="38" t="inlineStr">
        <is>
          <t>MARIO FRUGIS (01.04.01)</t>
        </is>
      </c>
      <c r="H10" s="38" t="inlineStr">
        <is>
          <t>NFV</t>
        </is>
      </c>
      <c r="I10" s="40" t="n">
        <v>62.92</v>
      </c>
      <c r="J10" s="40" t="n">
        <v>0</v>
      </c>
      <c r="K10" s="6">
        <f>I10-J10</f>
        <v/>
      </c>
      <c r="L10" s="6">
        <f>IF(H10="DISTRATO",0,I10)</f>
        <v/>
      </c>
    </row>
    <row r="11">
      <c r="A11" s="38" t="inlineStr">
        <is>
          <t>Conta corrente MFRUGIS05.XLS</t>
        </is>
      </c>
      <c r="B11" s="39" t="n">
        <v>38428</v>
      </c>
      <c r="C11" s="4" t="n">
        <v>38412</v>
      </c>
      <c r="D11" s="5">
        <f>YEAR(C11)</f>
        <v/>
      </c>
      <c r="E11" s="5">
        <f>MONTH(C11)</f>
        <v/>
      </c>
      <c r="F11" s="38" t="inlineStr">
        <is>
          <t>1623 NFV  :TENDA ATACADO LTDA</t>
        </is>
      </c>
      <c r="G11" s="38" t="inlineStr">
        <is>
          <t>MARIO FRUGIS (01.04.01)</t>
        </is>
      </c>
      <c r="H11" s="38" t="inlineStr">
        <is>
          <t>NFV</t>
        </is>
      </c>
      <c r="I11" s="40" t="n">
        <v>62.92</v>
      </c>
      <c r="J11" s="40" t="n">
        <v>0</v>
      </c>
      <c r="K11" s="6">
        <f>I11-J11</f>
        <v/>
      </c>
      <c r="L11" s="6">
        <f>IF(H11="DISTRATO",0,I11)</f>
        <v/>
      </c>
    </row>
    <row r="12">
      <c r="A12" s="38" t="inlineStr">
        <is>
          <t>Conta corrente MFRUGIS05.XLS</t>
        </is>
      </c>
      <c r="B12" s="39" t="n">
        <v>38434</v>
      </c>
      <c r="C12" s="4" t="n">
        <v>38412</v>
      </c>
      <c r="D12" s="5">
        <f>YEAR(C12)</f>
        <v/>
      </c>
      <c r="E12" s="5">
        <f>MONTH(C12)</f>
        <v/>
      </c>
      <c r="F12" s="38" t="inlineStr">
        <is>
          <t>DEV  :TENDA ATACADO LTDA</t>
        </is>
      </c>
      <c r="G12" s="38" t="inlineStr">
        <is>
          <t>MARIO FRUGIS (01.04.01)</t>
        </is>
      </c>
      <c r="H12" s="38" t="inlineStr">
        <is>
          <t>DEVOLUCAO</t>
        </is>
      </c>
      <c r="I12" s="40" t="n">
        <v>-1.32</v>
      </c>
      <c r="J12" s="40" t="n">
        <v>0</v>
      </c>
      <c r="K12" s="6">
        <f>I12-J12</f>
        <v/>
      </c>
      <c r="L12" s="6">
        <f>IF(H12="DISTRATO",0,I12)</f>
        <v/>
      </c>
    </row>
    <row r="13">
      <c r="A13" s="38" t="inlineStr">
        <is>
          <t>Conta corrente MFRUGIS05.XLS</t>
        </is>
      </c>
      <c r="B13" s="39" t="n">
        <v>38439</v>
      </c>
      <c r="C13" s="4" t="n">
        <v>38412</v>
      </c>
      <c r="D13" s="5">
        <f>YEAR(C13)</f>
        <v/>
      </c>
      <c r="E13" s="5">
        <f>MONTH(C13)</f>
        <v/>
      </c>
      <c r="F13" s="38" t="inlineStr">
        <is>
          <t>1594 NFV  :TENDA ATACADO LTDA</t>
        </is>
      </c>
      <c r="G13" s="38" t="inlineStr">
        <is>
          <t>MARIO FRUGIS (01.04.01)</t>
        </is>
      </c>
      <c r="H13" s="38" t="inlineStr">
        <is>
          <t>NFV</t>
        </is>
      </c>
      <c r="I13" s="40" t="n">
        <v>62.92</v>
      </c>
      <c r="J13" s="40" t="n">
        <v>0</v>
      </c>
      <c r="K13" s="6">
        <f>I13-J13</f>
        <v/>
      </c>
      <c r="L13" s="6">
        <f>IF(H13="DISTRATO",0,I13)</f>
        <v/>
      </c>
    </row>
    <row r="14">
      <c r="A14" s="38" t="inlineStr">
        <is>
          <t>Conta corrente MFRUGIS05.XLS</t>
        </is>
      </c>
      <c r="B14" s="39" t="n">
        <v>38439</v>
      </c>
      <c r="C14" s="4" t="n">
        <v>38412</v>
      </c>
      <c r="D14" s="5">
        <f>YEAR(C14)</f>
        <v/>
      </c>
      <c r="E14" s="5">
        <f>MONTH(C14)</f>
        <v/>
      </c>
      <c r="F14" s="38" t="inlineStr">
        <is>
          <t>1596 NFV  :TENDA ATACADO LTDA</t>
        </is>
      </c>
      <c r="G14" s="38" t="inlineStr">
        <is>
          <t>MARIO FRUGIS (01.04.01)</t>
        </is>
      </c>
      <c r="H14" s="38" t="inlineStr">
        <is>
          <t>NFV</t>
        </is>
      </c>
      <c r="I14" s="40" t="n">
        <v>108.46</v>
      </c>
      <c r="J14" s="40" t="n">
        <v>0</v>
      </c>
      <c r="K14" s="6">
        <f>I14-J14</f>
        <v/>
      </c>
      <c r="L14" s="6">
        <f>IF(H14="DISTRATO",0,I14)</f>
        <v/>
      </c>
    </row>
    <row r="15">
      <c r="A15" s="38" t="inlineStr">
        <is>
          <t>Conta corrente MFRUGIS05.XLS</t>
        </is>
      </c>
      <c r="B15" s="39" t="n">
        <v>38440</v>
      </c>
      <c r="C15" s="4" t="n">
        <v>38412</v>
      </c>
      <c r="D15" s="5">
        <f>YEAR(C15)</f>
        <v/>
      </c>
      <c r="E15" s="5">
        <f>MONTH(C15)</f>
        <v/>
      </c>
      <c r="F15" s="38" t="inlineStr">
        <is>
          <t>1595 NFV  :TENDA ATACADO LTDA</t>
        </is>
      </c>
      <c r="G15" s="38" t="inlineStr">
        <is>
          <t>MARIO FRUGIS (01.04.01)</t>
        </is>
      </c>
      <c r="H15" s="38" t="inlineStr">
        <is>
          <t>NFV</t>
        </is>
      </c>
      <c r="I15" s="40" t="n">
        <v>62.92</v>
      </c>
      <c r="J15" s="40" t="n">
        <v>0</v>
      </c>
      <c r="K15" s="6">
        <f>I15-J15</f>
        <v/>
      </c>
      <c r="L15" s="6">
        <f>IF(H15="DISTRATO",0,I15)</f>
        <v/>
      </c>
    </row>
    <row r="16">
      <c r="A16" s="38" t="inlineStr">
        <is>
          <t>Conta corrente MFRUGIS05.XLS</t>
        </is>
      </c>
      <c r="B16" s="39" t="n">
        <v>38467</v>
      </c>
      <c r="C16" s="4" t="n">
        <v>38443</v>
      </c>
      <c r="D16" s="5">
        <f>YEAR(C16)</f>
        <v/>
      </c>
      <c r="E16" s="5">
        <f>MONTH(C16)</f>
        <v/>
      </c>
      <c r="F16" s="38" t="inlineStr">
        <is>
          <t>4511 NFV  :TENDA ATACADO LTDA</t>
        </is>
      </c>
      <c r="G16" s="38" t="inlineStr">
        <is>
          <t>MARIO FRUGIS (01.04.01)</t>
        </is>
      </c>
      <c r="H16" s="38" t="inlineStr">
        <is>
          <t>NFV</t>
        </is>
      </c>
      <c r="I16" s="40" t="n">
        <v>126.18</v>
      </c>
      <c r="J16" s="40" t="n">
        <v>0</v>
      </c>
      <c r="K16" s="6">
        <f>I16-J16</f>
        <v/>
      </c>
      <c r="L16" s="6">
        <f>IF(H16="DISTRATO",0,I16)</f>
        <v/>
      </c>
    </row>
    <row r="17">
      <c r="A17" s="38" t="inlineStr">
        <is>
          <t>Conta corrente MFRUGIS05.XLS</t>
        </is>
      </c>
      <c r="B17" s="39" t="n">
        <v>38470</v>
      </c>
      <c r="C17" s="4" t="n">
        <v>38443</v>
      </c>
      <c r="D17" s="5">
        <f>YEAR(C17)</f>
        <v/>
      </c>
      <c r="E17" s="5">
        <f>MONTH(C17)</f>
        <v/>
      </c>
      <c r="F17" s="38" t="inlineStr">
        <is>
          <t>4525 NFV  :TENDA ATACADO LTDA</t>
        </is>
      </c>
      <c r="G17" s="38" t="inlineStr">
        <is>
          <t>MARIO FRUGIS (01.04.01)</t>
        </is>
      </c>
      <c r="H17" s="38" t="inlineStr">
        <is>
          <t>NFV</t>
        </is>
      </c>
      <c r="I17" s="40" t="n">
        <v>50.34</v>
      </c>
      <c r="J17" s="40" t="n">
        <v>0</v>
      </c>
      <c r="K17" s="6">
        <f>I17-J17</f>
        <v/>
      </c>
      <c r="L17" s="6">
        <f>IF(H17="DISTRATO",0,I17)</f>
        <v/>
      </c>
    </row>
    <row r="18">
      <c r="A18" s="38" t="inlineStr">
        <is>
          <t>Conta corrente MFRUGIS05.XLS</t>
        </is>
      </c>
      <c r="B18" s="39" t="n">
        <v>38470</v>
      </c>
      <c r="C18" s="4" t="n">
        <v>38443</v>
      </c>
      <c r="D18" s="5">
        <f>YEAR(C18)</f>
        <v/>
      </c>
      <c r="E18" s="5">
        <f>MONTH(C18)</f>
        <v/>
      </c>
      <c r="F18" s="38" t="inlineStr">
        <is>
          <t>5501 NFV  :TENDA ATACADO LTDA</t>
        </is>
      </c>
      <c r="G18" s="38" t="inlineStr">
        <is>
          <t>MARIO FRUGIS (01.04.01)</t>
        </is>
      </c>
      <c r="H18" s="38" t="inlineStr">
        <is>
          <t>NFV</t>
        </is>
      </c>
      <c r="I18" s="40" t="n">
        <v>50.34</v>
      </c>
      <c r="J18" s="40" t="n">
        <v>0</v>
      </c>
      <c r="K18" s="6">
        <f>I18-J18</f>
        <v/>
      </c>
      <c r="L18" s="6">
        <f>IF(H18="DISTRATO",0,I18)</f>
        <v/>
      </c>
    </row>
    <row r="19">
      <c r="A19" s="38" t="inlineStr">
        <is>
          <t>Conta corrente MFRUGIS05.XLS</t>
        </is>
      </c>
      <c r="B19" s="39" t="n">
        <v>38471</v>
      </c>
      <c r="C19" s="4" t="n">
        <v>38443</v>
      </c>
      <c r="D19" s="5">
        <f>YEAR(C19)</f>
        <v/>
      </c>
      <c r="E19" s="5">
        <f>MONTH(C19)</f>
        <v/>
      </c>
      <c r="F19" s="38" t="inlineStr">
        <is>
          <t>DEV  :TENDA ATACADO LTDA</t>
        </is>
      </c>
      <c r="G19" s="38" t="inlineStr">
        <is>
          <t>MARIO FRUGIS (01.04.01)</t>
        </is>
      </c>
      <c r="H19" s="38" t="inlineStr">
        <is>
          <t>DEVOLUCAO</t>
        </is>
      </c>
      <c r="I19" s="40" t="n">
        <v>-0.27</v>
      </c>
      <c r="J19" s="40" t="n">
        <v>0</v>
      </c>
      <c r="K19" s="6">
        <f>I19-J19</f>
        <v/>
      </c>
      <c r="L19" s="6">
        <f>IF(H19="DISTRATO",0,I19)</f>
        <v/>
      </c>
    </row>
    <row r="20">
      <c r="A20" s="38" t="inlineStr">
        <is>
          <t>Conta corrente MFRUGIS05.XLS</t>
        </is>
      </c>
      <c r="B20" s="39" t="n">
        <v>38483</v>
      </c>
      <c r="C20" s="4" t="n">
        <v>38473</v>
      </c>
      <c r="D20" s="5">
        <f>YEAR(C20)</f>
        <v/>
      </c>
      <c r="E20" s="5">
        <f>MONTH(C20)</f>
        <v/>
      </c>
      <c r="F20" s="38" t="inlineStr">
        <is>
          <t>11104 NFV  :TENDA ATACADO LTDA</t>
        </is>
      </c>
      <c r="G20" s="38" t="inlineStr">
        <is>
          <t>MARIO FRUGIS (01.04.01)</t>
        </is>
      </c>
      <c r="H20" s="38" t="inlineStr">
        <is>
          <t>NFV</t>
        </is>
      </c>
      <c r="I20" s="40" t="n">
        <v>50.34</v>
      </c>
      <c r="J20" s="40" t="n">
        <v>0</v>
      </c>
      <c r="K20" s="6">
        <f>I20-J20</f>
        <v/>
      </c>
      <c r="L20" s="6">
        <f>IF(H20="DISTRATO",0,I20)</f>
        <v/>
      </c>
    </row>
    <row r="21">
      <c r="A21" s="38" t="inlineStr">
        <is>
          <t>Conta corrente MFRUGIS05.XLS</t>
        </is>
      </c>
      <c r="B21" s="39" t="n">
        <v>38484</v>
      </c>
      <c r="C21" s="4" t="n">
        <v>38473</v>
      </c>
      <c r="D21" s="5">
        <f>YEAR(C21)</f>
        <v/>
      </c>
      <c r="E21" s="5">
        <f>MONTH(C21)</f>
        <v/>
      </c>
      <c r="F21" s="38" t="inlineStr">
        <is>
          <t>2393 NFV  :TENDA ATACADO LTDA</t>
        </is>
      </c>
      <c r="G21" s="38" t="inlineStr">
        <is>
          <t>MARIO FRUGIS (01.04.01)</t>
        </is>
      </c>
      <c r="H21" s="38" t="inlineStr">
        <is>
          <t>NFV</t>
        </is>
      </c>
      <c r="I21" s="40" t="n">
        <v>95.17</v>
      </c>
      <c r="J21" s="40" t="n">
        <v>0</v>
      </c>
      <c r="K21" s="6">
        <f>I21-J21</f>
        <v/>
      </c>
      <c r="L21" s="6">
        <f>IF(H21="DISTRATO",0,I21)</f>
        <v/>
      </c>
    </row>
    <row r="22">
      <c r="A22" s="38" t="inlineStr">
        <is>
          <t>Conta corrente MFRUGIS05.XLS</t>
        </is>
      </c>
      <c r="B22" s="39" t="n">
        <v>38490</v>
      </c>
      <c r="C22" s="4" t="n">
        <v>38473</v>
      </c>
      <c r="D22" s="5">
        <f>YEAR(C22)</f>
        <v/>
      </c>
      <c r="E22" s="5">
        <f>MONTH(C22)</f>
        <v/>
      </c>
      <c r="F22" s="38" t="inlineStr">
        <is>
          <t>11112 NFV  :TENDA ATACADO LTDA</t>
        </is>
      </c>
      <c r="G22" s="38" t="inlineStr">
        <is>
          <t>MARIO FRUGIS (01.04.01)</t>
        </is>
      </c>
      <c r="H22" s="38" t="inlineStr">
        <is>
          <t>NFV</t>
        </is>
      </c>
      <c r="I22" s="40" t="n">
        <v>48.82</v>
      </c>
      <c r="J22" s="40" t="n">
        <v>0</v>
      </c>
      <c r="K22" s="6">
        <f>I22-J22</f>
        <v/>
      </c>
      <c r="L22" s="6">
        <f>IF(H22="DISTRATO",0,I22)</f>
        <v/>
      </c>
    </row>
    <row r="23">
      <c r="A23" s="38" t="inlineStr">
        <is>
          <t>Conta corrente MFRUGIS05.XLS</t>
        </is>
      </c>
      <c r="B23" s="39" t="n">
        <v>38490</v>
      </c>
      <c r="C23" s="4" t="n">
        <v>38473</v>
      </c>
      <c r="D23" s="5">
        <f>YEAR(C23)</f>
        <v/>
      </c>
      <c r="E23" s="5">
        <f>MONTH(C23)</f>
        <v/>
      </c>
      <c r="F23" s="38" t="inlineStr">
        <is>
          <t>11113 NFV  :TENDA ATACADO LTDA</t>
        </is>
      </c>
      <c r="G23" s="38" t="inlineStr">
        <is>
          <t>MARIO FRUGIS (01.04.01)</t>
        </is>
      </c>
      <c r="H23" s="38" t="inlineStr">
        <is>
          <t>NFV</t>
        </is>
      </c>
      <c r="I23" s="40" t="n">
        <v>48.82</v>
      </c>
      <c r="J23" s="40" t="n">
        <v>0</v>
      </c>
      <c r="K23" s="6">
        <f>I23-J23</f>
        <v/>
      </c>
      <c r="L23" s="6">
        <f>IF(H23="DISTRATO",0,I23)</f>
        <v/>
      </c>
    </row>
    <row r="24">
      <c r="A24" s="38" t="inlineStr">
        <is>
          <t>Conta corrente MFRUGIS05.XLS</t>
        </is>
      </c>
      <c r="B24" s="39" t="n">
        <v>38491</v>
      </c>
      <c r="C24" s="4" t="n">
        <v>38473</v>
      </c>
      <c r="D24" s="5">
        <f>YEAR(C24)</f>
        <v/>
      </c>
      <c r="E24" s="5">
        <f>MONTH(C24)</f>
        <v/>
      </c>
      <c r="F24" s="38" t="inlineStr">
        <is>
          <t>11113 NFV  :TENDA ATACADO LTDA</t>
        </is>
      </c>
      <c r="G24" s="38" t="inlineStr">
        <is>
          <t>MARIO FRUGIS (01.04.01)</t>
        </is>
      </c>
      <c r="H24" s="38" t="inlineStr">
        <is>
          <t>NFV</t>
        </is>
      </c>
      <c r="I24" s="40" t="n">
        <v>72.25</v>
      </c>
      <c r="J24" s="40" t="n">
        <v>0</v>
      </c>
      <c r="K24" s="6">
        <f>I24-J24</f>
        <v/>
      </c>
      <c r="L24" s="6">
        <f>IF(H24="DISTRATO",0,I24)</f>
        <v/>
      </c>
    </row>
    <row r="25">
      <c r="A25" s="38" t="inlineStr">
        <is>
          <t>Conta corrente MFRUGIS05.XLS</t>
        </is>
      </c>
      <c r="B25" s="39" t="n">
        <v>38504</v>
      </c>
      <c r="C25" s="4" t="n">
        <v>38504</v>
      </c>
      <c r="D25" s="5">
        <f>YEAR(C25)</f>
        <v/>
      </c>
      <c r="E25" s="5">
        <f>MONTH(C25)</f>
        <v/>
      </c>
      <c r="F25" s="38" t="inlineStr">
        <is>
          <t>1535 NFV  :TENDA ATACADO LTDA</t>
        </is>
      </c>
      <c r="G25" s="38" t="inlineStr">
        <is>
          <t>MARIO FRUGIS (01.04.01)</t>
        </is>
      </c>
      <c r="H25" s="38" t="inlineStr">
        <is>
          <t>NFV</t>
        </is>
      </c>
      <c r="I25" s="40" t="n">
        <v>127.22</v>
      </c>
      <c r="J25" s="40" t="n">
        <v>0</v>
      </c>
      <c r="K25" s="6">
        <f>I25-J25</f>
        <v/>
      </c>
      <c r="L25" s="6">
        <f>IF(H25="DISTRATO",0,I25)</f>
        <v/>
      </c>
    </row>
    <row r="26">
      <c r="A26" s="38" t="inlineStr">
        <is>
          <t>Conta corrente MFRUGIS05.XLS</t>
        </is>
      </c>
      <c r="B26" s="39" t="n">
        <v>38525</v>
      </c>
      <c r="C26" s="4" t="n">
        <v>38504</v>
      </c>
      <c r="D26" s="5">
        <f>YEAR(C26)</f>
        <v/>
      </c>
      <c r="E26" s="5">
        <f>MONTH(C26)</f>
        <v/>
      </c>
      <c r="F26" s="38" t="inlineStr">
        <is>
          <t>13526 NFV  :TENDA ATACADO LTDA</t>
        </is>
      </c>
      <c r="G26" s="38" t="inlineStr">
        <is>
          <t>MARIO FRUGIS (01.04.01)</t>
        </is>
      </c>
      <c r="H26" s="38" t="inlineStr">
        <is>
          <t>NFV</t>
        </is>
      </c>
      <c r="I26" s="40" t="n">
        <v>58.35</v>
      </c>
      <c r="J26" s="40" t="n">
        <v>0</v>
      </c>
      <c r="K26" s="6">
        <f>I26-J26</f>
        <v/>
      </c>
      <c r="L26" s="6">
        <f>IF(H26="DISTRATO",0,I26)</f>
        <v/>
      </c>
    </row>
    <row r="27">
      <c r="A27" s="38" t="inlineStr">
        <is>
          <t>Conta corrente MFRUGIS05.XLS</t>
        </is>
      </c>
      <c r="B27" s="39" t="n">
        <v>38526</v>
      </c>
      <c r="C27" s="4" t="n">
        <v>38504</v>
      </c>
      <c r="D27" s="5">
        <f>YEAR(C27)</f>
        <v/>
      </c>
      <c r="E27" s="5">
        <f>MONTH(C27)</f>
        <v/>
      </c>
      <c r="F27" s="38" t="inlineStr">
        <is>
          <t>10861 NFV  :TENDA ATACADO LTDA</t>
        </is>
      </c>
      <c r="G27" s="38" t="inlineStr">
        <is>
          <t>MARIO FRUGIS (01.04.01)</t>
        </is>
      </c>
      <c r="H27" s="38" t="inlineStr">
        <is>
          <t>NFV</t>
        </is>
      </c>
      <c r="I27" s="40" t="n">
        <v>34.48</v>
      </c>
      <c r="J27" s="40" t="n">
        <v>0</v>
      </c>
      <c r="K27" s="6">
        <f>I27-J27</f>
        <v/>
      </c>
      <c r="L27" s="6">
        <f>IF(H27="DISTRATO",0,I27)</f>
        <v/>
      </c>
    </row>
    <row r="28">
      <c r="A28" s="38" t="inlineStr">
        <is>
          <t>Conta corrente MFRUGIS05.XLS</t>
        </is>
      </c>
      <c r="B28" s="39" t="n">
        <v>38526</v>
      </c>
      <c r="C28" s="4" t="n">
        <v>38504</v>
      </c>
      <c r="D28" s="5">
        <f>YEAR(C28)</f>
        <v/>
      </c>
      <c r="E28" s="5">
        <f>MONTH(C28)</f>
        <v/>
      </c>
      <c r="F28" s="38" t="inlineStr">
        <is>
          <t>10862 NFV  :TENDA ATACADO LTDA</t>
        </is>
      </c>
      <c r="G28" s="38" t="inlineStr">
        <is>
          <t>MARIO FRUGIS (01.04.01)</t>
        </is>
      </c>
      <c r="H28" s="38" t="inlineStr">
        <is>
          <t>NFV</t>
        </is>
      </c>
      <c r="I28" s="40" t="n">
        <v>29.03</v>
      </c>
      <c r="J28" s="40" t="n">
        <v>0</v>
      </c>
      <c r="K28" s="6">
        <f>I28-J28</f>
        <v/>
      </c>
      <c r="L28" s="6">
        <f>IF(H28="DISTRATO",0,I28)</f>
        <v/>
      </c>
    </row>
    <row r="29">
      <c r="A29" s="38" t="inlineStr">
        <is>
          <t>Conta corrente MFRUGIS05.XLS</t>
        </is>
      </c>
      <c r="B29" s="39" t="n">
        <v>38526</v>
      </c>
      <c r="C29" s="4" t="n">
        <v>38504</v>
      </c>
      <c r="D29" s="5">
        <f>YEAR(C29)</f>
        <v/>
      </c>
      <c r="E29" s="5">
        <f>MONTH(C29)</f>
        <v/>
      </c>
      <c r="F29" s="38" t="inlineStr">
        <is>
          <t>13526 NFV  :TENDA ATACADO LTDA</t>
        </is>
      </c>
      <c r="G29" s="38" t="inlineStr">
        <is>
          <t>MARIO FRUGIS (01.04.01)</t>
        </is>
      </c>
      <c r="H29" s="38" t="inlineStr">
        <is>
          <t>NFV</t>
        </is>
      </c>
      <c r="I29" s="40" t="n">
        <v>62.58</v>
      </c>
      <c r="J29" s="40" t="n">
        <v>0</v>
      </c>
      <c r="K29" s="6">
        <f>I29-J29</f>
        <v/>
      </c>
      <c r="L29" s="6">
        <f>IF(H29="DISTRATO",0,I29)</f>
        <v/>
      </c>
    </row>
    <row r="30">
      <c r="A30" s="38" t="inlineStr">
        <is>
          <t>Conta corrente MFRUGIS05.XLS</t>
        </is>
      </c>
      <c r="B30" s="39" t="n">
        <v>38526</v>
      </c>
      <c r="C30" s="4" t="n">
        <v>38504</v>
      </c>
      <c r="D30" s="5">
        <f>YEAR(C30)</f>
        <v/>
      </c>
      <c r="E30" s="5">
        <f>MONTH(C30)</f>
        <v/>
      </c>
      <c r="F30" s="38" t="inlineStr">
        <is>
          <t>NFV  :TENDA ATACADO LTDA</t>
        </is>
      </c>
      <c r="G30" s="38" t="inlineStr">
        <is>
          <t>MARIO FRUGIS (01.04.01)</t>
        </is>
      </c>
      <c r="H30" s="38" t="inlineStr">
        <is>
          <t>NFV</t>
        </is>
      </c>
      <c r="I30" s="40" t="n">
        <v>28.57</v>
      </c>
      <c r="J30" s="40" t="n">
        <v>0</v>
      </c>
      <c r="K30" s="6">
        <f>I30-J30</f>
        <v/>
      </c>
      <c r="L30" s="6">
        <f>IF(H30="DISTRATO",0,I30)</f>
        <v/>
      </c>
    </row>
    <row r="31">
      <c r="A31" s="38" t="inlineStr">
        <is>
          <t>Conta corrente MFRUGIS05.XLS</t>
        </is>
      </c>
      <c r="B31" s="39" t="n">
        <v>38530</v>
      </c>
      <c r="C31" s="4" t="n">
        <v>38504</v>
      </c>
      <c r="D31" s="5">
        <f>YEAR(C31)</f>
        <v/>
      </c>
      <c r="E31" s="5">
        <f>MONTH(C31)</f>
        <v/>
      </c>
      <c r="F31" s="38" t="inlineStr">
        <is>
          <t>DEV  :TENDA ATACADO LTDA</t>
        </is>
      </c>
      <c r="G31" s="38" t="inlineStr">
        <is>
          <t>MARIO FRUGIS (01.04.01)</t>
        </is>
      </c>
      <c r="H31" s="38" t="inlineStr">
        <is>
          <t>DEVOLUCAO</t>
        </is>
      </c>
      <c r="I31" s="40" t="n">
        <v>-0.29</v>
      </c>
      <c r="J31" s="40" t="n">
        <v>0</v>
      </c>
      <c r="K31" s="6">
        <f>I31-J31</f>
        <v/>
      </c>
      <c r="L31" s="6">
        <f>IF(H31="DISTRATO",0,I31)</f>
        <v/>
      </c>
    </row>
    <row r="32">
      <c r="A32" s="38" t="inlineStr">
        <is>
          <t>Conta corrente MFRUGIS05.XLS</t>
        </is>
      </c>
      <c r="B32" s="39" t="n">
        <v>38531</v>
      </c>
      <c r="C32" s="4" t="n">
        <v>38504</v>
      </c>
      <c r="D32" s="5">
        <f>YEAR(C32)</f>
        <v/>
      </c>
      <c r="E32" s="5">
        <f>MONTH(C32)</f>
        <v/>
      </c>
      <c r="F32" s="38" t="inlineStr">
        <is>
          <t>410455 NFV  :TENDA ATACADO LTDA</t>
        </is>
      </c>
      <c r="G32" s="38" t="inlineStr">
        <is>
          <t>MARIO FRUGIS (01.04.01)</t>
        </is>
      </c>
      <c r="H32" s="38" t="inlineStr">
        <is>
          <t>NFV</t>
        </is>
      </c>
      <c r="I32" s="40" t="n">
        <v>29.03</v>
      </c>
      <c r="J32" s="40" t="n">
        <v>0</v>
      </c>
      <c r="K32" s="6">
        <f>I32-J32</f>
        <v/>
      </c>
      <c r="L32" s="6">
        <f>IF(H32="DISTRATO",0,I32)</f>
        <v/>
      </c>
    </row>
    <row r="33">
      <c r="A33" s="38" t="inlineStr">
        <is>
          <t>Conta corrente MFRUGIS05.XLS</t>
        </is>
      </c>
      <c r="B33" s="39" t="n">
        <v>38561</v>
      </c>
      <c r="C33" s="4" t="n">
        <v>38534</v>
      </c>
      <c r="D33" s="5">
        <f>YEAR(C33)</f>
        <v/>
      </c>
      <c r="E33" s="5">
        <f>MONTH(C33)</f>
        <v/>
      </c>
      <c r="F33" s="38" t="inlineStr">
        <is>
          <t>18306 NFV  :TENDA ATACADO LTDA</t>
        </is>
      </c>
      <c r="G33" s="38" t="inlineStr">
        <is>
          <t>MARIO FRUGIS (01.04.01)</t>
        </is>
      </c>
      <c r="H33" s="38" t="inlineStr">
        <is>
          <t>NFV</t>
        </is>
      </c>
      <c r="I33" s="40" t="n">
        <v>50.29</v>
      </c>
      <c r="J33" s="40" t="n">
        <v>0</v>
      </c>
      <c r="K33" s="6">
        <f>I33-J33</f>
        <v/>
      </c>
      <c r="L33" s="6">
        <f>IF(H33="DISTRATO",0,I33)</f>
        <v/>
      </c>
    </row>
    <row r="34">
      <c r="A34" s="38" t="inlineStr">
        <is>
          <t>Conta corrente MFRUGIS05.XLS</t>
        </is>
      </c>
      <c r="B34" s="39" t="n">
        <v>38561</v>
      </c>
      <c r="C34" s="4" t="n">
        <v>38534</v>
      </c>
      <c r="D34" s="5">
        <f>YEAR(C34)</f>
        <v/>
      </c>
      <c r="E34" s="5">
        <f>MONTH(C34)</f>
        <v/>
      </c>
      <c r="F34" s="38" t="inlineStr">
        <is>
          <t>18307 NFV  :TENDA ATACADO LTDA</t>
        </is>
      </c>
      <c r="G34" s="38" t="inlineStr">
        <is>
          <t>MARIO FRUGIS (01.04.01)</t>
        </is>
      </c>
      <c r="H34" s="38" t="inlineStr">
        <is>
          <t>NFV</t>
        </is>
      </c>
      <c r="I34" s="40" t="n">
        <v>52.63</v>
      </c>
      <c r="J34" s="40" t="n">
        <v>0</v>
      </c>
      <c r="K34" s="6">
        <f>I34-J34</f>
        <v/>
      </c>
      <c r="L34" s="6">
        <f>IF(H34="DISTRATO",0,I34)</f>
        <v/>
      </c>
    </row>
    <row r="35">
      <c r="A35" s="38" t="inlineStr">
        <is>
          <t>Conta corrente MFRUGIS05.XLS</t>
        </is>
      </c>
      <c r="B35" s="39" t="n">
        <v>38562</v>
      </c>
      <c r="C35" s="4" t="n">
        <v>38534</v>
      </c>
      <c r="D35" s="5">
        <f>YEAR(C35)</f>
        <v/>
      </c>
      <c r="E35" s="5">
        <f>MONTH(C35)</f>
        <v/>
      </c>
      <c r="F35" s="38" t="inlineStr">
        <is>
          <t>18304 NFV  :TENDA ATACADO LTDA</t>
        </is>
      </c>
      <c r="G35" s="38" t="inlineStr">
        <is>
          <t>MARIO FRUGIS (01.04.01)</t>
        </is>
      </c>
      <c r="H35" s="38" t="inlineStr">
        <is>
          <t>NFV</t>
        </is>
      </c>
      <c r="I35" s="40" t="n">
        <v>28.62</v>
      </c>
      <c r="J35" s="40" t="n">
        <v>0</v>
      </c>
      <c r="K35" s="6">
        <f>I35-J35</f>
        <v/>
      </c>
      <c r="L35" s="6">
        <f>IF(H35="DISTRATO",0,I35)</f>
        <v/>
      </c>
    </row>
    <row r="36">
      <c r="A36" s="38" t="inlineStr">
        <is>
          <t>Conta corrente MFRUGIS05.XLS</t>
        </is>
      </c>
      <c r="B36" s="39" t="n">
        <v>38562</v>
      </c>
      <c r="C36" s="4" t="n">
        <v>38534</v>
      </c>
      <c r="D36" s="5">
        <f>YEAR(C36)</f>
        <v/>
      </c>
      <c r="E36" s="5">
        <f>MONTH(C36)</f>
        <v/>
      </c>
      <c r="F36" s="38" t="inlineStr">
        <is>
          <t>18305 NFV  :TENDA ATACADO LTDA</t>
        </is>
      </c>
      <c r="G36" s="38" t="inlineStr">
        <is>
          <t>MARIO FRUGIS (01.04.01)</t>
        </is>
      </c>
      <c r="H36" s="38" t="inlineStr">
        <is>
          <t>NFV</t>
        </is>
      </c>
      <c r="I36" s="40" t="n">
        <v>32.37</v>
      </c>
      <c r="J36" s="40" t="n">
        <v>0</v>
      </c>
      <c r="K36" s="6">
        <f>I36-J36</f>
        <v/>
      </c>
      <c r="L36" s="6">
        <f>IF(H36="DISTRATO",0,I36)</f>
        <v/>
      </c>
    </row>
    <row r="37">
      <c r="A37" s="38" t="inlineStr">
        <is>
          <t>Conta corrente MFRUGIS05.XLS</t>
        </is>
      </c>
      <c r="B37" s="39" t="n">
        <v>38567</v>
      </c>
      <c r="C37" s="4" t="n">
        <v>38565</v>
      </c>
      <c r="D37" s="5">
        <f>YEAR(C37)</f>
        <v/>
      </c>
      <c r="E37" s="5">
        <f>MONTH(C37)</f>
        <v/>
      </c>
      <c r="F37" s="38" t="inlineStr">
        <is>
          <t>18321 NFV  :TENDA ATACADO LTDA</t>
        </is>
      </c>
      <c r="G37" s="38" t="inlineStr">
        <is>
          <t>MARIO FRUGIS (01.04.01)</t>
        </is>
      </c>
      <c r="H37" s="38" t="inlineStr">
        <is>
          <t>NFV</t>
        </is>
      </c>
      <c r="I37" s="40" t="n">
        <v>34.06</v>
      </c>
      <c r="J37" s="40" t="n">
        <v>0</v>
      </c>
      <c r="K37" s="6">
        <f>I37-J37</f>
        <v/>
      </c>
      <c r="L37" s="6">
        <f>IF(H37="DISTRATO",0,I37)</f>
        <v/>
      </c>
    </row>
    <row r="38">
      <c r="A38" s="38" t="inlineStr">
        <is>
          <t>Conta corrente MFRUGIS05.XLS</t>
        </is>
      </c>
      <c r="B38" s="39" t="n">
        <v>38567</v>
      </c>
      <c r="C38" s="4" t="n">
        <v>38565</v>
      </c>
      <c r="D38" s="5">
        <f>YEAR(C38)</f>
        <v/>
      </c>
      <c r="E38" s="5">
        <f>MONTH(C38)</f>
        <v/>
      </c>
      <c r="F38" s="38" t="inlineStr">
        <is>
          <t>18322 NFV  :TENDA ATACADO LTDA</t>
        </is>
      </c>
      <c r="G38" s="38" t="inlineStr">
        <is>
          <t>MARIO FRUGIS (01.04.01)</t>
        </is>
      </c>
      <c r="H38" s="38" t="inlineStr">
        <is>
          <t>NFV</t>
        </is>
      </c>
      <c r="I38" s="40" t="n">
        <v>64.37</v>
      </c>
      <c r="J38" s="40" t="n">
        <v>0</v>
      </c>
      <c r="K38" s="6">
        <f>I38-J38</f>
        <v/>
      </c>
      <c r="L38" s="6">
        <f>IF(H38="DISTRATO",0,I38)</f>
        <v/>
      </c>
    </row>
    <row r="39">
      <c r="A39" s="38" t="inlineStr">
        <is>
          <t>Conta corrente MFRUGIS05.XLS</t>
        </is>
      </c>
      <c r="B39" s="39" t="n">
        <v>38582</v>
      </c>
      <c r="C39" s="4" t="n">
        <v>38565</v>
      </c>
      <c r="D39" s="5">
        <f>YEAR(C39)</f>
        <v/>
      </c>
      <c r="E39" s="5">
        <f>MONTH(C39)</f>
        <v/>
      </c>
      <c r="F39" s="38" t="inlineStr">
        <is>
          <t>DESC FRETE-NF 416049-TENDA ATACADO</t>
        </is>
      </c>
      <c r="G39" s="38" t="inlineStr">
        <is>
          <t>MARIO FRUGIS (01.04.01)</t>
        </is>
      </c>
      <c r="H39" s="38" t="inlineStr">
        <is>
          <t>DESCONTO</t>
        </is>
      </c>
      <c r="I39" s="40" t="n">
        <v>-187.86</v>
      </c>
      <c r="J39" s="40" t="n">
        <v>0</v>
      </c>
      <c r="K39" s="6">
        <f>I39-J39</f>
        <v/>
      </c>
      <c r="L39" s="6">
        <f>IF(H39="DISTRATO",0,I39)</f>
        <v/>
      </c>
    </row>
    <row r="40">
      <c r="A40" s="38" t="inlineStr">
        <is>
          <t>Conta corrente MFRUGIS05.XLS</t>
        </is>
      </c>
      <c r="B40" s="39" t="n">
        <v>38588</v>
      </c>
      <c r="C40" s="4" t="n">
        <v>38565</v>
      </c>
      <c r="D40" s="5">
        <f>YEAR(C40)</f>
        <v/>
      </c>
      <c r="E40" s="5">
        <f>MONTH(C40)</f>
        <v/>
      </c>
      <c r="F40" s="38" t="inlineStr">
        <is>
          <t>20856 NFV  :TENDA ATACADO LTDA</t>
        </is>
      </c>
      <c r="G40" s="38" t="inlineStr">
        <is>
          <t>MARIO FRUGIS (01.04.01)</t>
        </is>
      </c>
      <c r="H40" s="38" t="inlineStr">
        <is>
          <t>NFV</t>
        </is>
      </c>
      <c r="I40" s="40" t="n">
        <v>48.33</v>
      </c>
      <c r="J40" s="40" t="n">
        <v>0</v>
      </c>
      <c r="K40" s="6">
        <f>I40-J40</f>
        <v/>
      </c>
      <c r="L40" s="6">
        <f>IF(H40="DISTRATO",0,I40)</f>
        <v/>
      </c>
    </row>
    <row r="41">
      <c r="A41" s="38" t="inlineStr">
        <is>
          <t>Conta corrente MFRUGIS05.XLS</t>
        </is>
      </c>
      <c r="B41" s="39" t="n">
        <v>38588</v>
      </c>
      <c r="C41" s="4" t="n">
        <v>38565</v>
      </c>
      <c r="D41" s="5">
        <f>YEAR(C41)</f>
        <v/>
      </c>
      <c r="E41" s="5">
        <f>MONTH(C41)</f>
        <v/>
      </c>
      <c r="F41" s="38" t="inlineStr">
        <is>
          <t>20857 NFV  :TENDA ATACADO LTDA</t>
        </is>
      </c>
      <c r="G41" s="38" t="inlineStr">
        <is>
          <t>MARIO FRUGIS (01.04.01)</t>
        </is>
      </c>
      <c r="H41" s="38" t="inlineStr">
        <is>
          <t>NFV</t>
        </is>
      </c>
      <c r="I41" s="40" t="n">
        <v>45.9</v>
      </c>
      <c r="J41" s="40" t="n">
        <v>0</v>
      </c>
      <c r="K41" s="6">
        <f>I41-J41</f>
        <v/>
      </c>
      <c r="L41" s="6">
        <f>IF(H41="DISTRATO",0,I41)</f>
        <v/>
      </c>
    </row>
    <row r="42">
      <c r="A42" s="38" t="inlineStr">
        <is>
          <t>Conta corrente MFRUGIS05.XLS</t>
        </is>
      </c>
      <c r="B42" s="39" t="n">
        <v>38588</v>
      </c>
      <c r="C42" s="4" t="n">
        <v>38565</v>
      </c>
      <c r="D42" s="5">
        <f>YEAR(C42)</f>
        <v/>
      </c>
      <c r="E42" s="5">
        <f>MONTH(C42)</f>
        <v/>
      </c>
      <c r="F42" s="38" t="inlineStr">
        <is>
          <t>20860 NFV  :TENDA ATACADO LTDA</t>
        </is>
      </c>
      <c r="G42" s="38" t="inlineStr">
        <is>
          <t>MARIO FRUGIS (01.04.01)</t>
        </is>
      </c>
      <c r="H42" s="38" t="inlineStr">
        <is>
          <t>NFV</t>
        </is>
      </c>
      <c r="I42" s="40" t="n">
        <v>65.66</v>
      </c>
      <c r="J42" s="40" t="n">
        <v>0</v>
      </c>
      <c r="K42" s="6">
        <f>I42-J42</f>
        <v/>
      </c>
      <c r="L42" s="6">
        <f>IF(H42="DISTRATO",0,I42)</f>
        <v/>
      </c>
    </row>
    <row r="43">
      <c r="A43" s="38" t="inlineStr">
        <is>
          <t>Conta corrente MFRUGIS05.XLS</t>
        </is>
      </c>
      <c r="B43" s="39" t="n">
        <v>38589</v>
      </c>
      <c r="C43" s="4" t="n">
        <v>38565</v>
      </c>
      <c r="D43" s="5">
        <f>YEAR(C43)</f>
        <v/>
      </c>
      <c r="E43" s="5">
        <f>MONTH(C43)</f>
        <v/>
      </c>
      <c r="F43" s="38" t="inlineStr">
        <is>
          <t>20858 NFV  :TENDA ATACADO LTDA</t>
        </is>
      </c>
      <c r="G43" s="38" t="inlineStr">
        <is>
          <t>MARIO FRUGIS (01.04.01)</t>
        </is>
      </c>
      <c r="H43" s="38" t="inlineStr">
        <is>
          <t>NFV</t>
        </is>
      </c>
      <c r="I43" s="40" t="n">
        <v>126.5</v>
      </c>
      <c r="J43" s="40" t="n">
        <v>0</v>
      </c>
      <c r="K43" s="6">
        <f>I43-J43</f>
        <v/>
      </c>
      <c r="L43" s="6">
        <f>IF(H43="DISTRATO",0,I43)</f>
        <v/>
      </c>
    </row>
    <row r="44">
      <c r="A44" s="38" t="inlineStr">
        <is>
          <t>Conta corrente MFRUGIS05.XLS</t>
        </is>
      </c>
      <c r="B44" s="39" t="n">
        <v>38589</v>
      </c>
      <c r="C44" s="4" t="n">
        <v>38565</v>
      </c>
      <c r="D44" s="5">
        <f>YEAR(C44)</f>
        <v/>
      </c>
      <c r="E44" s="5">
        <f>MONTH(C44)</f>
        <v/>
      </c>
      <c r="F44" s="38" t="inlineStr">
        <is>
          <t>20859 NFV  :TENDA ATACADO LTDA</t>
        </is>
      </c>
      <c r="G44" s="38" t="inlineStr">
        <is>
          <t>MARIO FRUGIS (01.04.01)</t>
        </is>
      </c>
      <c r="H44" s="38" t="inlineStr">
        <is>
          <t>NFV</t>
        </is>
      </c>
      <c r="I44" s="40" t="n">
        <v>98.17</v>
      </c>
      <c r="J44" s="40" t="n">
        <v>0</v>
      </c>
      <c r="K44" s="6">
        <f>I44-J44</f>
        <v/>
      </c>
      <c r="L44" s="6">
        <f>IF(H44="DISTRATO",0,I44)</f>
        <v/>
      </c>
    </row>
    <row r="45">
      <c r="A45" s="38" t="inlineStr">
        <is>
          <t>Conta corrente MFRUGIS05.XLS</t>
        </is>
      </c>
      <c r="B45" s="39" t="n">
        <v>38609</v>
      </c>
      <c r="C45" s="4" t="n">
        <v>38596</v>
      </c>
      <c r="D45" s="5">
        <f>YEAR(C45)</f>
        <v/>
      </c>
      <c r="E45" s="5">
        <f>MONTH(C45)</f>
        <v/>
      </c>
      <c r="F45" s="38" t="inlineStr">
        <is>
          <t>16564 NFV  :TENDA ATACADO LTDA</t>
        </is>
      </c>
      <c r="G45" s="38" t="inlineStr">
        <is>
          <t>MARIO FRUGIS (01.04.01)</t>
        </is>
      </c>
      <c r="H45" s="38" t="inlineStr">
        <is>
          <t>NFV</t>
        </is>
      </c>
      <c r="I45" s="40" t="n">
        <v>22.62</v>
      </c>
      <c r="J45" s="40" t="n">
        <v>0</v>
      </c>
      <c r="K45" s="6">
        <f>I45-J45</f>
        <v/>
      </c>
      <c r="L45" s="6">
        <f>IF(H45="DISTRATO",0,I45)</f>
        <v/>
      </c>
    </row>
    <row r="46">
      <c r="A46" s="38" t="inlineStr">
        <is>
          <t>Conta corrente MFRUGIS05.XLS</t>
        </is>
      </c>
      <c r="B46" s="39" t="n">
        <v>38609</v>
      </c>
      <c r="C46" s="4" t="n">
        <v>38596</v>
      </c>
      <c r="D46" s="5">
        <f>YEAR(C46)</f>
        <v/>
      </c>
      <c r="E46" s="5">
        <f>MONTH(C46)</f>
        <v/>
      </c>
      <c r="F46" s="38" t="inlineStr">
        <is>
          <t>16565 NFV  :TENDA ATACADO LTDA</t>
        </is>
      </c>
      <c r="G46" s="38" t="inlineStr">
        <is>
          <t>MARIO FRUGIS (01.04.01)</t>
        </is>
      </c>
      <c r="H46" s="38" t="inlineStr">
        <is>
          <t>NFV</t>
        </is>
      </c>
      <c r="I46" s="40" t="n">
        <v>20.64</v>
      </c>
      <c r="J46" s="40" t="n">
        <v>0</v>
      </c>
      <c r="K46" s="6">
        <f>I46-J46</f>
        <v/>
      </c>
      <c r="L46" s="6">
        <f>IF(H46="DISTRATO",0,I46)</f>
        <v/>
      </c>
    </row>
    <row r="47">
      <c r="A47" s="38" t="inlineStr">
        <is>
          <t>Conta corrente MFRUGIS05.XLS</t>
        </is>
      </c>
      <c r="B47" s="39" t="n">
        <v>38610</v>
      </c>
      <c r="C47" s="4" t="n">
        <v>38596</v>
      </c>
      <c r="D47" s="5">
        <f>YEAR(C47)</f>
        <v/>
      </c>
      <c r="E47" s="5">
        <f>MONTH(C47)</f>
        <v/>
      </c>
      <c r="F47" s="38" t="inlineStr">
        <is>
          <t>16566 NFV  :TENDA ATACADO LTDA</t>
        </is>
      </c>
      <c r="G47" s="38" t="inlineStr">
        <is>
          <t>MARIO FRUGIS (01.04.01)</t>
        </is>
      </c>
      <c r="H47" s="38" t="inlineStr">
        <is>
          <t>NFV</t>
        </is>
      </c>
      <c r="I47" s="40" t="n">
        <v>30.39</v>
      </c>
      <c r="J47" s="40" t="n">
        <v>0</v>
      </c>
      <c r="K47" s="6">
        <f>I47-J47</f>
        <v/>
      </c>
      <c r="L47" s="6">
        <f>IF(H47="DISTRATO",0,I47)</f>
        <v/>
      </c>
    </row>
    <row r="48">
      <c r="A48" s="38" t="inlineStr">
        <is>
          <t>Conta corrente MFRUGIS05.XLS</t>
        </is>
      </c>
      <c r="B48" s="39" t="n">
        <v>38610</v>
      </c>
      <c r="C48" s="4" t="n">
        <v>38596</v>
      </c>
      <c r="D48" s="5">
        <f>YEAR(C48)</f>
        <v/>
      </c>
      <c r="E48" s="5">
        <f>MONTH(C48)</f>
        <v/>
      </c>
      <c r="F48" s="38" t="inlineStr">
        <is>
          <t>16568 NFV  :TENDA ATACADO LTDA</t>
        </is>
      </c>
      <c r="G48" s="38" t="inlineStr">
        <is>
          <t>MARIO FRUGIS (01.04.01)</t>
        </is>
      </c>
      <c r="H48" s="38" t="inlineStr">
        <is>
          <t>NFV</t>
        </is>
      </c>
      <c r="I48" s="40" t="n">
        <v>17.34</v>
      </c>
      <c r="J48" s="40" t="n">
        <v>0</v>
      </c>
      <c r="K48" s="6">
        <f>I48-J48</f>
        <v/>
      </c>
      <c r="L48" s="6">
        <f>IF(H48="DISTRATO",0,I48)</f>
        <v/>
      </c>
    </row>
    <row r="49">
      <c r="A49" s="38" t="inlineStr">
        <is>
          <t>Conta corrente MFRUGIS05.XLS</t>
        </is>
      </c>
      <c r="B49" s="39" t="n">
        <v>38614</v>
      </c>
      <c r="C49" s="4" t="n">
        <v>38596</v>
      </c>
      <c r="D49" s="5">
        <f>YEAR(C49)</f>
        <v/>
      </c>
      <c r="E49" s="5">
        <f>MONTH(C49)</f>
        <v/>
      </c>
      <c r="F49" s="38" t="inlineStr">
        <is>
          <t>16567 NFV  :TENDA ATACADO LTDA</t>
        </is>
      </c>
      <c r="G49" s="38" t="inlineStr">
        <is>
          <t>MARIO FRUGIS (01.04.01)</t>
        </is>
      </c>
      <c r="H49" s="38" t="inlineStr">
        <is>
          <t>NFV</t>
        </is>
      </c>
      <c r="I49" s="40" t="n">
        <v>40.89</v>
      </c>
      <c r="J49" s="40" t="n">
        <v>0</v>
      </c>
      <c r="K49" s="6">
        <f>I49-J49</f>
        <v/>
      </c>
      <c r="L49" s="6">
        <f>IF(H49="DISTRATO",0,I49)</f>
        <v/>
      </c>
    </row>
    <row r="50">
      <c r="A50" s="38" t="inlineStr">
        <is>
          <t>Conta corrente MFRUGIS05.XLS</t>
        </is>
      </c>
      <c r="B50" s="39" t="n">
        <v>38624</v>
      </c>
      <c r="C50" s="4" t="n">
        <v>38596</v>
      </c>
      <c r="D50" s="5">
        <f>YEAR(C50)</f>
        <v/>
      </c>
      <c r="E50" s="5">
        <f>MONTH(C50)</f>
        <v/>
      </c>
      <c r="F50" s="38" t="inlineStr">
        <is>
          <t>16549 NFV  :TENDA ATACADO LTDA</t>
        </is>
      </c>
      <c r="G50" s="38" t="inlineStr">
        <is>
          <t>MARIO FRUGIS (01.04.01)</t>
        </is>
      </c>
      <c r="H50" s="38" t="inlineStr">
        <is>
          <t>NFV</t>
        </is>
      </c>
      <c r="I50" s="40" t="n">
        <v>15.19</v>
      </c>
      <c r="J50" s="40" t="n">
        <v>0</v>
      </c>
      <c r="K50" s="6">
        <f>I50-J50</f>
        <v/>
      </c>
      <c r="L50" s="6">
        <f>IF(H50="DISTRATO",0,I50)</f>
        <v/>
      </c>
    </row>
    <row r="51">
      <c r="A51" s="38" t="inlineStr">
        <is>
          <t>Conta corrente MFRUGIS05.XLS</t>
        </is>
      </c>
      <c r="B51" s="39" t="n">
        <v>38624</v>
      </c>
      <c r="C51" s="4" t="n">
        <v>38596</v>
      </c>
      <c r="D51" s="5">
        <f>YEAR(C51)</f>
        <v/>
      </c>
      <c r="E51" s="5">
        <f>MONTH(C51)</f>
        <v/>
      </c>
      <c r="F51" s="38" t="inlineStr">
        <is>
          <t>16550 NFV  :TENDA ATACADO LTDA</t>
        </is>
      </c>
      <c r="G51" s="38" t="inlineStr">
        <is>
          <t>MARIO FRUGIS (01.04.01)</t>
        </is>
      </c>
      <c r="H51" s="38" t="inlineStr">
        <is>
          <t>NFV</t>
        </is>
      </c>
      <c r="I51" s="40" t="n">
        <v>11.47</v>
      </c>
      <c r="J51" s="40" t="n">
        <v>0</v>
      </c>
      <c r="K51" s="6">
        <f>I51-J51</f>
        <v/>
      </c>
      <c r="L51" s="6">
        <f>IF(H51="DISTRATO",0,I51)</f>
        <v/>
      </c>
    </row>
    <row r="52">
      <c r="A52" s="38" t="inlineStr">
        <is>
          <t>Conta corrente MFRUGIS05.XLS</t>
        </is>
      </c>
      <c r="B52" s="39" t="n">
        <v>38624</v>
      </c>
      <c r="C52" s="4" t="n">
        <v>38596</v>
      </c>
      <c r="D52" s="5">
        <f>YEAR(C52)</f>
        <v/>
      </c>
      <c r="E52" s="5">
        <f>MONTH(C52)</f>
        <v/>
      </c>
      <c r="F52" s="38" t="inlineStr">
        <is>
          <t>20901 NFV  :TENDA ATACADO LTDA</t>
        </is>
      </c>
      <c r="G52" s="38" t="inlineStr">
        <is>
          <t>MARIO FRUGIS (01.04.01)</t>
        </is>
      </c>
      <c r="H52" s="38" t="inlineStr">
        <is>
          <t>NFV</t>
        </is>
      </c>
      <c r="I52" s="40" t="n">
        <v>67.33</v>
      </c>
      <c r="J52" s="40" t="n">
        <v>0</v>
      </c>
      <c r="K52" s="6">
        <f>I52-J52</f>
        <v/>
      </c>
      <c r="L52" s="6">
        <f>IF(H52="DISTRATO",0,I52)</f>
        <v/>
      </c>
    </row>
    <row r="53">
      <c r="A53" s="38" t="inlineStr">
        <is>
          <t>Conta corrente MFRUGIS05.XLS</t>
        </is>
      </c>
      <c r="B53" s="39" t="n">
        <v>38624</v>
      </c>
      <c r="C53" s="4" t="n">
        <v>38596</v>
      </c>
      <c r="D53" s="5">
        <f>YEAR(C53)</f>
        <v/>
      </c>
      <c r="E53" s="5">
        <f>MONTH(C53)</f>
        <v/>
      </c>
      <c r="F53" s="38" t="inlineStr">
        <is>
          <t>20902 NFV  :TENDA ATACADO LTDA</t>
        </is>
      </c>
      <c r="G53" s="38" t="inlineStr">
        <is>
          <t>MARIO FRUGIS (01.04.01)</t>
        </is>
      </c>
      <c r="H53" s="38" t="inlineStr">
        <is>
          <t>NFV</t>
        </is>
      </c>
      <c r="I53" s="40" t="n">
        <v>49.13</v>
      </c>
      <c r="J53" s="40" t="n">
        <v>0</v>
      </c>
      <c r="K53" s="6">
        <f>I53-J53</f>
        <v/>
      </c>
      <c r="L53" s="6">
        <f>IF(H53="DISTRATO",0,I53)</f>
        <v/>
      </c>
    </row>
    <row r="54">
      <c r="A54" s="38" t="inlineStr">
        <is>
          <t>Conta corrente MFRUGIS05.XLS</t>
        </is>
      </c>
      <c r="B54" s="39" t="n">
        <v>38624</v>
      </c>
      <c r="C54" s="4" t="n">
        <v>38596</v>
      </c>
      <c r="D54" s="5">
        <f>YEAR(C54)</f>
        <v/>
      </c>
      <c r="E54" s="5">
        <f>MONTH(C54)</f>
        <v/>
      </c>
      <c r="F54" s="38" t="inlineStr">
        <is>
          <t>20903 NFV  :TENDA ATACADO LTDA</t>
        </is>
      </c>
      <c r="G54" s="38" t="inlineStr">
        <is>
          <t>MARIO FRUGIS (01.04.01)</t>
        </is>
      </c>
      <c r="H54" s="38" t="inlineStr">
        <is>
          <t>NFV</t>
        </is>
      </c>
      <c r="I54" s="40" t="n">
        <v>39.69</v>
      </c>
      <c r="J54" s="40" t="n">
        <v>0</v>
      </c>
      <c r="K54" s="6">
        <f>I54-J54</f>
        <v/>
      </c>
      <c r="L54" s="6">
        <f>IF(H54="DISTRATO",0,I54)</f>
        <v/>
      </c>
    </row>
    <row r="55">
      <c r="A55" s="38" t="inlineStr">
        <is>
          <t>Conta corrente MFRUGIS05.XLS</t>
        </is>
      </c>
      <c r="B55" s="39" t="n">
        <v>38644</v>
      </c>
      <c r="C55" s="4" t="n">
        <v>38626</v>
      </c>
      <c r="D55" s="5">
        <f>YEAR(C55)</f>
        <v/>
      </c>
      <c r="E55" s="5">
        <f>MONTH(C55)</f>
        <v/>
      </c>
      <c r="F55" s="38" t="inlineStr">
        <is>
          <t>7592 NFV  :TENDA ATACADO LTDA</t>
        </is>
      </c>
      <c r="G55" s="38" t="inlineStr">
        <is>
          <t>MARIO FRUGIS (01.04.01)</t>
        </is>
      </c>
      <c r="H55" s="38" t="inlineStr">
        <is>
          <t>NFV</t>
        </is>
      </c>
      <c r="I55" s="40" t="n">
        <v>21.02</v>
      </c>
      <c r="J55" s="40" t="n">
        <v>0</v>
      </c>
      <c r="K55" s="6">
        <f>I55-J55</f>
        <v/>
      </c>
      <c r="L55" s="6">
        <f>IF(H55="DISTRATO",0,I55)</f>
        <v/>
      </c>
    </row>
    <row r="56">
      <c r="A56" s="38" t="inlineStr">
        <is>
          <t>Conta corrente MFRUGIS05.XLS</t>
        </is>
      </c>
      <c r="B56" s="39" t="n">
        <v>38644</v>
      </c>
      <c r="C56" s="4" t="n">
        <v>38626</v>
      </c>
      <c r="D56" s="5">
        <f>YEAR(C56)</f>
        <v/>
      </c>
      <c r="E56" s="5">
        <f>MONTH(C56)</f>
        <v/>
      </c>
      <c r="F56" s="38" t="inlineStr">
        <is>
          <t>7593 NFV  :TENDA ATACADO LTDA</t>
        </is>
      </c>
      <c r="G56" s="38" t="inlineStr">
        <is>
          <t>MARIO FRUGIS (01.04.01)</t>
        </is>
      </c>
      <c r="H56" s="38" t="inlineStr">
        <is>
          <t>NFV</t>
        </is>
      </c>
      <c r="I56" s="40" t="n">
        <v>8.06</v>
      </c>
      <c r="J56" s="40" t="n">
        <v>0</v>
      </c>
      <c r="K56" s="6">
        <f>I56-J56</f>
        <v/>
      </c>
      <c r="L56" s="6">
        <f>IF(H56="DISTRATO",0,I56)</f>
        <v/>
      </c>
    </row>
    <row r="57">
      <c r="A57" s="38" t="inlineStr">
        <is>
          <t>Conta corrente MFRUGIS05.XLS</t>
        </is>
      </c>
      <c r="B57" s="39" t="n">
        <v>38645</v>
      </c>
      <c r="C57" s="4" t="n">
        <v>38626</v>
      </c>
      <c r="D57" s="5">
        <f>YEAR(C57)</f>
        <v/>
      </c>
      <c r="E57" s="5">
        <f>MONTH(C57)</f>
        <v/>
      </c>
      <c r="F57" s="38" t="inlineStr">
        <is>
          <t>7594 NFV  :TENDA ATACADO LTDA</t>
        </is>
      </c>
      <c r="G57" s="38" t="inlineStr">
        <is>
          <t>MARIO FRUGIS (01.04.01)</t>
        </is>
      </c>
      <c r="H57" s="38" t="inlineStr">
        <is>
          <t>NFV</t>
        </is>
      </c>
      <c r="I57" s="40" t="n">
        <v>35.11</v>
      </c>
      <c r="J57" s="40" t="n">
        <v>0</v>
      </c>
      <c r="K57" s="6">
        <f>I57-J57</f>
        <v/>
      </c>
      <c r="L57" s="6">
        <f>IF(H57="DISTRATO",0,I57)</f>
        <v/>
      </c>
    </row>
    <row r="58">
      <c r="A58" s="38" t="inlineStr">
        <is>
          <t>Conta corrente MFRUGIS05.XLS</t>
        </is>
      </c>
      <c r="B58" s="39" t="n">
        <v>38645</v>
      </c>
      <c r="C58" s="4" t="n">
        <v>38626</v>
      </c>
      <c r="D58" s="5">
        <f>YEAR(C58)</f>
        <v/>
      </c>
      <c r="E58" s="5">
        <f>MONTH(C58)</f>
        <v/>
      </c>
      <c r="F58" s="38" t="inlineStr">
        <is>
          <t>7595 NFV  :TENDA ATACADO LTDA</t>
        </is>
      </c>
      <c r="G58" s="38" t="inlineStr">
        <is>
          <t>MARIO FRUGIS (01.04.01)</t>
        </is>
      </c>
      <c r="H58" s="38" t="inlineStr">
        <is>
          <t>NFV</t>
        </is>
      </c>
      <c r="I58" s="40" t="n">
        <v>20.11</v>
      </c>
      <c r="J58" s="40" t="n">
        <v>0</v>
      </c>
      <c r="K58" s="6">
        <f>I58-J58</f>
        <v/>
      </c>
      <c r="L58" s="6">
        <f>IF(H58="DISTRATO",0,I58)</f>
        <v/>
      </c>
    </row>
    <row r="59">
      <c r="A59" s="38" t="inlineStr">
        <is>
          <t>Conta corrente MFRUGIS05.XLS</t>
        </is>
      </c>
      <c r="B59" s="39" t="n">
        <v>38645</v>
      </c>
      <c r="C59" s="4" t="n">
        <v>38626</v>
      </c>
      <c r="D59" s="5">
        <f>YEAR(C59)</f>
        <v/>
      </c>
      <c r="E59" s="5">
        <f>MONTH(C59)</f>
        <v/>
      </c>
      <c r="F59" s="38" t="inlineStr">
        <is>
          <t>7596 NFV  :TENDA ATACADO LTDA</t>
        </is>
      </c>
      <c r="G59" s="38" t="inlineStr">
        <is>
          <t>MARIO FRUGIS (01.04.01)</t>
        </is>
      </c>
      <c r="H59" s="38" t="inlineStr">
        <is>
          <t>NFV</t>
        </is>
      </c>
      <c r="I59" s="40" t="n">
        <v>20.93</v>
      </c>
      <c r="J59" s="40" t="n">
        <v>0</v>
      </c>
      <c r="K59" s="6">
        <f>I59-J59</f>
        <v/>
      </c>
      <c r="L59" s="6">
        <f>IF(H59="DISTRATO",0,I59)</f>
        <v/>
      </c>
    </row>
    <row r="60">
      <c r="A60" s="38" t="inlineStr">
        <is>
          <t>Conta corrente MFRUGIS05.XLS</t>
        </is>
      </c>
      <c r="B60" s="39" t="n">
        <v>38652</v>
      </c>
      <c r="C60" s="4" t="n">
        <v>38626</v>
      </c>
      <c r="D60" s="5">
        <f>YEAR(C60)</f>
        <v/>
      </c>
      <c r="E60" s="5">
        <f>MONTH(C60)</f>
        <v/>
      </c>
      <c r="F60" s="38" t="inlineStr">
        <is>
          <t>7617 NFV  :TENDA ATACADO LTDA</t>
        </is>
      </c>
      <c r="G60" s="38" t="inlineStr">
        <is>
          <t>MARIO FRUGIS (01.04.01)</t>
        </is>
      </c>
      <c r="H60" s="38" t="inlineStr">
        <is>
          <t>NFV</t>
        </is>
      </c>
      <c r="I60" s="40" t="n">
        <v>35.59</v>
      </c>
      <c r="J60" s="40" t="n">
        <v>0</v>
      </c>
      <c r="K60" s="6">
        <f>I60-J60</f>
        <v/>
      </c>
      <c r="L60" s="6">
        <f>IF(H60="DISTRATO",0,I60)</f>
        <v/>
      </c>
    </row>
    <row r="61">
      <c r="A61" s="38" t="inlineStr">
        <is>
          <t>Conta corrente MFRUGIS05.XLS</t>
        </is>
      </c>
      <c r="B61" s="39" t="n">
        <v>38652</v>
      </c>
      <c r="C61" s="4" t="n">
        <v>38626</v>
      </c>
      <c r="D61" s="5">
        <f>YEAR(C61)</f>
        <v/>
      </c>
      <c r="E61" s="5">
        <f>MONTH(C61)</f>
        <v/>
      </c>
      <c r="F61" s="38" t="inlineStr">
        <is>
          <t>7618 NFV  :TENDA ATACADO LTDA</t>
        </is>
      </c>
      <c r="G61" s="38" t="inlineStr">
        <is>
          <t>MARIO FRUGIS (01.04.01)</t>
        </is>
      </c>
      <c r="H61" s="38" t="inlineStr">
        <is>
          <t>NFV</t>
        </is>
      </c>
      <c r="I61" s="40" t="n">
        <v>43.68</v>
      </c>
      <c r="J61" s="40" t="n">
        <v>0</v>
      </c>
      <c r="K61" s="6">
        <f>I61-J61</f>
        <v/>
      </c>
      <c r="L61" s="6">
        <f>IF(H61="DISTRATO",0,I61)</f>
        <v/>
      </c>
    </row>
    <row r="62">
      <c r="A62" s="38" t="inlineStr">
        <is>
          <t>Conta corrente MFRUGIS05.XLS</t>
        </is>
      </c>
      <c r="B62" s="39" t="n">
        <v>38653</v>
      </c>
      <c r="C62" s="4" t="n">
        <v>38626</v>
      </c>
      <c r="D62" s="5">
        <f>YEAR(C62)</f>
        <v/>
      </c>
      <c r="E62" s="5">
        <f>MONTH(C62)</f>
        <v/>
      </c>
      <c r="F62" s="38" t="inlineStr">
        <is>
          <t>7616 NFV  :TENDA ATACADO LTDA</t>
        </is>
      </c>
      <c r="G62" s="38" t="inlineStr">
        <is>
          <t>MARIO FRUGIS (01.04.01)</t>
        </is>
      </c>
      <c r="H62" s="38" t="inlineStr">
        <is>
          <t>NFV</t>
        </is>
      </c>
      <c r="I62" s="40" t="n">
        <v>12.95</v>
      </c>
      <c r="J62" s="40" t="n">
        <v>0</v>
      </c>
      <c r="K62" s="6">
        <f>I62-J62</f>
        <v/>
      </c>
      <c r="L62" s="6">
        <f>IF(H62="DISTRATO",0,I62)</f>
        <v/>
      </c>
    </row>
    <row r="63">
      <c r="A63" s="38" t="inlineStr">
        <is>
          <t>Conta corrente MFRUGIS05.XLS</t>
        </is>
      </c>
      <c r="B63" s="39" t="n">
        <v>38653</v>
      </c>
      <c r="C63" s="4" t="n">
        <v>38626</v>
      </c>
      <c r="D63" s="5">
        <f>YEAR(C63)</f>
        <v/>
      </c>
      <c r="E63" s="5">
        <f>MONTH(C63)</f>
        <v/>
      </c>
      <c r="F63" s="38" t="inlineStr">
        <is>
          <t>7619 NFV  :TENDA ATACADO LTDA</t>
        </is>
      </c>
      <c r="G63" s="38" t="inlineStr">
        <is>
          <t>MARIO FRUGIS (01.04.01)</t>
        </is>
      </c>
      <c r="H63" s="38" t="inlineStr">
        <is>
          <t>NFV</t>
        </is>
      </c>
      <c r="I63" s="40" t="n">
        <v>45.24</v>
      </c>
      <c r="J63" s="40" t="n">
        <v>0</v>
      </c>
      <c r="K63" s="6">
        <f>I63-J63</f>
        <v/>
      </c>
      <c r="L63" s="6">
        <f>IF(H63="DISTRATO",0,I63)</f>
        <v/>
      </c>
    </row>
    <row r="64">
      <c r="A64" s="38" t="inlineStr">
        <is>
          <t>Conta corrente MFRUGIS05.XLS</t>
        </is>
      </c>
      <c r="B64" s="39" t="n">
        <v>38656</v>
      </c>
      <c r="C64" s="4" t="n">
        <v>38626</v>
      </c>
      <c r="D64" s="5">
        <f>YEAR(C64)</f>
        <v/>
      </c>
      <c r="E64" s="5">
        <f>MONTH(C64)</f>
        <v/>
      </c>
      <c r="F64" s="38" t="inlineStr">
        <is>
          <t>7615 NFV  :TENDA ATACADO LTDA</t>
        </is>
      </c>
      <c r="G64" s="38" t="inlineStr">
        <is>
          <t>MARIO FRUGIS (01.04.01)</t>
        </is>
      </c>
      <c r="H64" s="38" t="inlineStr">
        <is>
          <t>NFV</t>
        </is>
      </c>
      <c r="I64" s="40" t="n">
        <v>15.53</v>
      </c>
      <c r="J64" s="40" t="n">
        <v>0</v>
      </c>
      <c r="K64" s="6">
        <f>I64-J64</f>
        <v/>
      </c>
      <c r="L64" s="6">
        <f>IF(H64="DISTRATO",0,I64)</f>
        <v/>
      </c>
    </row>
    <row r="65">
      <c r="A65" s="38" t="inlineStr">
        <is>
          <t>Conta corrente MFRUGIS05.XLS</t>
        </is>
      </c>
      <c r="B65" s="39" t="n">
        <v>38660</v>
      </c>
      <c r="C65" s="4" t="n">
        <v>38657</v>
      </c>
      <c r="D65" s="5">
        <f>YEAR(C65)</f>
        <v/>
      </c>
      <c r="E65" s="5">
        <f>MONTH(C65)</f>
        <v/>
      </c>
      <c r="F65" s="38" t="inlineStr">
        <is>
          <t>7620 NFV  :TENDA ATACADO LTDA</t>
        </is>
      </c>
      <c r="G65" s="38" t="inlineStr">
        <is>
          <t>MARIO FRUGIS (01.04.01)</t>
        </is>
      </c>
      <c r="H65" s="38" t="inlineStr">
        <is>
          <t>NFV</t>
        </is>
      </c>
      <c r="I65" s="40" t="n">
        <v>18.09</v>
      </c>
      <c r="J65" s="40" t="n">
        <v>0</v>
      </c>
      <c r="K65" s="6">
        <f>I65-J65</f>
        <v/>
      </c>
      <c r="L65" s="6">
        <f>IF(H65="DISTRATO",0,I65)</f>
        <v/>
      </c>
    </row>
    <row r="66">
      <c r="A66" s="38" t="inlineStr">
        <is>
          <t>Conta corrente MFRUGIS05.XLS</t>
        </is>
      </c>
      <c r="B66" s="39" t="n">
        <v>38664</v>
      </c>
      <c r="C66" s="4" t="n">
        <v>38657</v>
      </c>
      <c r="D66" s="5">
        <f>YEAR(C66)</f>
        <v/>
      </c>
      <c r="E66" s="5">
        <f>MONTH(C66)</f>
        <v/>
      </c>
      <c r="F66" s="38" t="inlineStr">
        <is>
          <t>DEV  :TENDA ATACADO LTDA</t>
        </is>
      </c>
      <c r="G66" s="38" t="inlineStr">
        <is>
          <t>MARIO FRUGIS (01.04.01)</t>
        </is>
      </c>
      <c r="H66" s="38" t="inlineStr">
        <is>
          <t>DEVOLUCAO</t>
        </is>
      </c>
      <c r="I66" s="40" t="n">
        <v>-0.31</v>
      </c>
      <c r="J66" s="40" t="n">
        <v>0</v>
      </c>
      <c r="K66" s="6">
        <f>I66-J66</f>
        <v/>
      </c>
      <c r="L66" s="6">
        <f>IF(H66="DISTRATO",0,I66)</f>
        <v/>
      </c>
    </row>
    <row r="67">
      <c r="A67" s="38" t="inlineStr">
        <is>
          <t>Conta corrente MFRUGIS05.XLS</t>
        </is>
      </c>
      <c r="B67" s="39" t="n">
        <v>38666</v>
      </c>
      <c r="C67" s="4" t="n">
        <v>38657</v>
      </c>
      <c r="D67" s="5">
        <f>YEAR(C67)</f>
        <v/>
      </c>
      <c r="E67" s="5">
        <f>MONTH(C67)</f>
        <v/>
      </c>
      <c r="F67" s="38" t="inlineStr">
        <is>
          <t>7649 NFV  :TENDA ATACADO LTDA</t>
        </is>
      </c>
      <c r="G67" s="38" t="inlineStr">
        <is>
          <t>MARIO FRUGIS (01.04.01)</t>
        </is>
      </c>
      <c r="H67" s="38" t="inlineStr">
        <is>
          <t>NFV</t>
        </is>
      </c>
      <c r="I67" s="40" t="n">
        <v>66.39</v>
      </c>
      <c r="J67" s="40" t="n">
        <v>0</v>
      </c>
      <c r="K67" s="6">
        <f>I67-J67</f>
        <v/>
      </c>
      <c r="L67" s="6">
        <f>IF(H67="DISTRATO",0,I67)</f>
        <v/>
      </c>
    </row>
    <row r="68">
      <c r="A68" s="38" t="inlineStr">
        <is>
          <t>Conta corrente MFRUGIS05.XLS</t>
        </is>
      </c>
      <c r="B68" s="39" t="n">
        <v>38667</v>
      </c>
      <c r="C68" s="4" t="n">
        <v>38657</v>
      </c>
      <c r="D68" s="5">
        <f>YEAR(C68)</f>
        <v/>
      </c>
      <c r="E68" s="5">
        <f>MONTH(C68)</f>
        <v/>
      </c>
      <c r="F68" s="38" t="inlineStr">
        <is>
          <t>0001 NFV  :TENDA ATACADO LTDA</t>
        </is>
      </c>
      <c r="G68" s="38" t="inlineStr">
        <is>
          <t>MARIO FRUGIS (01.04.01)</t>
        </is>
      </c>
      <c r="H68" s="38" t="inlineStr">
        <is>
          <t>NFV</t>
        </is>
      </c>
      <c r="I68" s="40" t="n">
        <v>50.05</v>
      </c>
      <c r="J68" s="40" t="n">
        <v>0</v>
      </c>
      <c r="K68" s="6">
        <f>I68-J68</f>
        <v/>
      </c>
      <c r="L68" s="6">
        <f>IF(H68="DISTRATO",0,I68)</f>
        <v/>
      </c>
    </row>
    <row r="69">
      <c r="A69" s="38" t="inlineStr">
        <is>
          <t>Conta corrente MFRUGIS05.XLS</t>
        </is>
      </c>
      <c r="B69" s="39" t="n">
        <v>38667</v>
      </c>
      <c r="C69" s="4" t="n">
        <v>38657</v>
      </c>
      <c r="D69" s="5">
        <f>YEAR(C69)</f>
        <v/>
      </c>
      <c r="E69" s="5">
        <f>MONTH(C69)</f>
        <v/>
      </c>
      <c r="F69" s="38" t="inlineStr">
        <is>
          <t>0002 NFV  :TENDA ATACADO LTDA</t>
        </is>
      </c>
      <c r="G69" s="38" t="inlineStr">
        <is>
          <t>MARIO FRUGIS (01.04.01)</t>
        </is>
      </c>
      <c r="H69" s="38" t="inlineStr">
        <is>
          <t>NFV</t>
        </is>
      </c>
      <c r="I69" s="40" t="n">
        <v>30.84</v>
      </c>
      <c r="J69" s="40" t="n">
        <v>0</v>
      </c>
      <c r="K69" s="6">
        <f>I69-J69</f>
        <v/>
      </c>
      <c r="L69" s="6">
        <f>IF(H69="DISTRATO",0,I69)</f>
        <v/>
      </c>
    </row>
    <row r="70">
      <c r="A70" s="38" t="inlineStr">
        <is>
          <t>Conta corrente MFRUGIS05.XLS</t>
        </is>
      </c>
      <c r="B70" s="39" t="n">
        <v>38667</v>
      </c>
      <c r="C70" s="4" t="n">
        <v>38657</v>
      </c>
      <c r="D70" s="5">
        <f>YEAR(C70)</f>
        <v/>
      </c>
      <c r="E70" s="5">
        <f>MONTH(C70)</f>
        <v/>
      </c>
      <c r="F70" s="38" t="inlineStr">
        <is>
          <t>7647 NFV  :TENDA ATACADO LTDA</t>
        </is>
      </c>
      <c r="G70" s="38" t="inlineStr">
        <is>
          <t>MARIO FRUGIS (01.04.01)</t>
        </is>
      </c>
      <c r="H70" s="38" t="inlineStr">
        <is>
          <t>NFV</t>
        </is>
      </c>
      <c r="I70" s="40" t="n">
        <v>27.46</v>
      </c>
      <c r="J70" s="40" t="n">
        <v>0</v>
      </c>
      <c r="K70" s="6">
        <f>I70-J70</f>
        <v/>
      </c>
      <c r="L70" s="6">
        <f>IF(H70="DISTRATO",0,I70)</f>
        <v/>
      </c>
    </row>
    <row r="71">
      <c r="A71" s="38" t="inlineStr">
        <is>
          <t>Conta corrente MFRUGIS05.XLS</t>
        </is>
      </c>
      <c r="B71" s="39" t="n">
        <v>38667</v>
      </c>
      <c r="C71" s="4" t="n">
        <v>38657</v>
      </c>
      <c r="D71" s="5">
        <f>YEAR(C71)</f>
        <v/>
      </c>
      <c r="E71" s="5">
        <f>MONTH(C71)</f>
        <v/>
      </c>
      <c r="F71" s="38" t="inlineStr">
        <is>
          <t>7648 NFV  :TENDA ATACADO LTDA</t>
        </is>
      </c>
      <c r="G71" s="38" t="inlineStr">
        <is>
          <t>MARIO FRUGIS (01.04.01)</t>
        </is>
      </c>
      <c r="H71" s="38" t="inlineStr">
        <is>
          <t>NFV</t>
        </is>
      </c>
      <c r="I71" s="40" t="n">
        <v>27.46</v>
      </c>
      <c r="J71" s="40" t="n">
        <v>0</v>
      </c>
      <c r="K71" s="6">
        <f>I71-J71</f>
        <v/>
      </c>
      <c r="L71" s="6">
        <f>IF(H71="DISTRATO",0,I71)</f>
        <v/>
      </c>
    </row>
    <row r="72">
      <c r="A72" s="38" t="inlineStr">
        <is>
          <t>Conta corrente MFRUGIS05.XLS</t>
        </is>
      </c>
      <c r="B72" s="39" t="n">
        <v>38680</v>
      </c>
      <c r="C72" s="4" t="n">
        <v>38657</v>
      </c>
      <c r="D72" s="5">
        <f>YEAR(C72)</f>
        <v/>
      </c>
      <c r="E72" s="5">
        <f>MONTH(C72)</f>
        <v/>
      </c>
      <c r="F72" s="38" t="inlineStr">
        <is>
          <t>5553 NFV  :TENDA ATACADO LTDA</t>
        </is>
      </c>
      <c r="G72" s="38" t="inlineStr">
        <is>
          <t>MARIO FRUGIS (01.04.01)</t>
        </is>
      </c>
      <c r="H72" s="38" t="inlineStr">
        <is>
          <t>NFV</t>
        </is>
      </c>
      <c r="I72" s="40" t="n">
        <v>24.62</v>
      </c>
      <c r="J72" s="40" t="n">
        <v>0</v>
      </c>
      <c r="K72" s="6">
        <f>I72-J72</f>
        <v/>
      </c>
      <c r="L72" s="6">
        <f>IF(H72="DISTRATO",0,I72)</f>
        <v/>
      </c>
    </row>
    <row r="73">
      <c r="A73" s="38" t="inlineStr">
        <is>
          <t>Conta corrente MFRUGIS05.XLS</t>
        </is>
      </c>
      <c r="B73" s="39" t="n">
        <v>38681</v>
      </c>
      <c r="C73" s="4" t="n">
        <v>38657</v>
      </c>
      <c r="D73" s="5">
        <f>YEAR(C73)</f>
        <v/>
      </c>
      <c r="E73" s="5">
        <f>MONTH(C73)</f>
        <v/>
      </c>
      <c r="F73" s="38" t="inlineStr">
        <is>
          <t>5549 NFV  :TENDA ATACADO LTDA</t>
        </is>
      </c>
      <c r="G73" s="38" t="inlineStr">
        <is>
          <t>MARIO FRUGIS (01.04.01)</t>
        </is>
      </c>
      <c r="H73" s="38" t="inlineStr">
        <is>
          <t>NFV</t>
        </is>
      </c>
      <c r="I73" s="40" t="n">
        <v>5.74</v>
      </c>
      <c r="J73" s="40" t="n">
        <v>0</v>
      </c>
      <c r="K73" s="6">
        <f>I73-J73</f>
        <v/>
      </c>
      <c r="L73" s="6">
        <f>IF(H73="DISTRATO",0,I73)</f>
        <v/>
      </c>
    </row>
    <row r="74">
      <c r="A74" s="38" t="inlineStr">
        <is>
          <t>Conta corrente MFRUGIS05.XLS</t>
        </is>
      </c>
      <c r="B74" s="39" t="n">
        <v>38681</v>
      </c>
      <c r="C74" s="4" t="n">
        <v>38657</v>
      </c>
      <c r="D74" s="5">
        <f>YEAR(C74)</f>
        <v/>
      </c>
      <c r="E74" s="5">
        <f>MONTH(C74)</f>
        <v/>
      </c>
      <c r="F74" s="38" t="inlineStr">
        <is>
          <t>5550 NFV  :TENDA ATACADO LTDA</t>
        </is>
      </c>
      <c r="G74" s="38" t="inlineStr">
        <is>
          <t>MARIO FRUGIS (01.04.01)</t>
        </is>
      </c>
      <c r="H74" s="38" t="inlineStr">
        <is>
          <t>NFV</t>
        </is>
      </c>
      <c r="I74" s="40" t="n">
        <v>6.57</v>
      </c>
      <c r="J74" s="40" t="n">
        <v>0</v>
      </c>
      <c r="K74" s="6">
        <f>I74-J74</f>
        <v/>
      </c>
      <c r="L74" s="6">
        <f>IF(H74="DISTRATO",0,I74)</f>
        <v/>
      </c>
    </row>
    <row r="75">
      <c r="A75" s="38" t="inlineStr">
        <is>
          <t>Conta corrente MFRUGIS05.XLS</t>
        </is>
      </c>
      <c r="B75" s="39" t="n">
        <v>38684</v>
      </c>
      <c r="C75" s="4" t="n">
        <v>38657</v>
      </c>
      <c r="D75" s="5">
        <f>YEAR(C75)</f>
        <v/>
      </c>
      <c r="E75" s="5">
        <f>MONTH(C75)</f>
        <v/>
      </c>
      <c r="F75" s="38" t="inlineStr">
        <is>
          <t>5551 NFV  :TENDA ATACADO LTDA</t>
        </is>
      </c>
      <c r="G75" s="38" t="inlineStr">
        <is>
          <t>MARIO FRUGIS (01.04.01)</t>
        </is>
      </c>
      <c r="H75" s="38" t="inlineStr">
        <is>
          <t>NFV</t>
        </is>
      </c>
      <c r="I75" s="40" t="n">
        <v>52.69</v>
      </c>
      <c r="J75" s="40" t="n">
        <v>0</v>
      </c>
      <c r="K75" s="6">
        <f>I75-J75</f>
        <v/>
      </c>
      <c r="L75" s="6">
        <f>IF(H75="DISTRATO",0,I75)</f>
        <v/>
      </c>
    </row>
    <row r="76">
      <c r="A76" s="38" t="inlineStr">
        <is>
          <t>Conta corrente MFRUGIS05.XLS</t>
        </is>
      </c>
      <c r="B76" s="39" t="n">
        <v>38684</v>
      </c>
      <c r="C76" s="4" t="n">
        <v>38657</v>
      </c>
      <c r="D76" s="5">
        <f>YEAR(C76)</f>
        <v/>
      </c>
      <c r="E76" s="5">
        <f>MONTH(C76)</f>
        <v/>
      </c>
      <c r="F76" s="38" t="inlineStr">
        <is>
          <t>5552 NFV  :TENDA ATACADO LTDA</t>
        </is>
      </c>
      <c r="G76" s="38" t="inlineStr">
        <is>
          <t>MARIO FRUGIS (01.04.01)</t>
        </is>
      </c>
      <c r="H76" s="38" t="inlineStr">
        <is>
          <t>NFV</t>
        </is>
      </c>
      <c r="I76" s="40" t="n">
        <v>43.52</v>
      </c>
      <c r="J76" s="40" t="n">
        <v>0</v>
      </c>
      <c r="K76" s="6">
        <f>I76-J76</f>
        <v/>
      </c>
      <c r="L76" s="6">
        <f>IF(H76="DISTRATO",0,I76)</f>
        <v/>
      </c>
    </row>
    <row r="77">
      <c r="A77" s="38" t="inlineStr">
        <is>
          <t>Conta corrente MFRUGIS05.XLS</t>
        </is>
      </c>
      <c r="B77" s="39" t="n">
        <v>38684</v>
      </c>
      <c r="C77" s="4" t="n">
        <v>38657</v>
      </c>
      <c r="D77" s="5">
        <f>YEAR(C77)</f>
        <v/>
      </c>
      <c r="E77" s="5">
        <f>MONTH(C77)</f>
        <v/>
      </c>
      <c r="F77" s="38" t="inlineStr">
        <is>
          <t>5554 BONIF:TENDA ATACADO LTDA</t>
        </is>
      </c>
      <c r="G77" s="38" t="inlineStr">
        <is>
          <t>MARIO FRUGIS (01.04.01)</t>
        </is>
      </c>
      <c r="H77" s="38" t="inlineStr">
        <is>
          <t>BONIFICACAO</t>
        </is>
      </c>
      <c r="I77" s="40" t="n">
        <v>-52.37</v>
      </c>
      <c r="J77" s="40" t="n">
        <v>0</v>
      </c>
      <c r="K77" s="6">
        <f>I77-J77</f>
        <v/>
      </c>
      <c r="L77" s="6">
        <f>IF(H77="DISTRATO",0,I77)</f>
        <v/>
      </c>
    </row>
    <row r="78">
      <c r="A78" s="38" t="inlineStr">
        <is>
          <t>Conta corrente MFRUGIS05.XLS</t>
        </is>
      </c>
      <c r="B78" s="39" t="n">
        <v>38684</v>
      </c>
      <c r="C78" s="4" t="n">
        <v>38657</v>
      </c>
      <c r="D78" s="5">
        <f>YEAR(C78)</f>
        <v/>
      </c>
      <c r="E78" s="5">
        <f>MONTH(C78)</f>
        <v/>
      </c>
      <c r="F78" s="38" t="inlineStr">
        <is>
          <t>5555 BONIF:TENDA ATACADO LTDA</t>
        </is>
      </c>
      <c r="G78" s="38" t="inlineStr">
        <is>
          <t>MARIO FRUGIS (01.04.01)</t>
        </is>
      </c>
      <c r="H78" s="38" t="inlineStr">
        <is>
          <t>BONIFICACAO</t>
        </is>
      </c>
      <c r="I78" s="40" t="n">
        <v>-46.9</v>
      </c>
      <c r="J78" s="40" t="n">
        <v>0</v>
      </c>
      <c r="K78" s="6">
        <f>I78-J78</f>
        <v/>
      </c>
      <c r="L78" s="6">
        <f>IF(H78="DISTRATO",0,I78)</f>
        <v/>
      </c>
    </row>
    <row r="79">
      <c r="A79" s="38" t="inlineStr">
        <is>
          <t>Conta corrente MFRUGIS05.XLS</t>
        </is>
      </c>
      <c r="B79" s="39" t="n">
        <v>38694</v>
      </c>
      <c r="C79" s="4" t="n">
        <v>38687</v>
      </c>
      <c r="D79" s="5">
        <f>YEAR(C79)</f>
        <v/>
      </c>
      <c r="E79" s="5">
        <f>MONTH(C79)</f>
        <v/>
      </c>
      <c r="F79" s="38" t="inlineStr">
        <is>
          <t>5594 NFV  :TENDA ATACADO LTDA</t>
        </is>
      </c>
      <c r="G79" s="38" t="inlineStr">
        <is>
          <t>MARIO FRUGIS (01.04.01)</t>
        </is>
      </c>
      <c r="H79" s="38" t="inlineStr">
        <is>
          <t>NFV</t>
        </is>
      </c>
      <c r="I79" s="40" t="n">
        <v>35.74</v>
      </c>
      <c r="J79" s="40" t="n">
        <v>0</v>
      </c>
      <c r="K79" s="6">
        <f>I79-J79</f>
        <v/>
      </c>
      <c r="L79" s="6">
        <f>IF(H79="DISTRATO",0,I79)</f>
        <v/>
      </c>
    </row>
    <row r="80">
      <c r="A80" s="38" t="inlineStr">
        <is>
          <t>Conta corrente MFRUGIS05.XLS</t>
        </is>
      </c>
      <c r="B80" s="39" t="n">
        <v>38694</v>
      </c>
      <c r="C80" s="4" t="n">
        <v>38687</v>
      </c>
      <c r="D80" s="5">
        <f>YEAR(C80)</f>
        <v/>
      </c>
      <c r="E80" s="5">
        <f>MONTH(C80)</f>
        <v/>
      </c>
      <c r="F80" s="38" t="inlineStr">
        <is>
          <t>5595 NFV  :TENDA ATACADO LTDA</t>
        </is>
      </c>
      <c r="G80" s="38" t="inlineStr">
        <is>
          <t>MARIO FRUGIS (01.04.01)</t>
        </is>
      </c>
      <c r="H80" s="38" t="inlineStr">
        <is>
          <t>NFV</t>
        </is>
      </c>
      <c r="I80" s="40" t="n">
        <v>21.26</v>
      </c>
      <c r="J80" s="40" t="n">
        <v>0</v>
      </c>
      <c r="K80" s="6">
        <f>I80-J80</f>
        <v/>
      </c>
      <c r="L80" s="6">
        <f>IF(H80="DISTRATO",0,I80)</f>
        <v/>
      </c>
    </row>
    <row r="81">
      <c r="A81" s="38" t="inlineStr">
        <is>
          <t>Conta corrente MFRUGIS05.XLS</t>
        </is>
      </c>
      <c r="B81" s="39" t="n">
        <v>38695</v>
      </c>
      <c r="C81" s="4" t="n">
        <v>38687</v>
      </c>
      <c r="D81" s="5">
        <f>YEAR(C81)</f>
        <v/>
      </c>
      <c r="E81" s="5">
        <f>MONTH(C81)</f>
        <v/>
      </c>
      <c r="F81" s="38" t="inlineStr">
        <is>
          <t>5596 NFV  :TENDA ATACADO LTDA</t>
        </is>
      </c>
      <c r="G81" s="38" t="inlineStr">
        <is>
          <t>MARIO FRUGIS (01.04.01)</t>
        </is>
      </c>
      <c r="H81" s="38" t="inlineStr">
        <is>
          <t>NFV</t>
        </is>
      </c>
      <c r="I81" s="40" t="n">
        <v>43.92</v>
      </c>
      <c r="J81" s="40" t="n">
        <v>0</v>
      </c>
      <c r="K81" s="6">
        <f>I81-J81</f>
        <v/>
      </c>
      <c r="L81" s="6">
        <f>IF(H81="DISTRATO",0,I81)</f>
        <v/>
      </c>
    </row>
    <row r="82">
      <c r="A82" s="38" t="inlineStr">
        <is>
          <t>Conta corrente MFRUGIS05.XLS</t>
        </is>
      </c>
      <c r="B82" s="39" t="n">
        <v>38695</v>
      </c>
      <c r="C82" s="4" t="n">
        <v>38687</v>
      </c>
      <c r="D82" s="5">
        <f>YEAR(C82)</f>
        <v/>
      </c>
      <c r="E82" s="5">
        <f>MONTH(C82)</f>
        <v/>
      </c>
      <c r="F82" s="38" t="inlineStr">
        <is>
          <t>5597 NFV  :TENDA ATACADO LTDA</t>
        </is>
      </c>
      <c r="G82" s="38" t="inlineStr">
        <is>
          <t>MARIO FRUGIS (01.04.01)</t>
        </is>
      </c>
      <c r="H82" s="38" t="inlineStr">
        <is>
          <t>NFV</t>
        </is>
      </c>
      <c r="I82" s="40" t="n">
        <v>52.87</v>
      </c>
      <c r="J82" s="40" t="n">
        <v>0</v>
      </c>
      <c r="K82" s="6">
        <f>I82-J82</f>
        <v/>
      </c>
      <c r="L82" s="6">
        <f>IF(H82="DISTRATO",0,I82)</f>
        <v/>
      </c>
    </row>
    <row r="83">
      <c r="A83" s="38" t="inlineStr">
        <is>
          <t>Conta corrente MFRUGIS05.XLS</t>
        </is>
      </c>
      <c r="B83" s="39" t="n">
        <v>38695</v>
      </c>
      <c r="C83" s="4" t="n">
        <v>38687</v>
      </c>
      <c r="D83" s="5">
        <f>YEAR(C83)</f>
        <v/>
      </c>
      <c r="E83" s="5">
        <f>MONTH(C83)</f>
        <v/>
      </c>
      <c r="F83" s="38" t="inlineStr">
        <is>
          <t>5598 NFV  :TENDA ATACADO LTDA</t>
        </is>
      </c>
      <c r="G83" s="38" t="inlineStr">
        <is>
          <t>MARIO FRUGIS (01.04.01)</t>
        </is>
      </c>
      <c r="H83" s="38" t="inlineStr">
        <is>
          <t>NFV</t>
        </is>
      </c>
      <c r="I83" s="40" t="n">
        <v>49.53</v>
      </c>
      <c r="J83" s="40" t="n">
        <v>0</v>
      </c>
      <c r="K83" s="6">
        <f>I83-J83</f>
        <v/>
      </c>
      <c r="L83" s="6">
        <f>IF(H83="DISTRATO",0,I83)</f>
        <v/>
      </c>
    </row>
    <row r="84">
      <c r="A84" s="38" t="inlineStr">
        <is>
          <t>Conta corrente MFRUGIS05.XLS</t>
        </is>
      </c>
      <c r="B84" s="39" t="n">
        <v>38695</v>
      </c>
      <c r="C84" s="4" t="n">
        <v>38687</v>
      </c>
      <c r="D84" s="5">
        <f>YEAR(C84)</f>
        <v/>
      </c>
      <c r="E84" s="5">
        <f>MONTH(C84)</f>
        <v/>
      </c>
      <c r="F84" s="38" t="inlineStr">
        <is>
          <t>5599 NFV  :TENDA ATACADO LTDA</t>
        </is>
      </c>
      <c r="G84" s="38" t="inlineStr">
        <is>
          <t>MARIO FRUGIS (01.04.01)</t>
        </is>
      </c>
      <c r="H84" s="38" t="inlineStr">
        <is>
          <t>NFV</t>
        </is>
      </c>
      <c r="I84" s="40" t="n">
        <v>25.76</v>
      </c>
      <c r="J84" s="40" t="n">
        <v>0</v>
      </c>
      <c r="K84" s="6">
        <f>I84-J84</f>
        <v/>
      </c>
      <c r="L84" s="6">
        <f>IF(H84="DISTRATO",0,I84)</f>
        <v/>
      </c>
    </row>
    <row r="85">
      <c r="A85" s="38" t="inlineStr">
        <is>
          <t>Conta corrente MFRUGIS05.XLS</t>
        </is>
      </c>
      <c r="B85" s="39" t="n">
        <v>38709</v>
      </c>
      <c r="C85" s="4" t="n">
        <v>38687</v>
      </c>
      <c r="D85" s="5">
        <f>YEAR(C85)</f>
        <v/>
      </c>
      <c r="E85" s="5">
        <f>MONTH(C85)</f>
        <v/>
      </c>
      <c r="F85" s="38" t="inlineStr">
        <is>
          <t>5627 NFV  :TENDA ATACADO LTDA</t>
        </is>
      </c>
      <c r="G85" s="38" t="inlineStr">
        <is>
          <t>MARIO FRUGIS (01.04.01)</t>
        </is>
      </c>
      <c r="H85" s="38" t="inlineStr">
        <is>
          <t>NFV</t>
        </is>
      </c>
      <c r="I85" s="40" t="n">
        <v>53.52</v>
      </c>
      <c r="J85" s="40" t="n">
        <v>0</v>
      </c>
      <c r="K85" s="6">
        <f>I85-J85</f>
        <v/>
      </c>
      <c r="L85" s="6">
        <f>IF(H85="DISTRATO",0,I85)</f>
        <v/>
      </c>
    </row>
    <row r="86">
      <c r="A86" s="38" t="inlineStr">
        <is>
          <t>Conta corrente MFRUGIS05.XLS</t>
        </is>
      </c>
      <c r="B86" s="39" t="n">
        <v>38709</v>
      </c>
      <c r="C86" s="4" t="n">
        <v>38687</v>
      </c>
      <c r="D86" s="5">
        <f>YEAR(C86)</f>
        <v/>
      </c>
      <c r="E86" s="5">
        <f>MONTH(C86)</f>
        <v/>
      </c>
      <c r="F86" s="38" t="inlineStr">
        <is>
          <t>5630 NFV  :TENDA ATACADO LTDA</t>
        </is>
      </c>
      <c r="G86" s="38" t="inlineStr">
        <is>
          <t>MARIO FRUGIS (01.04.01)</t>
        </is>
      </c>
      <c r="H86" s="38" t="inlineStr">
        <is>
          <t>NFV</t>
        </is>
      </c>
      <c r="I86" s="40" t="n">
        <v>81.79000000000001</v>
      </c>
      <c r="J86" s="40" t="n">
        <v>0</v>
      </c>
      <c r="K86" s="6">
        <f>I86-J86</f>
        <v/>
      </c>
      <c r="L86" s="6">
        <f>IF(H86="DISTRATO",0,I86)</f>
        <v/>
      </c>
    </row>
    <row r="87">
      <c r="A87" s="38" t="inlineStr">
        <is>
          <t>Conta corrente MFRUGIS05.XLS</t>
        </is>
      </c>
      <c r="B87" s="39" t="n">
        <v>38709</v>
      </c>
      <c r="C87" s="4" t="n">
        <v>38687</v>
      </c>
      <c r="D87" s="5">
        <f>YEAR(C87)</f>
        <v/>
      </c>
      <c r="E87" s="5">
        <f>MONTH(C87)</f>
        <v/>
      </c>
      <c r="F87" s="38" t="inlineStr">
        <is>
          <t>5634 NFV  :TENDA ATACADO LTDA</t>
        </is>
      </c>
      <c r="G87" s="38" t="inlineStr">
        <is>
          <t>MARIO FRUGIS (01.04.01)</t>
        </is>
      </c>
      <c r="H87" s="38" t="inlineStr">
        <is>
          <t>NFV</t>
        </is>
      </c>
      <c r="I87" s="40" t="n">
        <v>27.33</v>
      </c>
      <c r="J87" s="40" t="n">
        <v>0</v>
      </c>
      <c r="K87" s="6">
        <f>I87-J87</f>
        <v/>
      </c>
      <c r="L87" s="6">
        <f>IF(H87="DISTRATO",0,I87)</f>
        <v/>
      </c>
    </row>
    <row r="88">
      <c r="A88" s="38" t="inlineStr">
        <is>
          <t>Conta corrente MFRUGIS05.XLS</t>
        </is>
      </c>
      <c r="B88" s="39" t="n">
        <v>38712</v>
      </c>
      <c r="C88" s="4" t="n">
        <v>38687</v>
      </c>
      <c r="D88" s="5">
        <f>YEAR(C88)</f>
        <v/>
      </c>
      <c r="E88" s="5">
        <f>MONTH(C88)</f>
        <v/>
      </c>
      <c r="F88" s="38" t="inlineStr">
        <is>
          <t>5628 NFV  :TENDA ATACADO LTDA</t>
        </is>
      </c>
      <c r="G88" s="38" t="inlineStr">
        <is>
          <t>MARIO FRUGIS (01.04.01)</t>
        </is>
      </c>
      <c r="H88" s="38" t="inlineStr">
        <is>
          <t>NFV</t>
        </is>
      </c>
      <c r="I88" s="40" t="n">
        <v>50.72</v>
      </c>
      <c r="J88" s="40" t="n">
        <v>0</v>
      </c>
      <c r="K88" s="6">
        <f>I88-J88</f>
        <v/>
      </c>
      <c r="L88" s="6">
        <f>IF(H88="DISTRATO",0,I88)</f>
        <v/>
      </c>
    </row>
    <row r="89">
      <c r="A89" s="38" t="inlineStr">
        <is>
          <t>Conta corrente MFRUGIS05.XLS</t>
        </is>
      </c>
      <c r="B89" s="39" t="n">
        <v>38712</v>
      </c>
      <c r="C89" s="4" t="n">
        <v>38687</v>
      </c>
      <c r="D89" s="5">
        <f>YEAR(C89)</f>
        <v/>
      </c>
      <c r="E89" s="5">
        <f>MONTH(C89)</f>
        <v/>
      </c>
      <c r="F89" s="38" t="inlineStr">
        <is>
          <t>5631 NFV  :TENDA ATACADO LTDA</t>
        </is>
      </c>
      <c r="G89" s="38" t="inlineStr">
        <is>
          <t>MARIO FRUGIS (01.04.01)</t>
        </is>
      </c>
      <c r="H89" s="38" t="inlineStr">
        <is>
          <t>NFV</t>
        </is>
      </c>
      <c r="I89" s="40" t="n">
        <v>94.48999999999999</v>
      </c>
      <c r="J89" s="40" t="n">
        <v>0</v>
      </c>
      <c r="K89" s="6">
        <f>I89-J89</f>
        <v/>
      </c>
      <c r="L89" s="6">
        <f>IF(H89="DISTRATO",0,I89)</f>
        <v/>
      </c>
    </row>
    <row r="90">
      <c r="A90" s="38" t="inlineStr">
        <is>
          <t>Conta corrente MFRUGIS05.XLS</t>
        </is>
      </c>
      <c r="B90" s="39" t="n">
        <v>38712</v>
      </c>
      <c r="C90" s="4" t="n">
        <v>38687</v>
      </c>
      <c r="D90" s="5">
        <f>YEAR(C90)</f>
        <v/>
      </c>
      <c r="E90" s="5">
        <f>MONTH(C90)</f>
        <v/>
      </c>
      <c r="F90" s="38" t="inlineStr">
        <is>
          <t>5632 NFV  :TENDA ATACADO LTDA</t>
        </is>
      </c>
      <c r="G90" s="38" t="inlineStr">
        <is>
          <t>MARIO FRUGIS (01.04.01)</t>
        </is>
      </c>
      <c r="H90" s="38" t="inlineStr">
        <is>
          <t>NFV</t>
        </is>
      </c>
      <c r="I90" s="40" t="n">
        <v>32.75</v>
      </c>
      <c r="J90" s="40" t="n">
        <v>0</v>
      </c>
      <c r="K90" s="6">
        <f>I90-J90</f>
        <v/>
      </c>
      <c r="L90" s="6">
        <f>IF(H90="DISTRATO",0,I90)</f>
        <v/>
      </c>
    </row>
    <row r="91">
      <c r="A91" s="38" t="inlineStr">
        <is>
          <t>Conta corrente MFRUGIS05.XLS</t>
        </is>
      </c>
      <c r="B91" s="39" t="n">
        <v>38712</v>
      </c>
      <c r="C91" s="4" t="n">
        <v>38687</v>
      </c>
      <c r="D91" s="5">
        <f>YEAR(C91)</f>
        <v/>
      </c>
      <c r="E91" s="5">
        <f>MONTH(C91)</f>
        <v/>
      </c>
      <c r="F91" s="38" t="inlineStr">
        <is>
          <t>5635 BONIF:TENDA ATACADO LTDA</t>
        </is>
      </c>
      <c r="G91" s="38" t="inlineStr">
        <is>
          <t>MARIO FRUGIS (01.04.01)</t>
        </is>
      </c>
      <c r="H91" s="38" t="inlineStr">
        <is>
          <t>BONIFICACAO</t>
        </is>
      </c>
      <c r="I91" s="40" t="n">
        <v>-23.41</v>
      </c>
      <c r="J91" s="40" t="n">
        <v>0</v>
      </c>
      <c r="K91" s="6">
        <f>I91-J91</f>
        <v/>
      </c>
      <c r="L91" s="6">
        <f>IF(H91="DISTRATO",0,I91)</f>
        <v/>
      </c>
    </row>
    <row r="92">
      <c r="A92" s="38" t="inlineStr">
        <is>
          <t>Conta corrente MFRUGIS05.XLS</t>
        </is>
      </c>
      <c r="B92" s="39" t="n">
        <v>38712</v>
      </c>
      <c r="C92" s="4" t="n">
        <v>38687</v>
      </c>
      <c r="D92" s="5">
        <f>YEAR(C92)</f>
        <v/>
      </c>
      <c r="E92" s="5">
        <f>MONTH(C92)</f>
        <v/>
      </c>
      <c r="F92" s="38" t="inlineStr">
        <is>
          <t>5636 BONIF:TENDA ATACADO LTDA</t>
        </is>
      </c>
      <c r="G92" s="38" t="inlineStr">
        <is>
          <t>MARIO FRUGIS (01.04.01)</t>
        </is>
      </c>
      <c r="H92" s="38" t="inlineStr">
        <is>
          <t>BONIFICACAO</t>
        </is>
      </c>
      <c r="I92" s="40" t="n">
        <v>-16.6</v>
      </c>
      <c r="J92" s="40" t="n">
        <v>0</v>
      </c>
      <c r="K92" s="6">
        <f>I92-J92</f>
        <v/>
      </c>
      <c r="L92" s="6">
        <f>IF(H92="DISTRATO",0,I92)</f>
        <v/>
      </c>
    </row>
    <row r="93">
      <c r="A93" s="38" t="inlineStr">
        <is>
          <t>Conta corrente MFRUGIS05.XLS</t>
        </is>
      </c>
      <c r="B93" s="39" t="n">
        <v>38713</v>
      </c>
      <c r="C93" s="4" t="n">
        <v>38687</v>
      </c>
      <c r="D93" s="5">
        <f>YEAR(C93)</f>
        <v/>
      </c>
      <c r="E93" s="5">
        <f>MONTH(C93)</f>
        <v/>
      </c>
      <c r="F93" s="38" t="inlineStr">
        <is>
          <t>5629 NFV  :TENDA ATACADO LTDA</t>
        </is>
      </c>
      <c r="G93" s="38" t="inlineStr">
        <is>
          <t>MARIO FRUGIS (01.04.01)</t>
        </is>
      </c>
      <c r="H93" s="38" t="inlineStr">
        <is>
          <t>NFV</t>
        </is>
      </c>
      <c r="I93" s="40" t="n">
        <v>94.5</v>
      </c>
      <c r="J93" s="40" t="n">
        <v>0</v>
      </c>
      <c r="K93" s="6">
        <f>I93-J93</f>
        <v/>
      </c>
      <c r="L93" s="6">
        <f>IF(H93="DISTRATO",0,I93)</f>
        <v/>
      </c>
    </row>
    <row r="94">
      <c r="A94" s="38" t="inlineStr">
        <is>
          <t>Conta corrente MFRUGIS05.XLS</t>
        </is>
      </c>
      <c r="B94" s="39" t="n">
        <v>38713</v>
      </c>
      <c r="C94" s="4" t="n">
        <v>38687</v>
      </c>
      <c r="D94" s="5">
        <f>YEAR(C94)</f>
        <v/>
      </c>
      <c r="E94" s="5">
        <f>MONTH(C94)</f>
        <v/>
      </c>
      <c r="F94" s="38" t="inlineStr">
        <is>
          <t>5633 BONIF:TENDA ATACADO LTDA</t>
        </is>
      </c>
      <c r="G94" s="38" t="inlineStr">
        <is>
          <t>MARIO FRUGIS (01.04.01)</t>
        </is>
      </c>
      <c r="H94" s="38" t="inlineStr">
        <is>
          <t>BONIFICACAO</t>
        </is>
      </c>
      <c r="I94" s="40" t="n">
        <v>-30.78</v>
      </c>
      <c r="J94" s="40" t="n">
        <v>0</v>
      </c>
      <c r="K94" s="6">
        <f>I94-J94</f>
        <v/>
      </c>
      <c r="L94" s="6">
        <f>IF(H94="DISTRATO",0,I94)</f>
        <v/>
      </c>
    </row>
    <row r="95">
      <c r="A95" s="38" t="inlineStr">
        <is>
          <t>Conta corrente MFRUGIS05.XLS</t>
        </is>
      </c>
      <c r="B95" s="39" t="n">
        <v>38716</v>
      </c>
      <c r="C95" s="4" t="n">
        <v>38687</v>
      </c>
      <c r="D95" s="5">
        <f>YEAR(C95)</f>
        <v/>
      </c>
      <c r="E95" s="5">
        <f>MONTH(C95)</f>
        <v/>
      </c>
      <c r="F95" s="38" t="inlineStr">
        <is>
          <t>5629 NFV  :TENDA ATACADO LTDA</t>
        </is>
      </c>
      <c r="G95" s="38" t="inlineStr">
        <is>
          <t>MARIO FRUGIS (01.04.01)</t>
        </is>
      </c>
      <c r="H95" s="38" t="inlineStr">
        <is>
          <t>NFV</t>
        </is>
      </c>
      <c r="I95" s="40" t="n">
        <v>94.53</v>
      </c>
      <c r="J95" s="40" t="n">
        <v>0</v>
      </c>
      <c r="K95" s="6">
        <f>I95-J95</f>
        <v/>
      </c>
      <c r="L95" s="6">
        <f>IF(H95="DISTRATO",0,I95)</f>
        <v/>
      </c>
    </row>
    <row r="96">
      <c r="A96" s="38" t="inlineStr">
        <is>
          <t>Conta corrente MFRUGIS05.XLS</t>
        </is>
      </c>
      <c r="B96" s="39" t="n">
        <v>38716</v>
      </c>
      <c r="C96" s="4" t="n">
        <v>38687</v>
      </c>
      <c r="D96" s="5">
        <f>YEAR(C96)</f>
        <v/>
      </c>
      <c r="E96" s="5">
        <f>MONTH(C96)</f>
        <v/>
      </c>
      <c r="F96" s="38" t="inlineStr">
        <is>
          <t>BONIF: NF 443472-TENDA</t>
        </is>
      </c>
      <c r="G96" s="38" t="inlineStr">
        <is>
          <t>MARIO FRUGIS (01.04.01)</t>
        </is>
      </c>
      <c r="H96" s="38" t="inlineStr">
        <is>
          <t>BONIFICACAO</t>
        </is>
      </c>
      <c r="I96" s="40" t="n">
        <v>-21.07</v>
      </c>
      <c r="J96" s="40" t="n">
        <v>0</v>
      </c>
      <c r="K96" s="6">
        <f>I96-J96</f>
        <v/>
      </c>
      <c r="L96" s="6">
        <f>IF(H96="DISTRATO",0,I96)</f>
        <v/>
      </c>
    </row>
    <row r="97">
      <c r="A97" s="38" t="inlineStr">
        <is>
          <t>Conta corrente MFRUGIS06.XLS</t>
        </is>
      </c>
      <c r="B97" s="39" t="n">
        <v>38722</v>
      </c>
      <c r="C97" s="4" t="n">
        <v>38718</v>
      </c>
      <c r="D97" s="5">
        <f>YEAR(C97)</f>
        <v/>
      </c>
      <c r="E97" s="5">
        <f>MONTH(C97)</f>
        <v/>
      </c>
      <c r="F97" s="38" t="inlineStr">
        <is>
          <t>5629 BONIF:TENDA ATACADO LTDA</t>
        </is>
      </c>
      <c r="G97" s="38" t="inlineStr">
        <is>
          <t>MARIO FRUGIS (01.04.01)</t>
        </is>
      </c>
      <c r="H97" s="38" t="inlineStr">
        <is>
          <t>BONIFICACAO</t>
        </is>
      </c>
      <c r="I97" s="40" t="n">
        <v>-30.78</v>
      </c>
      <c r="J97" s="40" t="n">
        <v>0</v>
      </c>
      <c r="K97" s="6">
        <f>I97-J97</f>
        <v/>
      </c>
      <c r="L97" s="6">
        <f>IF(H97="DISTRATO",0,I97)</f>
        <v/>
      </c>
    </row>
    <row r="98">
      <c r="A98" s="38" t="inlineStr">
        <is>
          <t>Conta corrente MFRUGIS06.XLS</t>
        </is>
      </c>
      <c r="B98" s="39" t="n">
        <v>38722</v>
      </c>
      <c r="C98" s="4" t="n">
        <v>38718</v>
      </c>
      <c r="D98" s="5">
        <f>YEAR(C98)</f>
        <v/>
      </c>
      <c r="E98" s="5">
        <f>MONTH(C98)</f>
        <v/>
      </c>
      <c r="F98" s="38" t="inlineStr">
        <is>
          <t>5629 NFV  :TENDA ATACADO LTDA</t>
        </is>
      </c>
      <c r="G98" s="38" t="inlineStr">
        <is>
          <t>MARIO FRUGIS (01.04.01)</t>
        </is>
      </c>
      <c r="H98" s="38" t="inlineStr">
        <is>
          <t>NFV</t>
        </is>
      </c>
      <c r="I98" s="40" t="n">
        <v>94.5</v>
      </c>
      <c r="J98" s="40" t="n">
        <v>0</v>
      </c>
      <c r="K98" s="6">
        <f>I98-J98</f>
        <v/>
      </c>
      <c r="L98" s="6">
        <f>IF(H98="DISTRATO",0,I98)</f>
        <v/>
      </c>
    </row>
    <row r="99">
      <c r="A99" s="38" t="inlineStr">
        <is>
          <t>Conta corrente MFRUGIS06.XLS</t>
        </is>
      </c>
      <c r="B99" s="39" t="n">
        <v>38743</v>
      </c>
      <c r="C99" s="4" t="n">
        <v>38718</v>
      </c>
      <c r="D99" s="5">
        <f>YEAR(C99)</f>
        <v/>
      </c>
      <c r="E99" s="5">
        <f>MONTH(C99)</f>
        <v/>
      </c>
      <c r="F99" s="38" t="inlineStr">
        <is>
          <t>9150 BONIF:TENDA ATACADO LTDA</t>
        </is>
      </c>
      <c r="G99" s="38" t="inlineStr">
        <is>
          <t>MARIO FRUGIS (01.04.01)</t>
        </is>
      </c>
      <c r="H99" s="38" t="inlineStr">
        <is>
          <t>BONIFICACAO</t>
        </is>
      </c>
      <c r="I99" s="40" t="n">
        <v>-7.12</v>
      </c>
      <c r="J99" s="40" t="n">
        <v>0</v>
      </c>
      <c r="K99" s="6">
        <f>I99-J99</f>
        <v/>
      </c>
      <c r="L99" s="6">
        <f>IF(H99="DISTRATO",0,I99)</f>
        <v/>
      </c>
    </row>
    <row r="100">
      <c r="A100" s="38" t="inlineStr">
        <is>
          <t>Conta corrente MFRUGIS06.XLS</t>
        </is>
      </c>
      <c r="B100" s="39" t="n">
        <v>38743</v>
      </c>
      <c r="C100" s="4" t="n">
        <v>38718</v>
      </c>
      <c r="D100" s="5">
        <f>YEAR(C100)</f>
        <v/>
      </c>
      <c r="E100" s="5">
        <f>MONTH(C100)</f>
        <v/>
      </c>
      <c r="F100" s="38" t="inlineStr">
        <is>
          <t>9150 NFV  :TENDA ATACADO LTDA</t>
        </is>
      </c>
      <c r="G100" s="38" t="inlineStr">
        <is>
          <t>MARIO FRUGIS (01.04.01)</t>
        </is>
      </c>
      <c r="H100" s="38" t="inlineStr">
        <is>
          <t>NFV</t>
        </is>
      </c>
      <c r="I100" s="40" t="n">
        <v>41.13</v>
      </c>
      <c r="J100" s="40" t="n">
        <v>0</v>
      </c>
      <c r="K100" s="6">
        <f>I100-J100</f>
        <v/>
      </c>
      <c r="L100" s="6">
        <f>IF(H100="DISTRATO",0,I100)</f>
        <v/>
      </c>
    </row>
    <row r="101">
      <c r="A101" s="38" t="inlineStr">
        <is>
          <t>Conta corrente MFRUGIS06.XLS</t>
        </is>
      </c>
      <c r="B101" s="39" t="n">
        <v>38744</v>
      </c>
      <c r="C101" s="4" t="n">
        <v>38718</v>
      </c>
      <c r="D101" s="5">
        <f>YEAR(C101)</f>
        <v/>
      </c>
      <c r="E101" s="5">
        <f>MONTH(C101)</f>
        <v/>
      </c>
      <c r="F101" s="38" t="inlineStr">
        <is>
          <t>9147 BONIF:TENDA ATACADO LTDA</t>
        </is>
      </c>
      <c r="G101" s="38" t="inlineStr">
        <is>
          <t>MARIO FRUGIS (01.04.01)</t>
        </is>
      </c>
      <c r="H101" s="38" t="inlineStr">
        <is>
          <t>BONIFICACAO</t>
        </is>
      </c>
      <c r="I101" s="40" t="n">
        <v>-7.12</v>
      </c>
      <c r="J101" s="40" t="n">
        <v>0</v>
      </c>
      <c r="K101" s="6">
        <f>I101-J101</f>
        <v/>
      </c>
      <c r="L101" s="6">
        <f>IF(H101="DISTRATO",0,I101)</f>
        <v/>
      </c>
    </row>
    <row r="102">
      <c r="A102" s="38" t="inlineStr">
        <is>
          <t>Conta corrente MFRUGIS06.XLS</t>
        </is>
      </c>
      <c r="B102" s="39" t="n">
        <v>38744</v>
      </c>
      <c r="C102" s="4" t="n">
        <v>38718</v>
      </c>
      <c r="D102" s="5">
        <f>YEAR(C102)</f>
        <v/>
      </c>
      <c r="E102" s="5">
        <f>MONTH(C102)</f>
        <v/>
      </c>
      <c r="F102" s="38" t="inlineStr">
        <is>
          <t>9147 NFV  :TENDA ATACADO LTDA</t>
        </is>
      </c>
      <c r="G102" s="38" t="inlineStr">
        <is>
          <t>MARIO FRUGIS (01.04.01)</t>
        </is>
      </c>
      <c r="H102" s="38" t="inlineStr">
        <is>
          <t>NFV</t>
        </is>
      </c>
      <c r="I102" s="40" t="n">
        <v>30.61</v>
      </c>
      <c r="J102" s="40" t="n">
        <v>0</v>
      </c>
      <c r="K102" s="6">
        <f>I102-J102</f>
        <v/>
      </c>
      <c r="L102" s="6">
        <f>IF(H102="DISTRATO",0,I102)</f>
        <v/>
      </c>
    </row>
    <row r="103">
      <c r="A103" s="38" t="inlineStr">
        <is>
          <t>Conta corrente MFRUGIS06.XLS</t>
        </is>
      </c>
      <c r="B103" s="39" t="n">
        <v>38744</v>
      </c>
      <c r="C103" s="4" t="n">
        <v>38718</v>
      </c>
      <c r="D103" s="5">
        <f>YEAR(C103)</f>
        <v/>
      </c>
      <c r="E103" s="5">
        <f>MONTH(C103)</f>
        <v/>
      </c>
      <c r="F103" s="38" t="inlineStr">
        <is>
          <t>9148 BONIF:TENDA ATACADO LTDA</t>
        </is>
      </c>
      <c r="G103" s="38" t="inlineStr">
        <is>
          <t>MARIO FRUGIS (01.04.01)</t>
        </is>
      </c>
      <c r="H103" s="38" t="inlineStr">
        <is>
          <t>BONIFICACAO</t>
        </is>
      </c>
      <c r="I103" s="40" t="n">
        <v>-7.12</v>
      </c>
      <c r="J103" s="40" t="n">
        <v>0</v>
      </c>
      <c r="K103" s="6">
        <f>I103-J103</f>
        <v/>
      </c>
      <c r="L103" s="6">
        <f>IF(H103="DISTRATO",0,I103)</f>
        <v/>
      </c>
    </row>
    <row r="104">
      <c r="A104" s="38" t="inlineStr">
        <is>
          <t>Conta corrente MFRUGIS06.XLS</t>
        </is>
      </c>
      <c r="B104" s="39" t="n">
        <v>38744</v>
      </c>
      <c r="C104" s="4" t="n">
        <v>38718</v>
      </c>
      <c r="D104" s="5">
        <f>YEAR(C104)</f>
        <v/>
      </c>
      <c r="E104" s="5">
        <f>MONTH(C104)</f>
        <v/>
      </c>
      <c r="F104" s="38" t="inlineStr">
        <is>
          <t>9148 NFV  :TENDA ATACADO LTDA</t>
        </is>
      </c>
      <c r="G104" s="38" t="inlineStr">
        <is>
          <t>MARIO FRUGIS (01.04.01)</t>
        </is>
      </c>
      <c r="H104" s="38" t="inlineStr">
        <is>
          <t>NFV</t>
        </is>
      </c>
      <c r="I104" s="40" t="n">
        <v>15.93</v>
      </c>
      <c r="J104" s="40" t="n">
        <v>0</v>
      </c>
      <c r="K104" s="6">
        <f>I104-J104</f>
        <v/>
      </c>
      <c r="L104" s="6">
        <f>IF(H104="DISTRATO",0,I104)</f>
        <v/>
      </c>
    </row>
    <row r="105">
      <c r="A105" s="38" t="inlineStr">
        <is>
          <t>Conta corrente MFRUGIS06.XLS</t>
        </is>
      </c>
      <c r="B105" s="39" t="n">
        <v>38747</v>
      </c>
      <c r="C105" s="4" t="n">
        <v>38718</v>
      </c>
      <c r="D105" s="5">
        <f>YEAR(C105)</f>
        <v/>
      </c>
      <c r="E105" s="5">
        <f>MONTH(C105)</f>
        <v/>
      </c>
      <c r="F105" s="38" t="inlineStr">
        <is>
          <t>9149 BONIF:TENDA ATACADO LTDA</t>
        </is>
      </c>
      <c r="G105" s="38" t="inlineStr">
        <is>
          <t>MARIO FRUGIS (01.04.01)</t>
        </is>
      </c>
      <c r="H105" s="38" t="inlineStr">
        <is>
          <t>BONIFICACAO</t>
        </is>
      </c>
      <c r="I105" s="40" t="n">
        <v>-7.12</v>
      </c>
      <c r="J105" s="40" t="n">
        <v>0</v>
      </c>
      <c r="K105" s="6">
        <f>I105-J105</f>
        <v/>
      </c>
      <c r="L105" s="6">
        <f>IF(H105="DISTRATO",0,I105)</f>
        <v/>
      </c>
    </row>
    <row r="106">
      <c r="A106" s="38" t="inlineStr">
        <is>
          <t>Conta corrente MFRUGIS06.XLS</t>
        </is>
      </c>
      <c r="B106" s="39" t="n">
        <v>38747</v>
      </c>
      <c r="C106" s="4" t="n">
        <v>38718</v>
      </c>
      <c r="D106" s="5">
        <f>YEAR(C106)</f>
        <v/>
      </c>
      <c r="E106" s="5">
        <f>MONTH(C106)</f>
        <v/>
      </c>
      <c r="F106" s="38" t="inlineStr">
        <is>
          <t>9149 NFV  :TENDA ATACADO LTDA</t>
        </is>
      </c>
      <c r="G106" s="38" t="inlineStr">
        <is>
          <t>MARIO FRUGIS (01.04.01)</t>
        </is>
      </c>
      <c r="H106" s="38" t="inlineStr">
        <is>
          <t>NFV</t>
        </is>
      </c>
      <c r="I106" s="40" t="n">
        <v>35.76</v>
      </c>
      <c r="J106" s="40" t="n">
        <v>0</v>
      </c>
      <c r="K106" s="6">
        <f>I106-J106</f>
        <v/>
      </c>
      <c r="L106" s="6">
        <f>IF(H106="DISTRATO",0,I106)</f>
        <v/>
      </c>
    </row>
    <row r="107">
      <c r="A107" s="38" t="inlineStr">
        <is>
          <t>Conta corrente MFRUGIS06.XLS</t>
        </is>
      </c>
      <c r="B107" s="39" t="n">
        <v>38747</v>
      </c>
      <c r="C107" s="4" t="n">
        <v>38718</v>
      </c>
      <c r="D107" s="5">
        <f>YEAR(C107)</f>
        <v/>
      </c>
      <c r="E107" s="5">
        <f>MONTH(C107)</f>
        <v/>
      </c>
      <c r="F107" s="38" t="inlineStr">
        <is>
          <t>9151 BONIF:TENDA ATACADO LTDA</t>
        </is>
      </c>
      <c r="G107" s="38" t="inlineStr">
        <is>
          <t>MARIO FRUGIS (01.04.01)</t>
        </is>
      </c>
      <c r="H107" s="38" t="inlineStr">
        <is>
          <t>BONIFICACAO</t>
        </is>
      </c>
      <c r="I107" s="40" t="n">
        <v>-7.12</v>
      </c>
      <c r="J107" s="40" t="n">
        <v>0</v>
      </c>
      <c r="K107" s="6">
        <f>I107-J107</f>
        <v/>
      </c>
      <c r="L107" s="6">
        <f>IF(H107="DISTRATO",0,I107)</f>
        <v/>
      </c>
    </row>
    <row r="108">
      <c r="A108" s="38" t="inlineStr">
        <is>
          <t>Conta corrente MFRUGIS06.XLS</t>
        </is>
      </c>
      <c r="B108" s="39" t="n">
        <v>38747</v>
      </c>
      <c r="C108" s="4" t="n">
        <v>38718</v>
      </c>
      <c r="D108" s="5">
        <f>YEAR(C108)</f>
        <v/>
      </c>
      <c r="E108" s="5">
        <f>MONTH(C108)</f>
        <v/>
      </c>
      <c r="F108" s="38" t="inlineStr">
        <is>
          <t>9151 NFV  :TENDA ATACADO LTDA</t>
        </is>
      </c>
      <c r="G108" s="38" t="inlineStr">
        <is>
          <t>MARIO FRUGIS (01.04.01)</t>
        </is>
      </c>
      <c r="H108" s="38" t="inlineStr">
        <is>
          <t>NFV</t>
        </is>
      </c>
      <c r="I108" s="40" t="n">
        <v>28.07</v>
      </c>
      <c r="J108" s="40" t="n">
        <v>0</v>
      </c>
      <c r="K108" s="6">
        <f>I108-J108</f>
        <v/>
      </c>
      <c r="L108" s="6">
        <f>IF(H108="DISTRATO",0,I108)</f>
        <v/>
      </c>
    </row>
    <row r="109">
      <c r="A109" s="38" t="inlineStr">
        <is>
          <t>Conta corrente MFRUGIS06.XLS</t>
        </is>
      </c>
      <c r="B109" s="39" t="n">
        <v>38771</v>
      </c>
      <c r="C109" s="4" t="n">
        <v>38749</v>
      </c>
      <c r="D109" s="5">
        <f>YEAR(C109)</f>
        <v/>
      </c>
      <c r="E109" s="5">
        <f>MONTH(C109)</f>
        <v/>
      </c>
      <c r="F109" s="38" t="inlineStr">
        <is>
          <t>14841 NFV  :TENDA ATACADO LTDA</t>
        </is>
      </c>
      <c r="G109" s="38" t="inlineStr">
        <is>
          <t>MARIO FRUGIS (01.04.01)</t>
        </is>
      </c>
      <c r="H109" s="38" t="inlineStr">
        <is>
          <t>NFV</t>
        </is>
      </c>
      <c r="I109" s="40" t="n">
        <v>45.22</v>
      </c>
      <c r="J109" s="40" t="n">
        <v>0</v>
      </c>
      <c r="K109" s="6">
        <f>I109-J109</f>
        <v/>
      </c>
      <c r="L109" s="6">
        <f>IF(H109="DISTRATO",0,I109)</f>
        <v/>
      </c>
    </row>
    <row r="110">
      <c r="A110" s="38" t="inlineStr">
        <is>
          <t>Conta corrente MFRUGIS06.XLS</t>
        </is>
      </c>
      <c r="B110" s="39" t="n">
        <v>38771</v>
      </c>
      <c r="C110" s="4" t="n">
        <v>38749</v>
      </c>
      <c r="D110" s="5">
        <f>YEAR(C110)</f>
        <v/>
      </c>
      <c r="E110" s="5">
        <f>MONTH(C110)</f>
        <v/>
      </c>
      <c r="F110" s="38" t="inlineStr">
        <is>
          <t>14842 NFV  :TENDA ATACADO LTDA</t>
        </is>
      </c>
      <c r="G110" s="38" t="inlineStr">
        <is>
          <t>MARIO FRUGIS (01.04.01)</t>
        </is>
      </c>
      <c r="H110" s="38" t="inlineStr">
        <is>
          <t>NFV</t>
        </is>
      </c>
      <c r="I110" s="40" t="n">
        <v>105.62</v>
      </c>
      <c r="J110" s="40" t="n">
        <v>0</v>
      </c>
      <c r="K110" s="6">
        <f>I110-J110</f>
        <v/>
      </c>
      <c r="L110" s="6">
        <f>IF(H110="DISTRATO",0,I110)</f>
        <v/>
      </c>
    </row>
    <row r="111">
      <c r="A111" s="38" t="inlineStr">
        <is>
          <t>Conta corrente MFRUGIS06.XLS</t>
        </is>
      </c>
      <c r="B111" s="39" t="n">
        <v>38771</v>
      </c>
      <c r="C111" s="4" t="n">
        <v>38749</v>
      </c>
      <c r="D111" s="5">
        <f>YEAR(C111)</f>
        <v/>
      </c>
      <c r="E111" s="5">
        <f>MONTH(C111)</f>
        <v/>
      </c>
      <c r="F111" s="38" t="inlineStr">
        <is>
          <t>14843 NFV  :TENDA ATACADO LTDA</t>
        </is>
      </c>
      <c r="G111" s="38" t="inlineStr">
        <is>
          <t>MARIO FRUGIS (01.04.01)</t>
        </is>
      </c>
      <c r="H111" s="38" t="inlineStr">
        <is>
          <t>NFV</t>
        </is>
      </c>
      <c r="I111" s="40" t="n">
        <v>52.14</v>
      </c>
      <c r="J111" s="40" t="n">
        <v>0</v>
      </c>
      <c r="K111" s="6">
        <f>I111-J111</f>
        <v/>
      </c>
      <c r="L111" s="6">
        <f>IF(H111="DISTRATO",0,I111)</f>
        <v/>
      </c>
    </row>
    <row r="112">
      <c r="A112" s="38" t="inlineStr">
        <is>
          <t>Conta corrente MFRUGIS06.XLS</t>
        </is>
      </c>
      <c r="B112" s="39" t="n">
        <v>38771</v>
      </c>
      <c r="C112" s="4" t="n">
        <v>38749</v>
      </c>
      <c r="D112" s="5">
        <f>YEAR(C112)</f>
        <v/>
      </c>
      <c r="E112" s="5">
        <f>MONTH(C112)</f>
        <v/>
      </c>
      <c r="F112" s="38" t="inlineStr">
        <is>
          <t>14844 NFV  :TENDA ATACADO LTDA</t>
        </is>
      </c>
      <c r="G112" s="38" t="inlineStr">
        <is>
          <t>MARIO FRUGIS (01.04.01)</t>
        </is>
      </c>
      <c r="H112" s="38" t="inlineStr">
        <is>
          <t>NFV</t>
        </is>
      </c>
      <c r="I112" s="40" t="n">
        <v>31.3</v>
      </c>
      <c r="J112" s="40" t="n">
        <v>0</v>
      </c>
      <c r="K112" s="6">
        <f>I112-J112</f>
        <v/>
      </c>
      <c r="L112" s="6">
        <f>IF(H112="DISTRATO",0,I112)</f>
        <v/>
      </c>
    </row>
    <row r="113">
      <c r="A113" s="38" t="inlineStr">
        <is>
          <t>Conta corrente MFRUGIS06.XLS</t>
        </is>
      </c>
      <c r="B113" s="39" t="n">
        <v>38771</v>
      </c>
      <c r="C113" s="4" t="n">
        <v>38749</v>
      </c>
      <c r="D113" s="5">
        <f>YEAR(C113)</f>
        <v/>
      </c>
      <c r="E113" s="5">
        <f>MONTH(C113)</f>
        <v/>
      </c>
      <c r="F113" s="38" t="inlineStr">
        <is>
          <t>14847 BONIF:TENDA ATACADO LTDA</t>
        </is>
      </c>
      <c r="G113" s="38" t="inlineStr">
        <is>
          <t>MARIO FRUGIS (01.04.01)</t>
        </is>
      </c>
      <c r="H113" s="38" t="inlineStr">
        <is>
          <t>BONIFICACAO</t>
        </is>
      </c>
      <c r="I113" s="40" t="n">
        <v>-22.59</v>
      </c>
      <c r="J113" s="40" t="n">
        <v>0</v>
      </c>
      <c r="K113" s="6">
        <f>I113-J113</f>
        <v/>
      </c>
      <c r="L113" s="6">
        <f>IF(H113="DISTRATO",0,I113)</f>
        <v/>
      </c>
    </row>
    <row r="114">
      <c r="A114" s="38" t="inlineStr">
        <is>
          <t>Conta corrente MFRUGIS06.XLS</t>
        </is>
      </c>
      <c r="B114" s="39" t="n">
        <v>38772</v>
      </c>
      <c r="C114" s="4" t="n">
        <v>38749</v>
      </c>
      <c r="D114" s="5">
        <f>YEAR(C114)</f>
        <v/>
      </c>
      <c r="E114" s="5">
        <f>MONTH(C114)</f>
        <v/>
      </c>
      <c r="F114" s="38" t="inlineStr">
        <is>
          <t>14839 NFV  :TENDA ATACADO LTDA</t>
        </is>
      </c>
      <c r="G114" s="38" t="inlineStr">
        <is>
          <t>MARIO FRUGIS (01.04.01)</t>
        </is>
      </c>
      <c r="H114" s="38" t="inlineStr">
        <is>
          <t>NFV</t>
        </is>
      </c>
      <c r="I114" s="40" t="n">
        <v>157.78</v>
      </c>
      <c r="J114" s="40" t="n">
        <v>0</v>
      </c>
      <c r="K114" s="6">
        <f>I114-J114</f>
        <v/>
      </c>
      <c r="L114" s="6">
        <f>IF(H114="DISTRATO",0,I114)</f>
        <v/>
      </c>
    </row>
    <row r="115">
      <c r="A115" s="38" t="inlineStr">
        <is>
          <t>Conta corrente MFRUGIS06.XLS</t>
        </is>
      </c>
      <c r="B115" s="39" t="n">
        <v>38772</v>
      </c>
      <c r="C115" s="4" t="n">
        <v>38749</v>
      </c>
      <c r="D115" s="5">
        <f>YEAR(C115)</f>
        <v/>
      </c>
      <c r="E115" s="5">
        <f>MONTH(C115)</f>
        <v/>
      </c>
      <c r="F115" s="38" t="inlineStr">
        <is>
          <t>14840 NFV  :TENDA ATACADO LTDA</t>
        </is>
      </c>
      <c r="G115" s="38" t="inlineStr">
        <is>
          <t>MARIO FRUGIS (01.04.01)</t>
        </is>
      </c>
      <c r="H115" s="38" t="inlineStr">
        <is>
          <t>NFV</t>
        </is>
      </c>
      <c r="I115" s="40" t="n">
        <v>124.92</v>
      </c>
      <c r="J115" s="40" t="n">
        <v>0</v>
      </c>
      <c r="K115" s="6">
        <f>I115-J115</f>
        <v/>
      </c>
      <c r="L115" s="6">
        <f>IF(H115="DISTRATO",0,I115)</f>
        <v/>
      </c>
    </row>
    <row r="116">
      <c r="A116" s="38" t="inlineStr">
        <is>
          <t>Conta corrente MFRUGIS06.XLS</t>
        </is>
      </c>
      <c r="B116" s="39" t="n">
        <v>38772</v>
      </c>
      <c r="C116" s="4" t="n">
        <v>38749</v>
      </c>
      <c r="D116" s="5">
        <f>YEAR(C116)</f>
        <v/>
      </c>
      <c r="E116" s="5">
        <f>MONTH(C116)</f>
        <v/>
      </c>
      <c r="F116" s="38" t="inlineStr">
        <is>
          <t>14845 BONIF:TENDA ATACADO LTDA</t>
        </is>
      </c>
      <c r="G116" s="38" t="inlineStr">
        <is>
          <t>MARIO FRUGIS (01.04.01)</t>
        </is>
      </c>
      <c r="H116" s="38" t="inlineStr">
        <is>
          <t>BONIFICACAO</t>
        </is>
      </c>
      <c r="I116" s="40" t="n">
        <v>-26.37</v>
      </c>
      <c r="J116" s="40" t="n">
        <v>0</v>
      </c>
      <c r="K116" s="6">
        <f>I116-J116</f>
        <v/>
      </c>
      <c r="L116" s="6">
        <f>IF(H116="DISTRATO",0,I116)</f>
        <v/>
      </c>
    </row>
    <row r="117">
      <c r="A117" s="38" t="inlineStr">
        <is>
          <t>Conta corrente MFRUGIS06.XLS</t>
        </is>
      </c>
      <c r="B117" s="39" t="n">
        <v>38772</v>
      </c>
      <c r="C117" s="4" t="n">
        <v>38749</v>
      </c>
      <c r="D117" s="5">
        <f>YEAR(C117)</f>
        <v/>
      </c>
      <c r="E117" s="5">
        <f>MONTH(C117)</f>
        <v/>
      </c>
      <c r="F117" s="38" t="inlineStr">
        <is>
          <t>14846 BONIF:TENDA ATACADO LTDA</t>
        </is>
      </c>
      <c r="G117" s="38" t="inlineStr">
        <is>
          <t>MARIO FRUGIS (01.04.01)</t>
        </is>
      </c>
      <c r="H117" s="38" t="inlineStr">
        <is>
          <t>BONIFICACAO</t>
        </is>
      </c>
      <c r="I117" s="40" t="n">
        <v>-23.85</v>
      </c>
      <c r="J117" s="40" t="n">
        <v>0</v>
      </c>
      <c r="K117" s="6">
        <f>I117-J117</f>
        <v/>
      </c>
      <c r="L117" s="6">
        <f>IF(H117="DISTRATO",0,I117)</f>
        <v/>
      </c>
    </row>
    <row r="118">
      <c r="A118" s="38" t="inlineStr">
        <is>
          <t>Conta corrente MFRUGIS06.XLS</t>
        </is>
      </c>
      <c r="B118" s="39" t="n">
        <v>38803</v>
      </c>
      <c r="C118" s="4" t="n">
        <v>38777</v>
      </c>
      <c r="D118" s="5">
        <f>YEAR(C118)</f>
        <v/>
      </c>
      <c r="E118" s="5">
        <f>MONTH(C118)</f>
        <v/>
      </c>
      <c r="F118" s="38" t="inlineStr">
        <is>
          <t>NFV  :TENDA ATACADO LTDA</t>
        </is>
      </c>
      <c r="G118" s="38" t="inlineStr">
        <is>
          <t>MARIO FRUGIS (01.04.01)</t>
        </is>
      </c>
      <c r="H118" s="38" t="inlineStr">
        <is>
          <t>NFV</t>
        </is>
      </c>
      <c r="I118" s="40" t="n">
        <v>6</v>
      </c>
      <c r="J118" s="40" t="n">
        <v>0</v>
      </c>
      <c r="K118" s="6">
        <f>I118-J118</f>
        <v/>
      </c>
      <c r="L118" s="6">
        <f>IF(H118="DISTRATO",0,I118)</f>
        <v/>
      </c>
    </row>
    <row r="119">
      <c r="A119" s="38" t="inlineStr">
        <is>
          <t>Conta corrente MFRUGIS06.XLS</t>
        </is>
      </c>
      <c r="B119" s="39" t="n">
        <v>38803</v>
      </c>
      <c r="C119" s="4" t="n">
        <v>38777</v>
      </c>
      <c r="D119" s="5">
        <f>YEAR(C119)</f>
        <v/>
      </c>
      <c r="E119" s="5">
        <f>MONTH(C119)</f>
        <v/>
      </c>
      <c r="F119" s="38" t="inlineStr">
        <is>
          <t>NFV  :TENDA ATACADO LTDA</t>
        </is>
      </c>
      <c r="G119" s="38" t="inlineStr">
        <is>
          <t>MARIO FRUGIS (01.04.01)</t>
        </is>
      </c>
      <c r="H119" s="38" t="inlineStr">
        <is>
          <t>NFV</t>
        </is>
      </c>
      <c r="I119" s="40" t="n">
        <v>12</v>
      </c>
      <c r="J119" s="40" t="n">
        <v>0</v>
      </c>
      <c r="K119" s="6">
        <f>I119-J119</f>
        <v/>
      </c>
      <c r="L119" s="6">
        <f>IF(H119="DISTRATO",0,I119)</f>
        <v/>
      </c>
    </row>
    <row r="120">
      <c r="A120" s="38" t="inlineStr">
        <is>
          <t>Conta corrente MFRUGIS06.XLS</t>
        </is>
      </c>
      <c r="B120" s="39" t="n">
        <v>38803</v>
      </c>
      <c r="C120" s="4" t="n">
        <v>38777</v>
      </c>
      <c r="D120" s="5">
        <f>YEAR(C120)</f>
        <v/>
      </c>
      <c r="E120" s="5">
        <f>MONTH(C120)</f>
        <v/>
      </c>
      <c r="F120" s="38" t="inlineStr">
        <is>
          <t>NFV  :TENDA ATACADO LTDA</t>
        </is>
      </c>
      <c r="G120" s="38" t="inlineStr">
        <is>
          <t>MARIO FRUGIS (01.04.01)</t>
        </is>
      </c>
      <c r="H120" s="38" t="inlineStr">
        <is>
          <t>NFV</t>
        </is>
      </c>
      <c r="I120" s="40" t="n">
        <v>87.75</v>
      </c>
      <c r="J120" s="40" t="n">
        <v>0</v>
      </c>
      <c r="K120" s="6">
        <f>I120-J120</f>
        <v/>
      </c>
      <c r="L120" s="6">
        <f>IF(H120="DISTRATO",0,I120)</f>
        <v/>
      </c>
    </row>
    <row r="121">
      <c r="A121" s="38" t="inlineStr">
        <is>
          <t>Conta corrente MFRUGIS06.XLS</t>
        </is>
      </c>
      <c r="B121" s="39" t="n">
        <v>38803</v>
      </c>
      <c r="C121" s="4" t="n">
        <v>38777</v>
      </c>
      <c r="D121" s="5">
        <f>YEAR(C121)</f>
        <v/>
      </c>
      <c r="E121" s="5">
        <f>MONTH(C121)</f>
        <v/>
      </c>
      <c r="F121" s="38" t="inlineStr">
        <is>
          <t>NFV  :TENDA ATACADO LTDA</t>
        </is>
      </c>
      <c r="G121" s="38" t="inlineStr">
        <is>
          <t>MARIO FRUGIS (01.04.01)</t>
        </is>
      </c>
      <c r="H121" s="38" t="inlineStr">
        <is>
          <t>NFV</t>
        </is>
      </c>
      <c r="I121" s="40" t="n">
        <v>31.73</v>
      </c>
      <c r="J121" s="40" t="n">
        <v>0</v>
      </c>
      <c r="K121" s="6">
        <f>I121-J121</f>
        <v/>
      </c>
      <c r="L121" s="6">
        <f>IF(H121="DISTRATO",0,I121)</f>
        <v/>
      </c>
    </row>
    <row r="122">
      <c r="A122" s="38" t="inlineStr">
        <is>
          <t>Conta corrente MFRUGIS06.XLS</t>
        </is>
      </c>
      <c r="B122" s="39" t="n">
        <v>38803</v>
      </c>
      <c r="C122" s="4" t="n">
        <v>38777</v>
      </c>
      <c r="D122" s="5">
        <f>YEAR(C122)</f>
        <v/>
      </c>
      <c r="E122" s="5">
        <f>MONTH(C122)</f>
        <v/>
      </c>
      <c r="F122" s="38" t="inlineStr">
        <is>
          <t>NFV  :TENDA ATACADO LTDA</t>
        </is>
      </c>
      <c r="G122" s="38" t="inlineStr">
        <is>
          <t>MARIO FRUGIS (01.04.01)</t>
        </is>
      </c>
      <c r="H122" s="38" t="inlineStr">
        <is>
          <t>NFV</t>
        </is>
      </c>
      <c r="I122" s="40" t="n">
        <v>35.77</v>
      </c>
      <c r="J122" s="40" t="n">
        <v>0</v>
      </c>
      <c r="K122" s="6">
        <f>I122-J122</f>
        <v/>
      </c>
      <c r="L122" s="6">
        <f>IF(H122="DISTRATO",0,I122)</f>
        <v/>
      </c>
    </row>
    <row r="123">
      <c r="A123" s="38" t="inlineStr">
        <is>
          <t>Conta corrente MFRUGIS06.XLS</t>
        </is>
      </c>
      <c r="B123" s="39" t="n">
        <v>38803</v>
      </c>
      <c r="C123" s="4" t="n">
        <v>38777</v>
      </c>
      <c r="D123" s="5">
        <f>YEAR(C123)</f>
        <v/>
      </c>
      <c r="E123" s="5">
        <f>MONTH(C123)</f>
        <v/>
      </c>
      <c r="F123" s="38" t="inlineStr">
        <is>
          <t>NFV  :TENDA ATACADO LTDA</t>
        </is>
      </c>
      <c r="G123" s="38" t="inlineStr">
        <is>
          <t>MARIO FRUGIS (01.04.01)</t>
        </is>
      </c>
      <c r="H123" s="38" t="inlineStr">
        <is>
          <t>NFV</t>
        </is>
      </c>
      <c r="I123" s="40" t="n">
        <v>32.55</v>
      </c>
      <c r="J123" s="40" t="n">
        <v>0</v>
      </c>
      <c r="K123" s="6">
        <f>I123-J123</f>
        <v/>
      </c>
      <c r="L123" s="6">
        <f>IF(H123="DISTRATO",0,I123)</f>
        <v/>
      </c>
    </row>
    <row r="124">
      <c r="A124" s="38" t="inlineStr">
        <is>
          <t>Conta corrente MFRUGIS06.XLS</t>
        </is>
      </c>
      <c r="B124" s="39" t="n">
        <v>38803</v>
      </c>
      <c r="C124" s="4" t="n">
        <v>38777</v>
      </c>
      <c r="D124" s="5">
        <f>YEAR(C124)</f>
        <v/>
      </c>
      <c r="E124" s="5">
        <f>MONTH(C124)</f>
        <v/>
      </c>
      <c r="F124" s="38" t="inlineStr">
        <is>
          <t>NFV  :TENDA ATACADO LTDA</t>
        </is>
      </c>
      <c r="G124" s="38" t="inlineStr">
        <is>
          <t>MARIO FRUGIS (01.04.01)</t>
        </is>
      </c>
      <c r="H124" s="38" t="inlineStr">
        <is>
          <t>NFV</t>
        </is>
      </c>
      <c r="I124" s="40" t="n">
        <v>32.55</v>
      </c>
      <c r="J124" s="40" t="n">
        <v>0</v>
      </c>
      <c r="K124" s="6">
        <f>I124-J124</f>
        <v/>
      </c>
      <c r="L124" s="6">
        <f>IF(H124="DISTRATO",0,I124)</f>
        <v/>
      </c>
    </row>
    <row r="125">
      <c r="A125" s="38" t="inlineStr">
        <is>
          <t>Conta corrente MFRUGIS06.XLS</t>
        </is>
      </c>
      <c r="B125" s="39" t="n">
        <v>38803</v>
      </c>
      <c r="C125" s="4" t="n">
        <v>38777</v>
      </c>
      <c r="D125" s="5">
        <f>YEAR(C125)</f>
        <v/>
      </c>
      <c r="E125" s="5">
        <f>MONTH(C125)</f>
        <v/>
      </c>
      <c r="F125" s="38" t="inlineStr">
        <is>
          <t>NFV  :TENDA ATACADO LTDA</t>
        </is>
      </c>
      <c r="G125" s="38" t="inlineStr">
        <is>
          <t>MARIO FRUGIS (01.04.01)</t>
        </is>
      </c>
      <c r="H125" s="38" t="inlineStr">
        <is>
          <t>NFV</t>
        </is>
      </c>
      <c r="I125" s="40" t="n">
        <v>10.27</v>
      </c>
      <c r="J125" s="40" t="n">
        <v>0</v>
      </c>
      <c r="K125" s="6">
        <f>I125-J125</f>
        <v/>
      </c>
      <c r="L125" s="6">
        <f>IF(H125="DISTRATO",0,I125)</f>
        <v/>
      </c>
    </row>
    <row r="126">
      <c r="A126" s="38" t="inlineStr">
        <is>
          <t>Conta corrente MFRUGIS06.XLS</t>
        </is>
      </c>
      <c r="B126" s="39" t="n">
        <v>38803</v>
      </c>
      <c r="C126" s="4" t="n">
        <v>38777</v>
      </c>
      <c r="D126" s="5">
        <f>YEAR(C126)</f>
        <v/>
      </c>
      <c r="E126" s="5">
        <f>MONTH(C126)</f>
        <v/>
      </c>
      <c r="F126" s="38" t="inlineStr">
        <is>
          <t>NFV  :TENDA ATACADO LTDA</t>
        </is>
      </c>
      <c r="G126" s="38" t="inlineStr">
        <is>
          <t>MARIO FRUGIS (01.04.01)</t>
        </is>
      </c>
      <c r="H126" s="38" t="inlineStr">
        <is>
          <t>NFV</t>
        </is>
      </c>
      <c r="I126" s="40" t="n">
        <v>10.27</v>
      </c>
      <c r="J126" s="40" t="n">
        <v>0</v>
      </c>
      <c r="K126" s="6">
        <f>I126-J126</f>
        <v/>
      </c>
      <c r="L126" s="6">
        <f>IF(H126="DISTRATO",0,I126)</f>
        <v/>
      </c>
    </row>
    <row r="127">
      <c r="A127" s="38" t="inlineStr">
        <is>
          <t>Conta corrente MFRUGIS06.XLS</t>
        </is>
      </c>
      <c r="B127" s="39" t="n">
        <v>38803</v>
      </c>
      <c r="C127" s="4" t="n">
        <v>38777</v>
      </c>
      <c r="D127" s="5">
        <f>YEAR(C127)</f>
        <v/>
      </c>
      <c r="E127" s="5">
        <f>MONTH(C127)</f>
        <v/>
      </c>
      <c r="F127" s="38" t="inlineStr">
        <is>
          <t>NFV  :TENDA ATACADO LTDA</t>
        </is>
      </c>
      <c r="G127" s="38" t="inlineStr">
        <is>
          <t>MARIO FRUGIS (01.04.01)</t>
        </is>
      </c>
      <c r="H127" s="38" t="inlineStr">
        <is>
          <t>NFV</t>
        </is>
      </c>
      <c r="I127" s="40" t="n">
        <v>10.27</v>
      </c>
      <c r="J127" s="40" t="n">
        <v>0</v>
      </c>
      <c r="K127" s="6">
        <f>I127-J127</f>
        <v/>
      </c>
      <c r="L127" s="6">
        <f>IF(H127="DISTRATO",0,I127)</f>
        <v/>
      </c>
    </row>
    <row r="128">
      <c r="A128" s="38" t="inlineStr">
        <is>
          <t>Conta corrente MFRUGIS06.XLS</t>
        </is>
      </c>
      <c r="B128" s="39" t="n">
        <v>38803</v>
      </c>
      <c r="C128" s="4" t="n">
        <v>38777</v>
      </c>
      <c r="D128" s="5">
        <f>YEAR(C128)</f>
        <v/>
      </c>
      <c r="E128" s="5">
        <f>MONTH(C128)</f>
        <v/>
      </c>
      <c r="F128" s="38" t="inlineStr">
        <is>
          <t>NFV  :TENDA ATACADO LTDA</t>
        </is>
      </c>
      <c r="G128" s="38" t="inlineStr">
        <is>
          <t>MARIO FRUGIS (01.04.01)</t>
        </is>
      </c>
      <c r="H128" s="38" t="inlineStr">
        <is>
          <t>NFV</t>
        </is>
      </c>
      <c r="I128" s="40" t="n">
        <v>42.95</v>
      </c>
      <c r="J128" s="40" t="n">
        <v>0</v>
      </c>
      <c r="K128" s="6">
        <f>I128-J128</f>
        <v/>
      </c>
      <c r="L128" s="6">
        <f>IF(H128="DISTRATO",0,I128)</f>
        <v/>
      </c>
    </row>
    <row r="129">
      <c r="A129" s="38" t="inlineStr">
        <is>
          <t>Conta corrente MFRUGIS06.XLS</t>
        </is>
      </c>
      <c r="B129" s="39" t="n">
        <v>38803</v>
      </c>
      <c r="C129" s="4" t="n">
        <v>38777</v>
      </c>
      <c r="D129" s="5">
        <f>YEAR(C129)</f>
        <v/>
      </c>
      <c r="E129" s="5">
        <f>MONTH(C129)</f>
        <v/>
      </c>
      <c r="F129" s="38" t="inlineStr">
        <is>
          <t>NFV  :TENDA ATACADO LTDA</t>
        </is>
      </c>
      <c r="G129" s="38" t="inlineStr">
        <is>
          <t>MARIO FRUGIS (01.04.01)</t>
        </is>
      </c>
      <c r="H129" s="38" t="inlineStr">
        <is>
          <t>NFV</t>
        </is>
      </c>
      <c r="I129" s="40" t="n">
        <v>47.51</v>
      </c>
      <c r="J129" s="40" t="n">
        <v>0</v>
      </c>
      <c r="K129" s="6">
        <f>I129-J129</f>
        <v/>
      </c>
      <c r="L129" s="6">
        <f>IF(H129="DISTRATO",0,I129)</f>
        <v/>
      </c>
    </row>
    <row r="130">
      <c r="A130" s="38" t="inlineStr">
        <is>
          <t>Conta corrente MFRUGIS06.XLS</t>
        </is>
      </c>
      <c r="B130" s="39" t="n">
        <v>38803</v>
      </c>
      <c r="C130" s="4" t="n">
        <v>38777</v>
      </c>
      <c r="D130" s="5">
        <f>YEAR(C130)</f>
        <v/>
      </c>
      <c r="E130" s="5">
        <f>MONTH(C130)</f>
        <v/>
      </c>
      <c r="F130" s="38" t="inlineStr">
        <is>
          <t>NFV  :TENDA ATACADO LTDA</t>
        </is>
      </c>
      <c r="G130" s="38" t="inlineStr">
        <is>
          <t>MARIO FRUGIS (01.04.01)</t>
        </is>
      </c>
      <c r="H130" s="38" t="inlineStr">
        <is>
          <t>NFV</t>
        </is>
      </c>
      <c r="I130" s="40" t="n">
        <v>20.55</v>
      </c>
      <c r="J130" s="40" t="n">
        <v>0</v>
      </c>
      <c r="K130" s="6">
        <f>I130-J130</f>
        <v/>
      </c>
      <c r="L130" s="6">
        <f>IF(H130="DISTRATO",0,I130)</f>
        <v/>
      </c>
    </row>
    <row r="131">
      <c r="A131" s="38" t="inlineStr">
        <is>
          <t>Conta corrente MFRUGIS06.XLS</t>
        </is>
      </c>
      <c r="B131" s="39" t="n">
        <v>38803</v>
      </c>
      <c r="C131" s="4" t="n">
        <v>38777</v>
      </c>
      <c r="D131" s="5">
        <f>YEAR(C131)</f>
        <v/>
      </c>
      <c r="E131" s="5">
        <f>MONTH(C131)</f>
        <v/>
      </c>
      <c r="F131" s="38" t="inlineStr">
        <is>
          <t>NFV  :TENDA ATACADO LTDA</t>
        </is>
      </c>
      <c r="G131" s="38" t="inlineStr">
        <is>
          <t>MARIO FRUGIS (01.04.01)</t>
        </is>
      </c>
      <c r="H131" s="38" t="inlineStr">
        <is>
          <t>NFV</t>
        </is>
      </c>
      <c r="I131" s="40" t="n">
        <v>20.55</v>
      </c>
      <c r="J131" s="40" t="n">
        <v>0</v>
      </c>
      <c r="K131" s="6">
        <f>I131-J131</f>
        <v/>
      </c>
      <c r="L131" s="6">
        <f>IF(H131="DISTRATO",0,I131)</f>
        <v/>
      </c>
    </row>
    <row r="132">
      <c r="A132" s="38" t="inlineStr">
        <is>
          <t>Conta corrente MFRUGIS06.XLS</t>
        </is>
      </c>
      <c r="B132" s="39" t="n">
        <v>38803</v>
      </c>
      <c r="C132" s="4" t="n">
        <v>38777</v>
      </c>
      <c r="D132" s="5">
        <f>YEAR(C132)</f>
        <v/>
      </c>
      <c r="E132" s="5">
        <f>MONTH(C132)</f>
        <v/>
      </c>
      <c r="F132" s="38" t="inlineStr">
        <is>
          <t>NFV  :TENDA ATACADO LTDA</t>
        </is>
      </c>
      <c r="G132" s="38" t="inlineStr">
        <is>
          <t>MARIO FRUGIS (01.04.01)</t>
        </is>
      </c>
      <c r="H132" s="38" t="inlineStr">
        <is>
          <t>NFV</t>
        </is>
      </c>
      <c r="I132" s="40" t="n">
        <v>111.7</v>
      </c>
      <c r="J132" s="40" t="n">
        <v>0</v>
      </c>
      <c r="K132" s="6">
        <f>I132-J132</f>
        <v/>
      </c>
      <c r="L132" s="6">
        <f>IF(H132="DISTRATO",0,I132)</f>
        <v/>
      </c>
    </row>
    <row r="133">
      <c r="A133" s="38" t="inlineStr">
        <is>
          <t>Conta corrente MFRUGIS06.XLS</t>
        </is>
      </c>
      <c r="B133" s="39" t="n">
        <v>38803</v>
      </c>
      <c r="C133" s="4" t="n">
        <v>38777</v>
      </c>
      <c r="D133" s="5">
        <f>YEAR(C133)</f>
        <v/>
      </c>
      <c r="E133" s="5">
        <f>MONTH(C133)</f>
        <v/>
      </c>
      <c r="F133" s="38" t="inlineStr">
        <is>
          <t>NFV  :TENDA ATACADO LTDA</t>
        </is>
      </c>
      <c r="G133" s="38" t="inlineStr">
        <is>
          <t>MARIO FRUGIS (01.04.01)</t>
        </is>
      </c>
      <c r="H133" s="38" t="inlineStr">
        <is>
          <t>NFV</t>
        </is>
      </c>
      <c r="I133" s="40" t="n">
        <v>50.88</v>
      </c>
      <c r="J133" s="40" t="n">
        <v>0</v>
      </c>
      <c r="K133" s="6">
        <f>I133-J133</f>
        <v/>
      </c>
      <c r="L133" s="6">
        <f>IF(H133="DISTRATO",0,I133)</f>
        <v/>
      </c>
    </row>
    <row r="134">
      <c r="A134" s="38" t="inlineStr">
        <is>
          <t>Conta corrente MFRUGIS06.XLS</t>
        </is>
      </c>
      <c r="B134" s="39" t="n">
        <v>38804</v>
      </c>
      <c r="C134" s="4" t="n">
        <v>38777</v>
      </c>
      <c r="D134" s="5">
        <f>YEAR(C134)</f>
        <v/>
      </c>
      <c r="E134" s="5">
        <f>MONTH(C134)</f>
        <v/>
      </c>
      <c r="F134" s="38" t="inlineStr">
        <is>
          <t>19664 BONIF:TENDA ATACADO LTDA               -</t>
        </is>
      </c>
      <c r="G134" s="38" t="inlineStr">
        <is>
          <t>MARIO FRUGIS (01.04.01)</t>
        </is>
      </c>
      <c r="H134" s="38" t="inlineStr">
        <is>
          <t>BONIFICACAO</t>
        </is>
      </c>
      <c r="I134" s="40" t="n">
        <v>-101.6</v>
      </c>
      <c r="J134" s="40" t="n">
        <v>0</v>
      </c>
      <c r="K134" s="6">
        <f>I134-J134</f>
        <v/>
      </c>
      <c r="L134" s="6">
        <f>IF(H134="DISTRATO",0,I134)</f>
        <v/>
      </c>
    </row>
    <row r="135">
      <c r="A135" s="38" t="inlineStr">
        <is>
          <t>Conta corrente MFRUGIS06.XLS</t>
        </is>
      </c>
      <c r="B135" s="39" t="n">
        <v>38804</v>
      </c>
      <c r="C135" s="4" t="n">
        <v>38777</v>
      </c>
      <c r="D135" s="5">
        <f>YEAR(C135)</f>
        <v/>
      </c>
      <c r="E135" s="5">
        <f>MONTH(C135)</f>
        <v/>
      </c>
      <c r="F135" s="38" t="inlineStr">
        <is>
          <t>NFV  :TENDA ATACADO LTDA</t>
        </is>
      </c>
      <c r="G135" s="38" t="inlineStr">
        <is>
          <t>MARIO FRUGIS (01.04.01)</t>
        </is>
      </c>
      <c r="H135" s="38" t="inlineStr">
        <is>
          <t>NFV</t>
        </is>
      </c>
      <c r="I135" s="40" t="n">
        <v>42.83</v>
      </c>
      <c r="J135" s="40" t="n">
        <v>0</v>
      </c>
      <c r="K135" s="6">
        <f>I135-J135</f>
        <v/>
      </c>
      <c r="L135" s="6">
        <f>IF(H135="DISTRATO",0,I135)</f>
        <v/>
      </c>
    </row>
    <row r="136">
      <c r="A136" s="38" t="inlineStr">
        <is>
          <t>Conta corrente MFRUGIS06.XLS</t>
        </is>
      </c>
      <c r="B136" s="39" t="n">
        <v>38804</v>
      </c>
      <c r="C136" s="4" t="n">
        <v>38777</v>
      </c>
      <c r="D136" s="5">
        <f>YEAR(C136)</f>
        <v/>
      </c>
      <c r="E136" s="5">
        <f>MONTH(C136)</f>
        <v/>
      </c>
      <c r="F136" s="38" t="inlineStr">
        <is>
          <t>NFV  :TENDA ATACADO LTDA</t>
        </is>
      </c>
      <c r="G136" s="38" t="inlineStr">
        <is>
          <t>MARIO FRUGIS (01.04.01)</t>
        </is>
      </c>
      <c r="H136" s="38" t="inlineStr">
        <is>
          <t>NFV</t>
        </is>
      </c>
      <c r="I136" s="40" t="n">
        <v>30.83</v>
      </c>
      <c r="J136" s="40" t="n">
        <v>0</v>
      </c>
      <c r="K136" s="6">
        <f>I136-J136</f>
        <v/>
      </c>
      <c r="L136" s="6">
        <f>IF(H136="DISTRATO",0,I136)</f>
        <v/>
      </c>
    </row>
    <row r="137">
      <c r="A137" s="38" t="inlineStr">
        <is>
          <t>Conta corrente MFRUGIS06.XLS</t>
        </is>
      </c>
      <c r="B137" s="39" t="n">
        <v>38812</v>
      </c>
      <c r="C137" s="4" t="n">
        <v>38808</v>
      </c>
      <c r="D137" s="5">
        <f>YEAR(C137)</f>
        <v/>
      </c>
      <c r="E137" s="5">
        <f>MONTH(C137)</f>
        <v/>
      </c>
      <c r="F137" s="38" t="inlineStr">
        <is>
          <t>19665 NFV  :TENDA ATACADO LTDA</t>
        </is>
      </c>
      <c r="G137" s="38" t="inlineStr">
        <is>
          <t>MARIO FRUGIS (01.04.01)</t>
        </is>
      </c>
      <c r="H137" s="38" t="inlineStr">
        <is>
          <t>NFV</t>
        </is>
      </c>
      <c r="I137" s="40" t="n">
        <v>37.66</v>
      </c>
      <c r="J137" s="40" t="n">
        <v>0</v>
      </c>
      <c r="K137" s="6">
        <f>I137-J137</f>
        <v/>
      </c>
      <c r="L137" s="6">
        <f>IF(H137="DISTRATO",0,I137)</f>
        <v/>
      </c>
    </row>
    <row r="138">
      <c r="A138" s="38" t="inlineStr">
        <is>
          <t>Conta corrente MFRUGIS06.XLS</t>
        </is>
      </c>
      <c r="B138" s="39" t="n">
        <v>38812</v>
      </c>
      <c r="C138" s="4" t="n">
        <v>38808</v>
      </c>
      <c r="D138" s="5">
        <f>YEAR(C138)</f>
        <v/>
      </c>
      <c r="E138" s="5">
        <f>MONTH(C138)</f>
        <v/>
      </c>
      <c r="F138" s="38" t="inlineStr">
        <is>
          <t>19666 NFV  :TENDA ATACADO LTDA</t>
        </is>
      </c>
      <c r="G138" s="38" t="inlineStr">
        <is>
          <t>MARIO FRUGIS (01.04.01)</t>
        </is>
      </c>
      <c r="H138" s="38" t="inlineStr">
        <is>
          <t>NFV</t>
        </is>
      </c>
      <c r="I138" s="40" t="n">
        <v>33.57</v>
      </c>
      <c r="J138" s="40" t="n">
        <v>0</v>
      </c>
      <c r="K138" s="6">
        <f>I138-J138</f>
        <v/>
      </c>
      <c r="L138" s="6">
        <f>IF(H138="DISTRATO",0,I138)</f>
        <v/>
      </c>
    </row>
    <row r="139">
      <c r="A139" s="38" t="inlineStr">
        <is>
          <t>Conta corrente MFRUGIS06.XLS</t>
        </is>
      </c>
      <c r="B139" s="39" t="n">
        <v>38812</v>
      </c>
      <c r="C139" s="4" t="n">
        <v>38808</v>
      </c>
      <c r="D139" s="5">
        <f>YEAR(C139)</f>
        <v/>
      </c>
      <c r="E139" s="5">
        <f>MONTH(C139)</f>
        <v/>
      </c>
      <c r="F139" s="38" t="inlineStr">
        <is>
          <t>19667 NFV  :TENDA ATACADO LTDA</t>
        </is>
      </c>
      <c r="G139" s="38" t="inlineStr">
        <is>
          <t>MARIO FRUGIS (01.04.01)</t>
        </is>
      </c>
      <c r="H139" s="38" t="inlineStr">
        <is>
          <t>NFV</t>
        </is>
      </c>
      <c r="I139" s="40" t="n">
        <v>21.19</v>
      </c>
      <c r="J139" s="40" t="n">
        <v>0</v>
      </c>
      <c r="K139" s="6">
        <f>I139-J139</f>
        <v/>
      </c>
      <c r="L139" s="6">
        <f>IF(H139="DISTRATO",0,I139)</f>
        <v/>
      </c>
    </row>
    <row r="140">
      <c r="A140" s="38" t="inlineStr">
        <is>
          <t>Conta corrente MFRUGIS06.XLS</t>
        </is>
      </c>
      <c r="B140" s="39" t="n">
        <v>38813</v>
      </c>
      <c r="C140" s="4" t="n">
        <v>38808</v>
      </c>
      <c r="D140" s="5">
        <f>YEAR(C140)</f>
        <v/>
      </c>
      <c r="E140" s="5">
        <f>MONTH(C140)</f>
        <v/>
      </c>
      <c r="F140" s="38" t="inlineStr">
        <is>
          <t>NFV  :TENDA ATACADO LTDA</t>
        </is>
      </c>
      <c r="G140" s="38" t="inlineStr">
        <is>
          <t>MARIO FRUGIS (01.04.01)</t>
        </is>
      </c>
      <c r="H140" s="38" t="inlineStr">
        <is>
          <t>NFV</t>
        </is>
      </c>
      <c r="I140" s="40" t="n">
        <v>32.9</v>
      </c>
      <c r="J140" s="40" t="n">
        <v>0</v>
      </c>
      <c r="K140" s="6">
        <f>I140-J140</f>
        <v/>
      </c>
      <c r="L140" s="6">
        <f>IF(H140="DISTRATO",0,I140)</f>
        <v/>
      </c>
    </row>
    <row r="141">
      <c r="A141" s="38" t="inlineStr">
        <is>
          <t>Conta corrente MFRUGIS06.XLS</t>
        </is>
      </c>
      <c r="B141" s="39" t="n">
        <v>38813</v>
      </c>
      <c r="C141" s="4" t="n">
        <v>38808</v>
      </c>
      <c r="D141" s="5">
        <f>YEAR(C141)</f>
        <v/>
      </c>
      <c r="E141" s="5">
        <f>MONTH(C141)</f>
        <v/>
      </c>
      <c r="F141" s="38" t="inlineStr">
        <is>
          <t>NFV  :TENDA ATACADO LTDA</t>
        </is>
      </c>
      <c r="G141" s="38" t="inlineStr">
        <is>
          <t>MARIO FRUGIS (01.04.01)</t>
        </is>
      </c>
      <c r="H141" s="38" t="inlineStr">
        <is>
          <t>NFV</t>
        </is>
      </c>
      <c r="I141" s="40" t="n">
        <v>15.63</v>
      </c>
      <c r="J141" s="40" t="n">
        <v>0</v>
      </c>
      <c r="K141" s="6">
        <f>I141-J141</f>
        <v/>
      </c>
      <c r="L141" s="6">
        <f>IF(H141="DISTRATO",0,I141)</f>
        <v/>
      </c>
    </row>
    <row r="142">
      <c r="A142" s="38" t="inlineStr">
        <is>
          <t>Conta corrente MFRUGIS06.XLS</t>
        </is>
      </c>
      <c r="B142" s="39" t="n">
        <v>38813</v>
      </c>
      <c r="C142" s="4" t="n">
        <v>38808</v>
      </c>
      <c r="D142" s="5">
        <f>YEAR(C142)</f>
        <v/>
      </c>
      <c r="E142" s="5">
        <f>MONTH(C142)</f>
        <v/>
      </c>
      <c r="F142" s="38" t="inlineStr">
        <is>
          <t>NFV  :TENDA ATACADO LTDA</t>
        </is>
      </c>
      <c r="G142" s="38" t="inlineStr">
        <is>
          <t>MARIO FRUGIS (01.04.01)</t>
        </is>
      </c>
      <c r="H142" s="38" t="inlineStr">
        <is>
          <t>NFV</t>
        </is>
      </c>
      <c r="I142" s="40" t="n">
        <v>92.16</v>
      </c>
      <c r="J142" s="40" t="n">
        <v>0</v>
      </c>
      <c r="K142" s="6">
        <f>I142-J142</f>
        <v/>
      </c>
      <c r="L142" s="6">
        <f>IF(H142="DISTRATO",0,I142)</f>
        <v/>
      </c>
    </row>
    <row r="143">
      <c r="A143" s="38" t="inlineStr">
        <is>
          <t>Conta corrente MFRUGIS06.XLS</t>
        </is>
      </c>
      <c r="B143" s="39" t="n">
        <v>38813</v>
      </c>
      <c r="C143" s="4" t="n">
        <v>38808</v>
      </c>
      <c r="D143" s="5">
        <f>YEAR(C143)</f>
        <v/>
      </c>
      <c r="E143" s="5">
        <f>MONTH(C143)</f>
        <v/>
      </c>
      <c r="F143" s="38" t="inlineStr">
        <is>
          <t>NFV  :TENDA ATACADO LTDA</t>
        </is>
      </c>
      <c r="G143" s="38" t="inlineStr">
        <is>
          <t>MARIO FRUGIS (01.04.01)</t>
        </is>
      </c>
      <c r="H143" s="38" t="inlineStr">
        <is>
          <t>NFV</t>
        </is>
      </c>
      <c r="I143" s="40" t="n">
        <v>51.38</v>
      </c>
      <c r="J143" s="40" t="n">
        <v>0</v>
      </c>
      <c r="K143" s="6">
        <f>I143-J143</f>
        <v/>
      </c>
      <c r="L143" s="6">
        <f>IF(H143="DISTRATO",0,I143)</f>
        <v/>
      </c>
    </row>
    <row r="144">
      <c r="A144" s="38" t="inlineStr">
        <is>
          <t>Conta corrente MFRUGIS06.XLS</t>
        </is>
      </c>
      <c r="B144" s="39" t="n">
        <v>38817</v>
      </c>
      <c r="C144" s="4" t="n">
        <v>38808</v>
      </c>
      <c r="D144" s="5">
        <f>YEAR(C144)</f>
        <v/>
      </c>
      <c r="E144" s="5">
        <f>MONTH(C144)</f>
        <v/>
      </c>
      <c r="F144" s="38" t="inlineStr">
        <is>
          <t>NFV  :TENDA ATACADO LTDA</t>
        </is>
      </c>
      <c r="G144" s="38" t="inlineStr">
        <is>
          <t>MARIO FRUGIS (01.04.01)</t>
        </is>
      </c>
      <c r="H144" s="38" t="inlineStr">
        <is>
          <t>NFV</t>
        </is>
      </c>
      <c r="I144" s="40" t="n">
        <v>31.78</v>
      </c>
      <c r="J144" s="40" t="n">
        <v>0</v>
      </c>
      <c r="K144" s="6">
        <f>I144-J144</f>
        <v/>
      </c>
      <c r="L144" s="6">
        <f>IF(H144="DISTRATO",0,I144)</f>
        <v/>
      </c>
    </row>
    <row r="145">
      <c r="A145" s="38" t="inlineStr">
        <is>
          <t>Conta corrente MFRUGIS06.XLS</t>
        </is>
      </c>
      <c r="B145" s="39" t="n">
        <v>38817</v>
      </c>
      <c r="C145" s="4" t="n">
        <v>38808</v>
      </c>
      <c r="D145" s="5">
        <f>YEAR(C145)</f>
        <v/>
      </c>
      <c r="E145" s="5">
        <f>MONTH(C145)</f>
        <v/>
      </c>
      <c r="F145" s="38" t="inlineStr">
        <is>
          <t>NFV  :TENDA ATACADO LTDA</t>
        </is>
      </c>
      <c r="G145" s="38" t="inlineStr">
        <is>
          <t>MARIO FRUGIS (01.04.01)</t>
        </is>
      </c>
      <c r="H145" s="38" t="inlineStr">
        <is>
          <t>NFV</t>
        </is>
      </c>
      <c r="I145" s="40" t="n">
        <v>8.31</v>
      </c>
      <c r="J145" s="40" t="n">
        <v>0</v>
      </c>
      <c r="K145" s="6">
        <f>I145-J145</f>
        <v/>
      </c>
      <c r="L145" s="6">
        <f>IF(H145="DISTRATO",0,I145)</f>
        <v/>
      </c>
    </row>
    <row r="146">
      <c r="A146" s="38" t="inlineStr">
        <is>
          <t>Conta corrente MFRUGIS06.XLS</t>
        </is>
      </c>
      <c r="B146" s="39" t="n">
        <v>38833</v>
      </c>
      <c r="C146" s="4" t="n">
        <v>38808</v>
      </c>
      <c r="D146" s="5">
        <f>YEAR(C146)</f>
        <v/>
      </c>
      <c r="E146" s="5">
        <f>MONTH(C146)</f>
        <v/>
      </c>
      <c r="F146" s="38" t="inlineStr">
        <is>
          <t>18992 BONIF:TENDA ATACADO LTDA</t>
        </is>
      </c>
      <c r="G146" s="38" t="inlineStr">
        <is>
          <t>MARIO FRUGIS (01.04.01)</t>
        </is>
      </c>
      <c r="H146" s="38" t="inlineStr">
        <is>
          <t>BONIFICACAO</t>
        </is>
      </c>
      <c r="I146" s="40" t="n">
        <v>-14.36</v>
      </c>
      <c r="J146" s="40" t="n">
        <v>0</v>
      </c>
      <c r="K146" s="6">
        <f>I146-J146</f>
        <v/>
      </c>
      <c r="L146" s="6">
        <f>IF(H146="DISTRATO",0,I146)</f>
        <v/>
      </c>
    </row>
    <row r="147">
      <c r="A147" s="38" t="inlineStr">
        <is>
          <t>Conta corrente MFRUGIS06.XLS</t>
        </is>
      </c>
      <c r="B147" s="39" t="n">
        <v>38835</v>
      </c>
      <c r="C147" s="4" t="n">
        <v>38808</v>
      </c>
      <c r="D147" s="5">
        <f>YEAR(C147)</f>
        <v/>
      </c>
      <c r="E147" s="5">
        <f>MONTH(C147)</f>
        <v/>
      </c>
      <c r="F147" s="38" t="inlineStr">
        <is>
          <t>18990 BONIF:TENDA ATACADO LTDA</t>
        </is>
      </c>
      <c r="G147" s="38" t="inlineStr">
        <is>
          <t>MARIO FRUGIS (01.04.01)</t>
        </is>
      </c>
      <c r="H147" s="38" t="inlineStr">
        <is>
          <t>BONIFICACAO</t>
        </is>
      </c>
      <c r="I147" s="40" t="n">
        <v>-14.36</v>
      </c>
      <c r="J147" s="40" t="n">
        <v>0</v>
      </c>
      <c r="K147" s="6">
        <f>I147-J147</f>
        <v/>
      </c>
      <c r="L147" s="6">
        <f>IF(H147="DISTRATO",0,I147)</f>
        <v/>
      </c>
    </row>
    <row r="148">
      <c r="A148" s="38" t="inlineStr">
        <is>
          <t>Conta corrente MFRUGIS06.XLS</t>
        </is>
      </c>
      <c r="B148" s="39" t="n">
        <v>38835</v>
      </c>
      <c r="C148" s="4" t="n">
        <v>38808</v>
      </c>
      <c r="D148" s="5">
        <f>YEAR(C148)</f>
        <v/>
      </c>
      <c r="E148" s="5">
        <f>MONTH(C148)</f>
        <v/>
      </c>
      <c r="F148" s="38" t="inlineStr">
        <is>
          <t>18991 BONIF:TENDA ATACADO LTDA</t>
        </is>
      </c>
      <c r="G148" s="38" t="inlineStr">
        <is>
          <t>MARIO FRUGIS (01.04.01)</t>
        </is>
      </c>
      <c r="H148" s="38" t="inlineStr">
        <is>
          <t>BONIFICACAO</t>
        </is>
      </c>
      <c r="I148" s="40" t="n">
        <v>-14.36</v>
      </c>
      <c r="J148" s="40" t="n">
        <v>0</v>
      </c>
      <c r="K148" s="6">
        <f>I148-J148</f>
        <v/>
      </c>
      <c r="L148" s="6">
        <f>IF(H148="DISTRATO",0,I148)</f>
        <v/>
      </c>
    </row>
    <row r="149">
      <c r="A149" s="38" t="inlineStr">
        <is>
          <t>Conta corrente MFRUGIS06.XLS</t>
        </is>
      </c>
      <c r="B149" s="39" t="n">
        <v>38835</v>
      </c>
      <c r="C149" s="4" t="n">
        <v>38808</v>
      </c>
      <c r="D149" s="5">
        <f>YEAR(C149)</f>
        <v/>
      </c>
      <c r="E149" s="5">
        <f>MONTH(C149)</f>
        <v/>
      </c>
      <c r="F149" s="38" t="inlineStr">
        <is>
          <t>NFV  :TENDA ATACADO LTDA</t>
        </is>
      </c>
      <c r="G149" s="38" t="inlineStr">
        <is>
          <t>MARIO FRUGIS (01.04.01)</t>
        </is>
      </c>
      <c r="H149" s="38" t="inlineStr">
        <is>
          <t>NFV</t>
        </is>
      </c>
      <c r="I149" s="40" t="n">
        <v>80.12</v>
      </c>
      <c r="J149" s="40" t="n">
        <v>0</v>
      </c>
      <c r="K149" s="6">
        <f>I149-J149</f>
        <v/>
      </c>
      <c r="L149" s="6">
        <f>IF(H149="DISTRATO",0,I149)</f>
        <v/>
      </c>
    </row>
    <row r="150">
      <c r="A150" s="38" t="inlineStr">
        <is>
          <t>Conta corrente MFRUGIS06.XLS</t>
        </is>
      </c>
      <c r="B150" s="39" t="n">
        <v>38835</v>
      </c>
      <c r="C150" s="4" t="n">
        <v>38808</v>
      </c>
      <c r="D150" s="5">
        <f>YEAR(C150)</f>
        <v/>
      </c>
      <c r="E150" s="5">
        <f>MONTH(C150)</f>
        <v/>
      </c>
      <c r="F150" s="38" t="inlineStr">
        <is>
          <t>NFV  :TENDA ATACADO LTDA</t>
        </is>
      </c>
      <c r="G150" s="38" t="inlineStr">
        <is>
          <t>MARIO FRUGIS (01.04.01)</t>
        </is>
      </c>
      <c r="H150" s="38" t="inlineStr">
        <is>
          <t>NFV</t>
        </is>
      </c>
      <c r="I150" s="40" t="n">
        <v>1.62</v>
      </c>
      <c r="J150" s="40" t="n">
        <v>0</v>
      </c>
      <c r="K150" s="6">
        <f>I150-J150</f>
        <v/>
      </c>
      <c r="L150" s="6">
        <f>IF(H150="DISTRATO",0,I150)</f>
        <v/>
      </c>
    </row>
    <row r="151">
      <c r="A151" s="38" t="inlineStr">
        <is>
          <t>Conta corrente MFRUGIS06.XLS</t>
        </is>
      </c>
      <c r="B151" s="39" t="n">
        <v>38835</v>
      </c>
      <c r="C151" s="4" t="n">
        <v>38808</v>
      </c>
      <c r="D151" s="5">
        <f>YEAR(C151)</f>
        <v/>
      </c>
      <c r="E151" s="5">
        <f>MONTH(C151)</f>
        <v/>
      </c>
      <c r="F151" s="38" t="inlineStr">
        <is>
          <t>NFV  :TENDA ATACADO LTDA</t>
        </is>
      </c>
      <c r="G151" s="38" t="inlineStr">
        <is>
          <t>MARIO FRUGIS (01.04.01)</t>
        </is>
      </c>
      <c r="H151" s="38" t="inlineStr">
        <is>
          <t>NFV</t>
        </is>
      </c>
      <c r="I151" s="40" t="n">
        <v>32.84</v>
      </c>
      <c r="J151" s="40" t="n">
        <v>0</v>
      </c>
      <c r="K151" s="6">
        <f>I151-J151</f>
        <v/>
      </c>
      <c r="L151" s="6">
        <f>IF(H151="DISTRATO",0,I151)</f>
        <v/>
      </c>
    </row>
    <row r="152">
      <c r="A152" s="38" t="inlineStr">
        <is>
          <t>Conta corrente MFRUGIS06.XLS</t>
        </is>
      </c>
      <c r="B152" s="39" t="n">
        <v>38835</v>
      </c>
      <c r="C152" s="4" t="n">
        <v>38808</v>
      </c>
      <c r="D152" s="5">
        <f>YEAR(C152)</f>
        <v/>
      </c>
      <c r="E152" s="5">
        <f>MONTH(C152)</f>
        <v/>
      </c>
      <c r="F152" s="38" t="inlineStr">
        <is>
          <t>NFV  :TENDA ATACADO LTDA</t>
        </is>
      </c>
      <c r="G152" s="38" t="inlineStr">
        <is>
          <t>MARIO FRUGIS (01.04.01)</t>
        </is>
      </c>
      <c r="H152" s="38" t="inlineStr">
        <is>
          <t>NFV</t>
        </is>
      </c>
      <c r="I152" s="40" t="n">
        <v>27.31</v>
      </c>
      <c r="J152" s="40" t="n">
        <v>0</v>
      </c>
      <c r="K152" s="6">
        <f>I152-J152</f>
        <v/>
      </c>
      <c r="L152" s="6">
        <f>IF(H152="DISTRATO",0,I152)</f>
        <v/>
      </c>
    </row>
    <row r="153">
      <c r="A153" s="38" t="inlineStr">
        <is>
          <t>Conta corrente MFRUGIS06.XLS</t>
        </is>
      </c>
      <c r="B153" s="39" t="n">
        <v>38835</v>
      </c>
      <c r="C153" s="4" t="n">
        <v>38808</v>
      </c>
      <c r="D153" s="5">
        <f>YEAR(C153)</f>
        <v/>
      </c>
      <c r="E153" s="5">
        <f>MONTH(C153)</f>
        <v/>
      </c>
      <c r="F153" s="38" t="inlineStr">
        <is>
          <t>NFV  :TENDA ATACADO LTDA</t>
        </is>
      </c>
      <c r="G153" s="38" t="inlineStr">
        <is>
          <t>MARIO FRUGIS (01.04.01)</t>
        </is>
      </c>
      <c r="H153" s="38" t="inlineStr">
        <is>
          <t>NFV</t>
        </is>
      </c>
      <c r="I153" s="40" t="n">
        <v>26.7</v>
      </c>
      <c r="J153" s="40" t="n">
        <v>0</v>
      </c>
      <c r="K153" s="6">
        <f>I153-J153</f>
        <v/>
      </c>
      <c r="L153" s="6">
        <f>IF(H153="DISTRATO",0,I153)</f>
        <v/>
      </c>
    </row>
    <row r="154">
      <c r="A154" s="38" t="inlineStr">
        <is>
          <t>Conta corrente MFRUGIS06.XLS</t>
        </is>
      </c>
      <c r="B154" s="39" t="n">
        <v>38835</v>
      </c>
      <c r="C154" s="4" t="n">
        <v>38808</v>
      </c>
      <c r="D154" s="5">
        <f>YEAR(C154)</f>
        <v/>
      </c>
      <c r="E154" s="5">
        <f>MONTH(C154)</f>
        <v/>
      </c>
      <c r="F154" s="38" t="inlineStr">
        <is>
          <t>NFV  :TENDA ATACADO LTDA</t>
        </is>
      </c>
      <c r="G154" s="38" t="inlineStr">
        <is>
          <t>MARIO FRUGIS (01.04.01)</t>
        </is>
      </c>
      <c r="H154" s="38" t="inlineStr">
        <is>
          <t>NFV</t>
        </is>
      </c>
      <c r="I154" s="40" t="n">
        <v>10.27</v>
      </c>
      <c r="J154" s="40" t="n">
        <v>0</v>
      </c>
      <c r="K154" s="6">
        <f>I154-J154</f>
        <v/>
      </c>
      <c r="L154" s="6">
        <f>IF(H154="DISTRATO",0,I154)</f>
        <v/>
      </c>
    </row>
    <row r="155">
      <c r="A155" s="38" t="inlineStr">
        <is>
          <t>Conta corrente MFRUGIS06.XLS</t>
        </is>
      </c>
      <c r="B155" s="39" t="n">
        <v>38835</v>
      </c>
      <c r="C155" s="4" t="n">
        <v>38808</v>
      </c>
      <c r="D155" s="5">
        <f>YEAR(C155)</f>
        <v/>
      </c>
      <c r="E155" s="5">
        <f>MONTH(C155)</f>
        <v/>
      </c>
      <c r="F155" s="38" t="inlineStr">
        <is>
          <t>NFV  :TENDA ATACADO LTDA</t>
        </is>
      </c>
      <c r="G155" s="38" t="inlineStr">
        <is>
          <t>MARIO FRUGIS (01.04.01)</t>
        </is>
      </c>
      <c r="H155" s="38" t="inlineStr">
        <is>
          <t>NFV</t>
        </is>
      </c>
      <c r="I155" s="40" t="n">
        <v>15.09</v>
      </c>
      <c r="J155" s="40" t="n">
        <v>0</v>
      </c>
      <c r="K155" s="6">
        <f>I155-J155</f>
        <v/>
      </c>
      <c r="L155" s="6">
        <f>IF(H155="DISTRATO",0,I155)</f>
        <v/>
      </c>
    </row>
    <row r="156">
      <c r="A156" s="38" t="inlineStr">
        <is>
          <t>Conta corrente MFRUGIS06.XLS</t>
        </is>
      </c>
      <c r="B156" s="39" t="n">
        <v>38835</v>
      </c>
      <c r="C156" s="4" t="n">
        <v>38808</v>
      </c>
      <c r="D156" s="5">
        <f>YEAR(C156)</f>
        <v/>
      </c>
      <c r="E156" s="5">
        <f>MONTH(C156)</f>
        <v/>
      </c>
      <c r="F156" s="38" t="inlineStr">
        <is>
          <t>NFV  :TENDA ATACADO LTDA</t>
        </is>
      </c>
      <c r="G156" s="38" t="inlineStr">
        <is>
          <t>MARIO FRUGIS (01.04.01)</t>
        </is>
      </c>
      <c r="H156" s="38" t="inlineStr">
        <is>
          <t>NFV</t>
        </is>
      </c>
      <c r="I156" s="40" t="n">
        <v>39.64</v>
      </c>
      <c r="J156" s="40" t="n">
        <v>0</v>
      </c>
      <c r="K156" s="6">
        <f>I156-J156</f>
        <v/>
      </c>
      <c r="L156" s="6">
        <f>IF(H156="DISTRATO",0,I156)</f>
        <v/>
      </c>
    </row>
    <row r="157">
      <c r="A157" s="38" t="inlineStr">
        <is>
          <t>Conta corrente MFRUGIS06.XLS</t>
        </is>
      </c>
      <c r="B157" s="39" t="n">
        <v>38835</v>
      </c>
      <c r="C157" s="4" t="n">
        <v>38808</v>
      </c>
      <c r="D157" s="5">
        <f>YEAR(C157)</f>
        <v/>
      </c>
      <c r="E157" s="5">
        <f>MONTH(C157)</f>
        <v/>
      </c>
      <c r="F157" s="38" t="inlineStr">
        <is>
          <t>NFV  :TENDA ATACADO LTDA</t>
        </is>
      </c>
      <c r="G157" s="38" t="inlineStr">
        <is>
          <t>MARIO FRUGIS (01.04.01)</t>
        </is>
      </c>
      <c r="H157" s="38" t="inlineStr">
        <is>
          <t>NFV</t>
        </is>
      </c>
      <c r="I157" s="40" t="n">
        <v>35.67</v>
      </c>
      <c r="J157" s="40" t="n">
        <v>0</v>
      </c>
      <c r="K157" s="6">
        <f>I157-J157</f>
        <v/>
      </c>
      <c r="L157" s="6">
        <f>IF(H157="DISTRATO",0,I157)</f>
        <v/>
      </c>
    </row>
    <row r="158">
      <c r="A158" s="38" t="inlineStr">
        <is>
          <t>Conta corrente MFRUGIS06.XLS</t>
        </is>
      </c>
      <c r="B158" s="39" t="n">
        <v>38835</v>
      </c>
      <c r="C158" s="4" t="n">
        <v>38808</v>
      </c>
      <c r="D158" s="5">
        <f>YEAR(C158)</f>
        <v/>
      </c>
      <c r="E158" s="5">
        <f>MONTH(C158)</f>
        <v/>
      </c>
      <c r="F158" s="38" t="inlineStr">
        <is>
          <t>NFV  :TENDA ATACADO LTDA</t>
        </is>
      </c>
      <c r="G158" s="38" t="inlineStr">
        <is>
          <t>MARIO FRUGIS (01.04.01)</t>
        </is>
      </c>
      <c r="H158" s="38" t="inlineStr">
        <is>
          <t>NFV</t>
        </is>
      </c>
      <c r="I158" s="40" t="n">
        <v>78.09</v>
      </c>
      <c r="J158" s="40" t="n">
        <v>0</v>
      </c>
      <c r="K158" s="6">
        <f>I158-J158</f>
        <v/>
      </c>
      <c r="L158" s="6">
        <f>IF(H158="DISTRATO",0,I158)</f>
        <v/>
      </c>
    </row>
    <row r="159">
      <c r="A159" s="38" t="inlineStr">
        <is>
          <t>Conta corrente MFRUGIS06.XLS</t>
        </is>
      </c>
      <c r="B159" s="39" t="n">
        <v>38835</v>
      </c>
      <c r="C159" s="4" t="n">
        <v>38808</v>
      </c>
      <c r="D159" s="5">
        <f>YEAR(C159)</f>
        <v/>
      </c>
      <c r="E159" s="5">
        <f>MONTH(C159)</f>
        <v/>
      </c>
      <c r="F159" s="38" t="inlineStr">
        <is>
          <t>NFV  :TENDA ATACADO LTDA</t>
        </is>
      </c>
      <c r="G159" s="38" t="inlineStr">
        <is>
          <t>MARIO FRUGIS (01.04.01)</t>
        </is>
      </c>
      <c r="H159" s="38" t="inlineStr">
        <is>
          <t>NFV</t>
        </is>
      </c>
      <c r="I159" s="40" t="n">
        <v>24.63</v>
      </c>
      <c r="J159" s="40" t="n">
        <v>0</v>
      </c>
      <c r="K159" s="6">
        <f>I159-J159</f>
        <v/>
      </c>
      <c r="L159" s="6">
        <f>IF(H159="DISTRATO",0,I159)</f>
        <v/>
      </c>
    </row>
    <row r="160">
      <c r="A160" s="38" t="inlineStr">
        <is>
          <t>Conta corrente MFRUGIS06.XLS</t>
        </is>
      </c>
      <c r="B160" s="39" t="n">
        <v>38835</v>
      </c>
      <c r="C160" s="4" t="n">
        <v>38808</v>
      </c>
      <c r="D160" s="5">
        <f>YEAR(C160)</f>
        <v/>
      </c>
      <c r="E160" s="5">
        <f>MONTH(C160)</f>
        <v/>
      </c>
      <c r="F160" s="38" t="inlineStr">
        <is>
          <t>NFV  :TENDA ATACADO LTDA</t>
        </is>
      </c>
      <c r="G160" s="38" t="inlineStr">
        <is>
          <t>MARIO FRUGIS (01.04.01)</t>
        </is>
      </c>
      <c r="H160" s="38" t="inlineStr">
        <is>
          <t>NFV</t>
        </is>
      </c>
      <c r="I160" s="40" t="n">
        <v>49.26</v>
      </c>
      <c r="J160" s="40" t="n">
        <v>0</v>
      </c>
      <c r="K160" s="6">
        <f>I160-J160</f>
        <v/>
      </c>
      <c r="L160" s="6">
        <f>IF(H160="DISTRATO",0,I160)</f>
        <v/>
      </c>
    </row>
    <row r="161">
      <c r="A161" s="38" t="inlineStr">
        <is>
          <t>Conta corrente MFRUGIS06.XLS</t>
        </is>
      </c>
      <c r="B161" s="39" t="n">
        <v>38835</v>
      </c>
      <c r="C161" s="4" t="n">
        <v>38808</v>
      </c>
      <c r="D161" s="5">
        <f>YEAR(C161)</f>
        <v/>
      </c>
      <c r="E161" s="5">
        <f>MONTH(C161)</f>
        <v/>
      </c>
      <c r="F161" s="38" t="inlineStr">
        <is>
          <t>NFV  :TENDA ATACADO LTDA</t>
        </is>
      </c>
      <c r="G161" s="38" t="inlineStr">
        <is>
          <t>MARIO FRUGIS (01.04.01)</t>
        </is>
      </c>
      <c r="H161" s="38" t="inlineStr">
        <is>
          <t>NFV</t>
        </is>
      </c>
      <c r="I161" s="40" t="n">
        <v>12.65</v>
      </c>
      <c r="J161" s="40" t="n">
        <v>0</v>
      </c>
      <c r="K161" s="6">
        <f>I161-J161</f>
        <v/>
      </c>
      <c r="L161" s="6">
        <f>IF(H161="DISTRATO",0,I161)</f>
        <v/>
      </c>
    </row>
    <row r="162">
      <c r="A162" s="38" t="inlineStr">
        <is>
          <t>Conta corrente MFRUGIS06.XLS</t>
        </is>
      </c>
      <c r="B162" s="39" t="n">
        <v>38835</v>
      </c>
      <c r="C162" s="4" t="n">
        <v>38808</v>
      </c>
      <c r="D162" s="5">
        <f>YEAR(C162)</f>
        <v/>
      </c>
      <c r="E162" s="5">
        <f>MONTH(C162)</f>
        <v/>
      </c>
      <c r="F162" s="38" t="inlineStr">
        <is>
          <t>NFV  :TENDA ATACADO LTDA</t>
        </is>
      </c>
      <c r="G162" s="38" t="inlineStr">
        <is>
          <t>MARIO FRUGIS (01.04.01)</t>
        </is>
      </c>
      <c r="H162" s="38" t="inlineStr">
        <is>
          <t>NFV</t>
        </is>
      </c>
      <c r="I162" s="40" t="n">
        <v>51.38</v>
      </c>
      <c r="J162" s="40" t="n">
        <v>0</v>
      </c>
      <c r="K162" s="6">
        <f>I162-J162</f>
        <v/>
      </c>
      <c r="L162" s="6">
        <f>IF(H162="DISTRATO",0,I162)</f>
        <v/>
      </c>
    </row>
    <row r="163">
      <c r="A163" s="38" t="inlineStr">
        <is>
          <t>Conta corrente MFRUGIS06.XLS</t>
        </is>
      </c>
      <c r="B163" s="39" t="n">
        <v>38835</v>
      </c>
      <c r="C163" s="4" t="n">
        <v>38808</v>
      </c>
      <c r="D163" s="5">
        <f>YEAR(C163)</f>
        <v/>
      </c>
      <c r="E163" s="5">
        <f>MONTH(C163)</f>
        <v/>
      </c>
      <c r="F163" s="38" t="inlineStr">
        <is>
          <t>NFV  :TENDA ATACADO LTDA</t>
        </is>
      </c>
      <c r="G163" s="38" t="inlineStr">
        <is>
          <t>MARIO FRUGIS (01.04.01)</t>
        </is>
      </c>
      <c r="H163" s="38" t="inlineStr">
        <is>
          <t>NFV</t>
        </is>
      </c>
      <c r="I163" s="40" t="n">
        <v>30.22</v>
      </c>
      <c r="J163" s="40" t="n">
        <v>0</v>
      </c>
      <c r="K163" s="6">
        <f>I163-J163</f>
        <v/>
      </c>
      <c r="L163" s="6">
        <f>IF(H163="DISTRATO",0,I163)</f>
        <v/>
      </c>
    </row>
    <row r="164">
      <c r="A164" s="38" t="inlineStr">
        <is>
          <t>Conta corrente MFRUGIS06.XLS</t>
        </is>
      </c>
      <c r="B164" s="39" t="n">
        <v>38835</v>
      </c>
      <c r="C164" s="4" t="n">
        <v>38808</v>
      </c>
      <c r="D164" s="5">
        <f>YEAR(C164)</f>
        <v/>
      </c>
      <c r="E164" s="5">
        <f>MONTH(C164)</f>
        <v/>
      </c>
      <c r="F164" s="38" t="inlineStr">
        <is>
          <t>NFV  :TENDA ATACADO LTDA</t>
        </is>
      </c>
      <c r="G164" s="38" t="inlineStr">
        <is>
          <t>MARIO FRUGIS (01.04.01)</t>
        </is>
      </c>
      <c r="H164" s="38" t="inlineStr">
        <is>
          <t>NFV</t>
        </is>
      </c>
      <c r="I164" s="40" t="n">
        <v>63.69</v>
      </c>
      <c r="J164" s="40" t="n">
        <v>0</v>
      </c>
      <c r="K164" s="6">
        <f>I164-J164</f>
        <v/>
      </c>
      <c r="L164" s="6">
        <f>IF(H164="DISTRATO",0,I164)</f>
        <v/>
      </c>
    </row>
    <row r="165">
      <c r="A165" s="38" t="inlineStr">
        <is>
          <t>Conta corrente MFRUGIS06.XLS</t>
        </is>
      </c>
      <c r="B165" s="39" t="n">
        <v>38855</v>
      </c>
      <c r="C165" s="4" t="n">
        <v>38838</v>
      </c>
      <c r="D165" s="5">
        <f>YEAR(C165)</f>
        <v/>
      </c>
      <c r="E165" s="5">
        <f>MONTH(C165)</f>
        <v/>
      </c>
      <c r="F165" s="38" t="inlineStr">
        <is>
          <t>NFV  :TENDA ATACADO LTDA</t>
        </is>
      </c>
      <c r="G165" s="38" t="inlineStr">
        <is>
          <t>MARIO FRUGIS (01.04.01)</t>
        </is>
      </c>
      <c r="H165" s="38" t="inlineStr">
        <is>
          <t>NFV</t>
        </is>
      </c>
      <c r="I165" s="40" t="n">
        <v>4.12</v>
      </c>
      <c r="J165" s="40" t="n">
        <v>0</v>
      </c>
      <c r="K165" s="6">
        <f>I165-J165</f>
        <v/>
      </c>
      <c r="L165" s="6">
        <f>IF(H165="DISTRATO",0,I165)</f>
        <v/>
      </c>
    </row>
    <row r="166">
      <c r="A166" s="38" t="inlineStr">
        <is>
          <t>Conta corrente MFRUGIS06.XLS</t>
        </is>
      </c>
      <c r="B166" s="39" t="n">
        <v>38855</v>
      </c>
      <c r="C166" s="4" t="n">
        <v>38838</v>
      </c>
      <c r="D166" s="5">
        <f>YEAR(C166)</f>
        <v/>
      </c>
      <c r="E166" s="5">
        <f>MONTH(C166)</f>
        <v/>
      </c>
      <c r="F166" s="38" t="inlineStr">
        <is>
          <t>NFV  :TENDA ATACADO LTDA</t>
        </is>
      </c>
      <c r="G166" s="38" t="inlineStr">
        <is>
          <t>MARIO FRUGIS (01.04.01)</t>
        </is>
      </c>
      <c r="H166" s="38" t="inlineStr">
        <is>
          <t>NFV</t>
        </is>
      </c>
      <c r="I166" s="40" t="n">
        <v>30.73</v>
      </c>
      <c r="J166" s="40" t="n">
        <v>0</v>
      </c>
      <c r="K166" s="6">
        <f>I166-J166</f>
        <v/>
      </c>
      <c r="L166" s="6">
        <f>IF(H166="DISTRATO",0,I166)</f>
        <v/>
      </c>
    </row>
    <row r="167">
      <c r="A167" s="38" t="inlineStr">
        <is>
          <t>Conta corrente MFRUGIS06.XLS</t>
        </is>
      </c>
      <c r="B167" s="39" t="n">
        <v>38855</v>
      </c>
      <c r="C167" s="4" t="n">
        <v>38838</v>
      </c>
      <c r="D167" s="5">
        <f>YEAR(C167)</f>
        <v/>
      </c>
      <c r="E167" s="5">
        <f>MONTH(C167)</f>
        <v/>
      </c>
      <c r="F167" s="38" t="inlineStr">
        <is>
          <t>NFV  :TENDA ATACADO LTDA</t>
        </is>
      </c>
      <c r="G167" s="38" t="inlineStr">
        <is>
          <t>MARIO FRUGIS (01.04.01)</t>
        </is>
      </c>
      <c r="H167" s="38" t="inlineStr">
        <is>
          <t>NFV</t>
        </is>
      </c>
      <c r="I167" s="40" t="n">
        <v>29.65</v>
      </c>
      <c r="J167" s="40" t="n">
        <v>0</v>
      </c>
      <c r="K167" s="6">
        <f>I167-J167</f>
        <v/>
      </c>
      <c r="L167" s="6">
        <f>IF(H167="DISTRATO",0,I167)</f>
        <v/>
      </c>
    </row>
    <row r="168">
      <c r="A168" s="38" t="inlineStr">
        <is>
          <t>Conta corrente MFRUGIS06.XLS</t>
        </is>
      </c>
      <c r="B168" s="39" t="n">
        <v>38855</v>
      </c>
      <c r="C168" s="4" t="n">
        <v>38838</v>
      </c>
      <c r="D168" s="5">
        <f>YEAR(C168)</f>
        <v/>
      </c>
      <c r="E168" s="5">
        <f>MONTH(C168)</f>
        <v/>
      </c>
      <c r="F168" s="38" t="inlineStr">
        <is>
          <t>NFV  :TENDA ATACADO LTDA</t>
        </is>
      </c>
      <c r="G168" s="38" t="inlineStr">
        <is>
          <t>MARIO FRUGIS (01.04.01)</t>
        </is>
      </c>
      <c r="H168" s="38" t="inlineStr">
        <is>
          <t>NFV</t>
        </is>
      </c>
      <c r="I168" s="40" t="n">
        <v>21.49</v>
      </c>
      <c r="J168" s="40" t="n">
        <v>0</v>
      </c>
      <c r="K168" s="6">
        <f>I168-J168</f>
        <v/>
      </c>
      <c r="L168" s="6">
        <f>IF(H168="DISTRATO",0,I168)</f>
        <v/>
      </c>
    </row>
    <row r="169">
      <c r="A169" s="38" t="inlineStr">
        <is>
          <t>Conta corrente MFRUGIS06.XLS</t>
        </is>
      </c>
      <c r="B169" s="39" t="n">
        <v>38855</v>
      </c>
      <c r="C169" s="4" t="n">
        <v>38838</v>
      </c>
      <c r="D169" s="5">
        <f>YEAR(C169)</f>
        <v/>
      </c>
      <c r="E169" s="5">
        <f>MONTH(C169)</f>
        <v/>
      </c>
      <c r="F169" s="38" t="inlineStr">
        <is>
          <t>NFV  :TENDA ATACADO LTDA</t>
        </is>
      </c>
      <c r="G169" s="38" t="inlineStr">
        <is>
          <t>MARIO FRUGIS (01.04.01)</t>
        </is>
      </c>
      <c r="H169" s="38" t="inlineStr">
        <is>
          <t>NFV</t>
        </is>
      </c>
      <c r="I169" s="40" t="n">
        <v>47.26</v>
      </c>
      <c r="J169" s="40" t="n">
        <v>0</v>
      </c>
      <c r="K169" s="6">
        <f>I169-J169</f>
        <v/>
      </c>
      <c r="L169" s="6">
        <f>IF(H169="DISTRATO",0,I169)</f>
        <v/>
      </c>
    </row>
    <row r="170">
      <c r="A170" s="38" t="inlineStr">
        <is>
          <t>Conta corrente MFRUGIS06.XLS</t>
        </is>
      </c>
      <c r="B170" s="39" t="n">
        <v>38855</v>
      </c>
      <c r="C170" s="4" t="n">
        <v>38838</v>
      </c>
      <c r="D170" s="5">
        <f>YEAR(C170)</f>
        <v/>
      </c>
      <c r="E170" s="5">
        <f>MONTH(C170)</f>
        <v/>
      </c>
      <c r="F170" s="38" t="inlineStr">
        <is>
          <t>NFV  :TENDA ATACADO LTDA</t>
        </is>
      </c>
      <c r="G170" s="38" t="inlineStr">
        <is>
          <t>MARIO FRUGIS (01.04.01)</t>
        </is>
      </c>
      <c r="H170" s="38" t="inlineStr">
        <is>
          <t>NFV</t>
        </is>
      </c>
      <c r="I170" s="40" t="n">
        <v>20.27</v>
      </c>
      <c r="J170" s="40" t="n">
        <v>0</v>
      </c>
      <c r="K170" s="6">
        <f>I170-J170</f>
        <v/>
      </c>
      <c r="L170" s="6">
        <f>IF(H170="DISTRATO",0,I170)</f>
        <v/>
      </c>
    </row>
    <row r="171">
      <c r="A171" s="38" t="inlineStr">
        <is>
          <t>Conta corrente MFRUGIS06.XLS</t>
        </is>
      </c>
      <c r="B171" s="39" t="n">
        <v>38856</v>
      </c>
      <c r="C171" s="4" t="n">
        <v>38838</v>
      </c>
      <c r="D171" s="5">
        <f>YEAR(C171)</f>
        <v/>
      </c>
      <c r="E171" s="5">
        <f>MONTH(C171)</f>
        <v/>
      </c>
      <c r="F171" s="38" t="inlineStr">
        <is>
          <t>NFV  :TENDA ATACADO LTDA</t>
        </is>
      </c>
      <c r="G171" s="38" t="inlineStr">
        <is>
          <t>MARIO FRUGIS (01.04.01)</t>
        </is>
      </c>
      <c r="H171" s="38" t="inlineStr">
        <is>
          <t>NFV</t>
        </is>
      </c>
      <c r="I171" s="40" t="n">
        <v>21.49</v>
      </c>
      <c r="J171" s="40" t="n">
        <v>0</v>
      </c>
      <c r="K171" s="6">
        <f>I171-J171</f>
        <v/>
      </c>
      <c r="L171" s="6">
        <f>IF(H171="DISTRATO",0,I171)</f>
        <v/>
      </c>
    </row>
    <row r="172">
      <c r="A172" s="38" t="inlineStr">
        <is>
          <t>Conta corrente MFRUGIS06.XLS</t>
        </is>
      </c>
      <c r="B172" s="39" t="n">
        <v>38859</v>
      </c>
      <c r="C172" s="4" t="n">
        <v>38838</v>
      </c>
      <c r="D172" s="5">
        <f>YEAR(C172)</f>
        <v/>
      </c>
      <c r="E172" s="5">
        <f>MONTH(C172)</f>
        <v/>
      </c>
      <c r="F172" s="38" t="inlineStr">
        <is>
          <t>NFV  :TENDA ATACADO LTDA</t>
        </is>
      </c>
      <c r="G172" s="38" t="inlineStr">
        <is>
          <t>MARIO FRUGIS (01.04.01)</t>
        </is>
      </c>
      <c r="H172" s="38" t="inlineStr">
        <is>
          <t>NFV</t>
        </is>
      </c>
      <c r="I172" s="40" t="n">
        <v>26.7</v>
      </c>
      <c r="J172" s="40" t="n">
        <v>0</v>
      </c>
      <c r="K172" s="6">
        <f>I172-J172</f>
        <v/>
      </c>
      <c r="L172" s="6">
        <f>IF(H172="DISTRATO",0,I172)</f>
        <v/>
      </c>
    </row>
    <row r="173">
      <c r="A173" s="38" t="inlineStr">
        <is>
          <t>Conta corrente MFRUGIS06.XLS</t>
        </is>
      </c>
      <c r="B173" s="39" t="n">
        <v>38859</v>
      </c>
      <c r="C173" s="4" t="n">
        <v>38838</v>
      </c>
      <c r="D173" s="5">
        <f>YEAR(C173)</f>
        <v/>
      </c>
      <c r="E173" s="5">
        <f>MONTH(C173)</f>
        <v/>
      </c>
      <c r="F173" s="38" t="inlineStr">
        <is>
          <t>NFV  :TENDA ATACADO LTDA</t>
        </is>
      </c>
      <c r="G173" s="38" t="inlineStr">
        <is>
          <t>MARIO FRUGIS (01.04.01)</t>
        </is>
      </c>
      <c r="H173" s="38" t="inlineStr">
        <is>
          <t>NFV</t>
        </is>
      </c>
      <c r="I173" s="40" t="n">
        <v>16.26</v>
      </c>
      <c r="J173" s="40" t="n">
        <v>0</v>
      </c>
      <c r="K173" s="6">
        <f>I173-J173</f>
        <v/>
      </c>
      <c r="L173" s="6">
        <f>IF(H173="DISTRATO",0,I173)</f>
        <v/>
      </c>
    </row>
    <row r="174">
      <c r="A174" s="38" t="inlineStr">
        <is>
          <t>Conta corrente MFRUGIS06.XLS</t>
        </is>
      </c>
      <c r="B174" s="39" t="n">
        <v>38859</v>
      </c>
      <c r="C174" s="4" t="n">
        <v>38838</v>
      </c>
      <c r="D174" s="5">
        <f>YEAR(C174)</f>
        <v/>
      </c>
      <c r="E174" s="5">
        <f>MONTH(C174)</f>
        <v/>
      </c>
      <c r="F174" s="38" t="inlineStr">
        <is>
          <t>NFV  :TENDA ATACADO LTDA</t>
        </is>
      </c>
      <c r="G174" s="38" t="inlineStr">
        <is>
          <t>MARIO FRUGIS (01.04.01)</t>
        </is>
      </c>
      <c r="H174" s="38" t="inlineStr">
        <is>
          <t>NFV</t>
        </is>
      </c>
      <c r="I174" s="40" t="n">
        <v>61.66</v>
      </c>
      <c r="J174" s="40" t="n">
        <v>0</v>
      </c>
      <c r="K174" s="6">
        <f>I174-J174</f>
        <v/>
      </c>
      <c r="L174" s="6">
        <f>IF(H174="DISTRATO",0,I174)</f>
        <v/>
      </c>
    </row>
    <row r="175">
      <c r="A175" s="38" t="inlineStr">
        <is>
          <t>Conta corrente MFRUGIS06.XLS</t>
        </is>
      </c>
      <c r="B175" s="39" t="n">
        <v>38860</v>
      </c>
      <c r="C175" s="4" t="n">
        <v>38838</v>
      </c>
      <c r="D175" s="5">
        <f>YEAR(C175)</f>
        <v/>
      </c>
      <c r="E175" s="5">
        <f>MONTH(C175)</f>
        <v/>
      </c>
      <c r="F175" s="38" t="inlineStr">
        <is>
          <t>NFV  :TENDA ATACADO LTDA</t>
        </is>
      </c>
      <c r="G175" s="38" t="inlineStr">
        <is>
          <t>MARIO FRUGIS (01.04.01)</t>
        </is>
      </c>
      <c r="H175" s="38" t="inlineStr">
        <is>
          <t>NFV</t>
        </is>
      </c>
      <c r="I175" s="40" t="n">
        <v>29.65</v>
      </c>
      <c r="J175" s="40" t="n">
        <v>0</v>
      </c>
      <c r="K175" s="6">
        <f>I175-J175</f>
        <v/>
      </c>
      <c r="L175" s="6">
        <f>IF(H175="DISTRATO",0,I175)</f>
        <v/>
      </c>
    </row>
    <row r="176">
      <c r="A176" s="38" t="inlineStr">
        <is>
          <t>Conta corrente MFRUGIS06.XLS</t>
        </is>
      </c>
      <c r="B176" s="39" t="n">
        <v>38868</v>
      </c>
      <c r="C176" s="4" t="n">
        <v>38838</v>
      </c>
      <c r="D176" s="5">
        <f>YEAR(C176)</f>
        <v/>
      </c>
      <c r="E176" s="5">
        <f>MONTH(C176)</f>
        <v/>
      </c>
      <c r="F176" s="38" t="inlineStr">
        <is>
          <t>NFV  :TENDA ATACADO LTDA</t>
        </is>
      </c>
      <c r="G176" s="38" t="inlineStr">
        <is>
          <t>MARIO FRUGIS (01.04.01)</t>
        </is>
      </c>
      <c r="H176" s="38" t="inlineStr">
        <is>
          <t>NFV</t>
        </is>
      </c>
      <c r="I176" s="40" t="n">
        <v>12.03</v>
      </c>
      <c r="J176" s="40" t="n">
        <v>0</v>
      </c>
      <c r="K176" s="6">
        <f>I176-J176</f>
        <v/>
      </c>
      <c r="L176" s="6">
        <f>IF(H176="DISTRATO",0,I176)</f>
        <v/>
      </c>
    </row>
    <row r="177">
      <c r="A177" s="38" t="inlineStr">
        <is>
          <t>Conta corrente MFRUGIS06.XLS</t>
        </is>
      </c>
      <c r="B177" s="39" t="n">
        <v>38868</v>
      </c>
      <c r="C177" s="4" t="n">
        <v>38838</v>
      </c>
      <c r="D177" s="5">
        <f>YEAR(C177)</f>
        <v/>
      </c>
      <c r="E177" s="5">
        <f>MONTH(C177)</f>
        <v/>
      </c>
      <c r="F177" s="38" t="inlineStr">
        <is>
          <t>NFV  :TENDA ATACADO LTDA</t>
        </is>
      </c>
      <c r="G177" s="38" t="inlineStr">
        <is>
          <t>MARIO FRUGIS (01.04.01)</t>
        </is>
      </c>
      <c r="H177" s="38" t="inlineStr">
        <is>
          <t>NFV</t>
        </is>
      </c>
      <c r="I177" s="40" t="n">
        <v>2.79</v>
      </c>
      <c r="J177" s="40" t="n">
        <v>0</v>
      </c>
      <c r="K177" s="6">
        <f>I177-J177</f>
        <v/>
      </c>
      <c r="L177" s="6">
        <f>IF(H177="DISTRATO",0,I177)</f>
        <v/>
      </c>
    </row>
    <row r="178">
      <c r="A178" s="38" t="inlineStr">
        <is>
          <t>Conta corrente MFRUGIS06.XLS</t>
        </is>
      </c>
      <c r="B178" s="39" t="n">
        <v>38868</v>
      </c>
      <c r="C178" s="4" t="n">
        <v>38838</v>
      </c>
      <c r="D178" s="5">
        <f>YEAR(C178)</f>
        <v/>
      </c>
      <c r="E178" s="5">
        <f>MONTH(C178)</f>
        <v/>
      </c>
      <c r="F178" s="38" t="inlineStr">
        <is>
          <t>NFV  :TENDA ATACADO LTDA</t>
        </is>
      </c>
      <c r="G178" s="38" t="inlineStr">
        <is>
          <t>MARIO FRUGIS (01.04.01)</t>
        </is>
      </c>
      <c r="H178" s="38" t="inlineStr">
        <is>
          <t>NFV</t>
        </is>
      </c>
      <c r="I178" s="40" t="n">
        <v>22.88</v>
      </c>
      <c r="J178" s="40" t="n">
        <v>0</v>
      </c>
      <c r="K178" s="6">
        <f>I178-J178</f>
        <v/>
      </c>
      <c r="L178" s="6">
        <f>IF(H178="DISTRATO",0,I178)</f>
        <v/>
      </c>
    </row>
    <row r="179">
      <c r="A179" s="38" t="inlineStr">
        <is>
          <t>Conta corrente MFRUGIS06.XLS</t>
        </is>
      </c>
      <c r="B179" s="39" t="n">
        <v>38873</v>
      </c>
      <c r="C179" s="4" t="n">
        <v>38869</v>
      </c>
      <c r="D179" s="5">
        <f>YEAR(C179)</f>
        <v/>
      </c>
      <c r="E179" s="5">
        <f>MONTH(C179)</f>
        <v/>
      </c>
      <c r="F179" s="38" t="inlineStr">
        <is>
          <t>NFV  :TENDA ATACADO LTDA</t>
        </is>
      </c>
      <c r="G179" s="38" t="inlineStr">
        <is>
          <t>MARIO FRUGIS (01.04.01)</t>
        </is>
      </c>
      <c r="H179" s="38" t="inlineStr">
        <is>
          <t>NFV</t>
        </is>
      </c>
      <c r="I179" s="40" t="n">
        <v>34.9</v>
      </c>
      <c r="J179" s="40" t="n">
        <v>0</v>
      </c>
      <c r="K179" s="6">
        <f>I179-J179</f>
        <v/>
      </c>
      <c r="L179" s="6">
        <f>IF(H179="DISTRATO",0,I179)</f>
        <v/>
      </c>
    </row>
    <row r="180">
      <c r="A180" s="38" t="inlineStr">
        <is>
          <t>Conta corrente MFRUGIS06.XLS</t>
        </is>
      </c>
      <c r="B180" s="39" t="n">
        <v>38873</v>
      </c>
      <c r="C180" s="4" t="n">
        <v>38869</v>
      </c>
      <c r="D180" s="5">
        <f>YEAR(C180)</f>
        <v/>
      </c>
      <c r="E180" s="5">
        <f>MONTH(C180)</f>
        <v/>
      </c>
      <c r="F180" s="38" t="inlineStr">
        <is>
          <t>NFV  :TENDA ATACADO LTDA</t>
        </is>
      </c>
      <c r="G180" s="38" t="inlineStr">
        <is>
          <t>MARIO FRUGIS (01.04.01)</t>
        </is>
      </c>
      <c r="H180" s="38" t="inlineStr">
        <is>
          <t>NFV</t>
        </is>
      </c>
      <c r="I180" s="40" t="n">
        <v>10.27</v>
      </c>
      <c r="J180" s="40" t="n">
        <v>0</v>
      </c>
      <c r="K180" s="6">
        <f>I180-J180</f>
        <v/>
      </c>
      <c r="L180" s="6">
        <f>IF(H180="DISTRATO",0,I180)</f>
        <v/>
      </c>
    </row>
    <row r="181">
      <c r="A181" s="38" t="inlineStr">
        <is>
          <t>Conta corrente MFRUGIS06.XLS</t>
        </is>
      </c>
      <c r="B181" s="39" t="n">
        <v>38873</v>
      </c>
      <c r="C181" s="4" t="n">
        <v>38869</v>
      </c>
      <c r="D181" s="5">
        <f>YEAR(C181)</f>
        <v/>
      </c>
      <c r="E181" s="5">
        <f>MONTH(C181)</f>
        <v/>
      </c>
      <c r="F181" s="38" t="inlineStr">
        <is>
          <t>NFV  :TENDA ATACADO LTDA</t>
        </is>
      </c>
      <c r="G181" s="38" t="inlineStr">
        <is>
          <t>MARIO FRUGIS (01.04.01)</t>
        </is>
      </c>
      <c r="H181" s="38" t="inlineStr">
        <is>
          <t>NFV</t>
        </is>
      </c>
      <c r="I181" s="40" t="n">
        <v>24.63</v>
      </c>
      <c r="J181" s="40" t="n">
        <v>0</v>
      </c>
      <c r="K181" s="6">
        <f>I181-J181</f>
        <v/>
      </c>
      <c r="L181" s="6">
        <f>IF(H181="DISTRATO",0,I181)</f>
        <v/>
      </c>
    </row>
    <row r="182">
      <c r="A182" s="38" t="inlineStr">
        <is>
          <t>Conta corrente MFRUGIS06.XLS</t>
        </is>
      </c>
      <c r="B182" s="39" t="n">
        <v>38875</v>
      </c>
      <c r="C182" s="4" t="n">
        <v>38869</v>
      </c>
      <c r="D182" s="5">
        <f>YEAR(C182)</f>
        <v/>
      </c>
      <c r="E182" s="5">
        <f>MONTH(C182)</f>
        <v/>
      </c>
      <c r="F182" s="38" t="inlineStr">
        <is>
          <t>NFV  :TENDA ATACADO LTDA</t>
        </is>
      </c>
      <c r="G182" s="38" t="inlineStr">
        <is>
          <t>MARIO FRUGIS (01.04.01)</t>
        </is>
      </c>
      <c r="H182" s="38" t="inlineStr">
        <is>
          <t>NFV</t>
        </is>
      </c>
      <c r="I182" s="40" t="n">
        <v>10.27</v>
      </c>
      <c r="J182" s="40" t="n">
        <v>0</v>
      </c>
      <c r="K182" s="6">
        <f>I182-J182</f>
        <v/>
      </c>
      <c r="L182" s="6">
        <f>IF(H182="DISTRATO",0,I182)</f>
        <v/>
      </c>
    </row>
    <row r="183">
      <c r="A183" s="38" t="inlineStr">
        <is>
          <t>Conta corrente MFRUGIS06.XLS</t>
        </is>
      </c>
      <c r="B183" s="39" t="n">
        <v>38875</v>
      </c>
      <c r="C183" s="4" t="n">
        <v>38869</v>
      </c>
      <c r="D183" s="5">
        <f>YEAR(C183)</f>
        <v/>
      </c>
      <c r="E183" s="5">
        <f>MONTH(C183)</f>
        <v/>
      </c>
      <c r="F183" s="38" t="inlineStr">
        <is>
          <t>NFV  :TENDA ATACADO LTDA</t>
        </is>
      </c>
      <c r="G183" s="38" t="inlineStr">
        <is>
          <t>MARIO FRUGIS (01.04.01)</t>
        </is>
      </c>
      <c r="H183" s="38" t="inlineStr">
        <is>
          <t>NFV</t>
        </is>
      </c>
      <c r="I183" s="40" t="n">
        <v>29.16</v>
      </c>
      <c r="J183" s="40" t="n">
        <v>0</v>
      </c>
      <c r="K183" s="6">
        <f>I183-J183</f>
        <v/>
      </c>
      <c r="L183" s="6">
        <f>IF(H183="DISTRATO",0,I183)</f>
        <v/>
      </c>
    </row>
    <row r="184">
      <c r="A184" s="38" t="inlineStr">
        <is>
          <t>Conta corrente MFRUGIS06.XLS</t>
        </is>
      </c>
      <c r="B184" s="39" t="n">
        <v>38890</v>
      </c>
      <c r="C184" s="4" t="n">
        <v>38869</v>
      </c>
      <c r="D184" s="5">
        <f>YEAR(C184)</f>
        <v/>
      </c>
      <c r="E184" s="5">
        <f>MONTH(C184)</f>
        <v/>
      </c>
      <c r="F184" s="38" t="inlineStr">
        <is>
          <t>NFV  :TENDA ATACADO LTDA</t>
        </is>
      </c>
      <c r="G184" s="38" t="inlineStr">
        <is>
          <t>MARIO FRUGIS (01.04.01)</t>
        </is>
      </c>
      <c r="H184" s="38" t="inlineStr">
        <is>
          <t>NFV</t>
        </is>
      </c>
      <c r="I184" s="40" t="n">
        <v>17.75</v>
      </c>
      <c r="J184" s="40" t="n">
        <v>0</v>
      </c>
      <c r="K184" s="6">
        <f>I184-J184</f>
        <v/>
      </c>
      <c r="L184" s="6">
        <f>IF(H184="DISTRATO",0,I184)</f>
        <v/>
      </c>
    </row>
    <row r="185">
      <c r="A185" s="38" t="inlineStr">
        <is>
          <t>Conta corrente MFRUGIS06.XLS</t>
        </is>
      </c>
      <c r="B185" s="39" t="n">
        <v>38890</v>
      </c>
      <c r="C185" s="4" t="n">
        <v>38869</v>
      </c>
      <c r="D185" s="5">
        <f>YEAR(C185)</f>
        <v/>
      </c>
      <c r="E185" s="5">
        <f>MONTH(C185)</f>
        <v/>
      </c>
      <c r="F185" s="38" t="inlineStr">
        <is>
          <t>NFV  :TENDA ATACADO LTDA</t>
        </is>
      </c>
      <c r="G185" s="38" t="inlineStr">
        <is>
          <t>MARIO FRUGIS (01.04.01)</t>
        </is>
      </c>
      <c r="H185" s="38" t="inlineStr">
        <is>
          <t>NFV</t>
        </is>
      </c>
      <c r="I185" s="40" t="n">
        <v>16.14</v>
      </c>
      <c r="J185" s="40" t="n">
        <v>0</v>
      </c>
      <c r="K185" s="6">
        <f>I185-J185</f>
        <v/>
      </c>
      <c r="L185" s="6">
        <f>IF(H185="DISTRATO",0,I185)</f>
        <v/>
      </c>
    </row>
    <row r="186">
      <c r="A186" s="38" t="inlineStr">
        <is>
          <t>Conta corrente MFRUGIS06.XLS</t>
        </is>
      </c>
      <c r="B186" s="39" t="n">
        <v>38890</v>
      </c>
      <c r="C186" s="4" t="n">
        <v>38869</v>
      </c>
      <c r="D186" s="5">
        <f>YEAR(C186)</f>
        <v/>
      </c>
      <c r="E186" s="5">
        <f>MONTH(C186)</f>
        <v/>
      </c>
      <c r="F186" s="38" t="inlineStr">
        <is>
          <t>NFV  :TENDA ATACADO LTDA</t>
        </is>
      </c>
      <c r="G186" s="38" t="inlineStr">
        <is>
          <t>MARIO FRUGIS (01.04.01)</t>
        </is>
      </c>
      <c r="H186" s="38" t="inlineStr">
        <is>
          <t>NFV</t>
        </is>
      </c>
      <c r="I186" s="40" t="n">
        <v>14.96</v>
      </c>
      <c r="J186" s="40" t="n">
        <v>0</v>
      </c>
      <c r="K186" s="6">
        <f>I186-J186</f>
        <v/>
      </c>
      <c r="L186" s="6">
        <f>IF(H186="DISTRATO",0,I186)</f>
        <v/>
      </c>
    </row>
    <row r="187">
      <c r="A187" s="38" t="inlineStr">
        <is>
          <t>Conta corrente MFRUGIS06.XLS</t>
        </is>
      </c>
      <c r="B187" s="39" t="n">
        <v>38890</v>
      </c>
      <c r="C187" s="4" t="n">
        <v>38869</v>
      </c>
      <c r="D187" s="5">
        <f>YEAR(C187)</f>
        <v/>
      </c>
      <c r="E187" s="5">
        <f>MONTH(C187)</f>
        <v/>
      </c>
      <c r="F187" s="38" t="inlineStr">
        <is>
          <t>NFV  :TENDA ATACADO LTDA</t>
        </is>
      </c>
      <c r="G187" s="38" t="inlineStr">
        <is>
          <t>MARIO FRUGIS (01.04.01)</t>
        </is>
      </c>
      <c r="H187" s="38" t="inlineStr">
        <is>
          <t>NFV</t>
        </is>
      </c>
      <c r="I187" s="40" t="n">
        <v>17.37</v>
      </c>
      <c r="J187" s="40" t="n">
        <v>0</v>
      </c>
      <c r="K187" s="6">
        <f>I187-J187</f>
        <v/>
      </c>
      <c r="L187" s="6">
        <f>IF(H187="DISTRATO",0,I187)</f>
        <v/>
      </c>
    </row>
    <row r="188">
      <c r="A188" s="38" t="inlineStr">
        <is>
          <t>Conta corrente MFRUGIS06.XLS</t>
        </is>
      </c>
      <c r="B188" s="39" t="n">
        <v>38890</v>
      </c>
      <c r="C188" s="4" t="n">
        <v>38869</v>
      </c>
      <c r="D188" s="5">
        <f>YEAR(C188)</f>
        <v/>
      </c>
      <c r="E188" s="5">
        <f>MONTH(C188)</f>
        <v/>
      </c>
      <c r="F188" s="38" t="inlineStr">
        <is>
          <t>NFV  :TENDA ATACADO LTDA</t>
        </is>
      </c>
      <c r="G188" s="38" t="inlineStr">
        <is>
          <t>MARIO FRUGIS (01.04.01)</t>
        </is>
      </c>
      <c r="H188" s="38" t="inlineStr">
        <is>
          <t>NFV</t>
        </is>
      </c>
      <c r="I188" s="40" t="n">
        <v>43.86</v>
      </c>
      <c r="J188" s="40" t="n">
        <v>0</v>
      </c>
      <c r="K188" s="6">
        <f>I188-J188</f>
        <v/>
      </c>
      <c r="L188" s="6">
        <f>IF(H188="DISTRATO",0,I188)</f>
        <v/>
      </c>
    </row>
    <row r="189">
      <c r="A189" s="38" t="inlineStr">
        <is>
          <t>Conta corrente MFRUGIS06.XLS</t>
        </is>
      </c>
      <c r="B189" s="39" t="n">
        <v>38890</v>
      </c>
      <c r="C189" s="4" t="n">
        <v>38869</v>
      </c>
      <c r="D189" s="5">
        <f>YEAR(C189)</f>
        <v/>
      </c>
      <c r="E189" s="5">
        <f>MONTH(C189)</f>
        <v/>
      </c>
      <c r="F189" s="38" t="inlineStr">
        <is>
          <t>NFV  :TENDA ATACADO LTDA</t>
        </is>
      </c>
      <c r="G189" s="38" t="inlineStr">
        <is>
          <t>MARIO FRUGIS (01.04.01)</t>
        </is>
      </c>
      <c r="H189" s="38" t="inlineStr">
        <is>
          <t>NFV</t>
        </is>
      </c>
      <c r="I189" s="40" t="n">
        <v>30.88</v>
      </c>
      <c r="J189" s="40" t="n">
        <v>0</v>
      </c>
      <c r="K189" s="6">
        <f>I189-J189</f>
        <v/>
      </c>
      <c r="L189" s="6">
        <f>IF(H189="DISTRATO",0,I189)</f>
        <v/>
      </c>
    </row>
    <row r="190">
      <c r="A190" s="38" t="inlineStr">
        <is>
          <t>Conta corrente MFRUGIS06.XLS</t>
        </is>
      </c>
      <c r="B190" s="39" t="n">
        <v>38890</v>
      </c>
      <c r="C190" s="4" t="n">
        <v>38869</v>
      </c>
      <c r="D190" s="5">
        <f>YEAR(C190)</f>
        <v/>
      </c>
      <c r="E190" s="5">
        <f>MONTH(C190)</f>
        <v/>
      </c>
      <c r="F190" s="38" t="inlineStr">
        <is>
          <t>NFV  :TENDA ATACADO LTDA</t>
        </is>
      </c>
      <c r="G190" s="38" t="inlineStr">
        <is>
          <t>MARIO FRUGIS (01.04.01)</t>
        </is>
      </c>
      <c r="H190" s="38" t="inlineStr">
        <is>
          <t>NFV</t>
        </is>
      </c>
      <c r="I190" s="40" t="n">
        <v>26.3</v>
      </c>
      <c r="J190" s="40" t="n">
        <v>0</v>
      </c>
      <c r="K190" s="6">
        <f>I190-J190</f>
        <v/>
      </c>
      <c r="L190" s="6">
        <f>IF(H190="DISTRATO",0,I190)</f>
        <v/>
      </c>
    </row>
    <row r="191">
      <c r="A191" s="38" t="inlineStr">
        <is>
          <t>Conta corrente MFRUGIS06.XLS</t>
        </is>
      </c>
      <c r="B191" s="39" t="n">
        <v>38915</v>
      </c>
      <c r="C191" s="4" t="n">
        <v>38899</v>
      </c>
      <c r="D191" s="5">
        <f>YEAR(C191)</f>
        <v/>
      </c>
      <c r="E191" s="5">
        <f>MONTH(C191)</f>
        <v/>
      </c>
      <c r="F191" s="38" t="inlineStr">
        <is>
          <t>NFV  :TENDA ATACADO LTDA</t>
        </is>
      </c>
      <c r="G191" s="38" t="inlineStr">
        <is>
          <t>MARIO FRUGIS (01.04.01)</t>
        </is>
      </c>
      <c r="H191" s="38" t="inlineStr">
        <is>
          <t>NFV</t>
        </is>
      </c>
      <c r="I191" s="40" t="n">
        <v>17.75</v>
      </c>
      <c r="J191" s="40" t="n">
        <v>0</v>
      </c>
      <c r="K191" s="6">
        <f>I191-J191</f>
        <v/>
      </c>
      <c r="L191" s="6">
        <f>IF(H191="DISTRATO",0,I191)</f>
        <v/>
      </c>
    </row>
    <row r="192">
      <c r="A192" s="38" t="inlineStr">
        <is>
          <t>Conta corrente MFRUGIS06.XLS</t>
        </is>
      </c>
      <c r="B192" s="39" t="n">
        <v>38915</v>
      </c>
      <c r="C192" s="4" t="n">
        <v>38899</v>
      </c>
      <c r="D192" s="5">
        <f>YEAR(C192)</f>
        <v/>
      </c>
      <c r="E192" s="5">
        <f>MONTH(C192)</f>
        <v/>
      </c>
      <c r="F192" s="38" t="inlineStr">
        <is>
          <t>NFV  :TENDA ATACADO LTDA</t>
        </is>
      </c>
      <c r="G192" s="38" t="inlineStr">
        <is>
          <t>MARIO FRUGIS (01.04.01)</t>
        </is>
      </c>
      <c r="H192" s="38" t="inlineStr">
        <is>
          <t>NFV</t>
        </is>
      </c>
      <c r="I192" s="40" t="n">
        <v>16.14</v>
      </c>
      <c r="J192" s="40" t="n">
        <v>0</v>
      </c>
      <c r="K192" s="6">
        <f>I192-J192</f>
        <v/>
      </c>
      <c r="L192" s="6">
        <f>IF(H192="DISTRATO",0,I192)</f>
        <v/>
      </c>
    </row>
    <row r="193">
      <c r="A193" s="38" t="inlineStr">
        <is>
          <t>Conta corrente MFRUGIS06.XLS</t>
        </is>
      </c>
      <c r="B193" s="39" t="n">
        <v>38915</v>
      </c>
      <c r="C193" s="4" t="n">
        <v>38899</v>
      </c>
      <c r="D193" s="5">
        <f>YEAR(C193)</f>
        <v/>
      </c>
      <c r="E193" s="5">
        <f>MONTH(C193)</f>
        <v/>
      </c>
      <c r="F193" s="38" t="inlineStr">
        <is>
          <t>NFV  :TENDA ATACADO LTDA</t>
        </is>
      </c>
      <c r="G193" s="38" t="inlineStr">
        <is>
          <t>MARIO FRUGIS (01.04.01)</t>
        </is>
      </c>
      <c r="H193" s="38" t="inlineStr">
        <is>
          <t>NFV</t>
        </is>
      </c>
      <c r="I193" s="40" t="n">
        <v>14.96</v>
      </c>
      <c r="J193" s="40" t="n">
        <v>0</v>
      </c>
      <c r="K193" s="6">
        <f>I193-J193</f>
        <v/>
      </c>
      <c r="L193" s="6">
        <f>IF(H193="DISTRATO",0,I193)</f>
        <v/>
      </c>
    </row>
    <row r="194">
      <c r="A194" s="38" t="inlineStr">
        <is>
          <t>Conta corrente MFRUGIS06.XLS</t>
        </is>
      </c>
      <c r="B194" s="39" t="n">
        <v>38915</v>
      </c>
      <c r="C194" s="4" t="n">
        <v>38899</v>
      </c>
      <c r="D194" s="5">
        <f>YEAR(C194)</f>
        <v/>
      </c>
      <c r="E194" s="5">
        <f>MONTH(C194)</f>
        <v/>
      </c>
      <c r="F194" s="38" t="inlineStr">
        <is>
          <t>NFV  :TENDA ATACADO LTDA</t>
        </is>
      </c>
      <c r="G194" s="38" t="inlineStr">
        <is>
          <t>MARIO FRUGIS (01.04.01)</t>
        </is>
      </c>
      <c r="H194" s="38" t="inlineStr">
        <is>
          <t>NFV</t>
        </is>
      </c>
      <c r="I194" s="40" t="n">
        <v>17.37</v>
      </c>
      <c r="J194" s="40" t="n">
        <v>0</v>
      </c>
      <c r="K194" s="6">
        <f>I194-J194</f>
        <v/>
      </c>
      <c r="L194" s="6">
        <f>IF(H194="DISTRATO",0,I194)</f>
        <v/>
      </c>
    </row>
    <row r="195">
      <c r="A195" s="38" t="inlineStr">
        <is>
          <t>Conta corrente MFRUGIS06.XLS</t>
        </is>
      </c>
      <c r="B195" s="39" t="n">
        <v>38915</v>
      </c>
      <c r="C195" s="4" t="n">
        <v>38899</v>
      </c>
      <c r="D195" s="5">
        <f>YEAR(C195)</f>
        <v/>
      </c>
      <c r="E195" s="5">
        <f>MONTH(C195)</f>
        <v/>
      </c>
      <c r="F195" s="38" t="inlineStr">
        <is>
          <t>NFV  :TENDA ATACADO LTDA</t>
        </is>
      </c>
      <c r="G195" s="38" t="inlineStr">
        <is>
          <t>MARIO FRUGIS (01.04.01)</t>
        </is>
      </c>
      <c r="H195" s="38" t="inlineStr">
        <is>
          <t>NFV</t>
        </is>
      </c>
      <c r="I195" s="40" t="n">
        <v>34.8</v>
      </c>
      <c r="J195" s="40" t="n">
        <v>0</v>
      </c>
      <c r="K195" s="6">
        <f>I195-J195</f>
        <v/>
      </c>
      <c r="L195" s="6">
        <f>IF(H195="DISTRATO",0,I195)</f>
        <v/>
      </c>
    </row>
    <row r="196">
      <c r="A196" s="38" t="inlineStr">
        <is>
          <t>Conta corrente MFRUGIS06.XLS</t>
        </is>
      </c>
      <c r="B196" s="39" t="n">
        <v>38915</v>
      </c>
      <c r="C196" s="4" t="n">
        <v>38899</v>
      </c>
      <c r="D196" s="5">
        <f>YEAR(C196)</f>
        <v/>
      </c>
      <c r="E196" s="5">
        <f>MONTH(C196)</f>
        <v/>
      </c>
      <c r="F196" s="38" t="inlineStr">
        <is>
          <t>NFV  :TENDA ATACADO LTDA</t>
        </is>
      </c>
      <c r="G196" s="38" t="inlineStr">
        <is>
          <t>MARIO FRUGIS (01.04.01)</t>
        </is>
      </c>
      <c r="H196" s="38" t="inlineStr">
        <is>
          <t>NFV</t>
        </is>
      </c>
      <c r="I196" s="40" t="n">
        <v>26.18</v>
      </c>
      <c r="J196" s="40" t="n">
        <v>0</v>
      </c>
      <c r="K196" s="6">
        <f>I196-J196</f>
        <v/>
      </c>
      <c r="L196" s="6">
        <f>IF(H196="DISTRATO",0,I196)</f>
        <v/>
      </c>
    </row>
    <row r="197">
      <c r="A197" s="38" t="inlineStr">
        <is>
          <t>Conta corrente MFRUGIS06.XLS</t>
        </is>
      </c>
      <c r="B197" s="39" t="n">
        <v>38915</v>
      </c>
      <c r="C197" s="4" t="n">
        <v>38899</v>
      </c>
      <c r="D197" s="5">
        <f>YEAR(C197)</f>
        <v/>
      </c>
      <c r="E197" s="5">
        <f>MONTH(C197)</f>
        <v/>
      </c>
      <c r="F197" s="38" t="inlineStr">
        <is>
          <t>NFV  :TENDA ATACADO LTDA</t>
        </is>
      </c>
      <c r="G197" s="38" t="inlineStr">
        <is>
          <t>MARIO FRUGIS (01.04.01)</t>
        </is>
      </c>
      <c r="H197" s="38" t="inlineStr">
        <is>
          <t>NFV</t>
        </is>
      </c>
      <c r="I197" s="40" t="n">
        <v>23.94</v>
      </c>
      <c r="J197" s="40" t="n">
        <v>0</v>
      </c>
      <c r="K197" s="6">
        <f>I197-J197</f>
        <v/>
      </c>
      <c r="L197" s="6">
        <f>IF(H197="DISTRATO",0,I197)</f>
        <v/>
      </c>
    </row>
    <row r="198">
      <c r="A198" s="38" t="inlineStr">
        <is>
          <t>Conta corrente MFRUGIS06.XLS</t>
        </is>
      </c>
      <c r="B198" s="39" t="n">
        <v>38918</v>
      </c>
      <c r="C198" s="4" t="n">
        <v>38899</v>
      </c>
      <c r="D198" s="5">
        <f>YEAR(C198)</f>
        <v/>
      </c>
      <c r="E198" s="5">
        <f>MONTH(C198)</f>
        <v/>
      </c>
      <c r="F198" s="38" t="inlineStr">
        <is>
          <t>NFV  :TENDA ATACADO LTDA</t>
        </is>
      </c>
      <c r="G198" s="38" t="inlineStr">
        <is>
          <t>MARIO FRUGIS (01.04.01)</t>
        </is>
      </c>
      <c r="H198" s="38" t="inlineStr">
        <is>
          <t>NFV</t>
        </is>
      </c>
      <c r="I198" s="40" t="n">
        <v>17</v>
      </c>
      <c r="J198" s="40" t="n">
        <v>0</v>
      </c>
      <c r="K198" s="6">
        <f>I198-J198</f>
        <v/>
      </c>
      <c r="L198" s="6">
        <f>IF(H198="DISTRATO",0,I198)</f>
        <v/>
      </c>
    </row>
    <row r="199">
      <c r="A199" s="38" t="inlineStr">
        <is>
          <t>Conta corrente MFRUGIS06.XLS</t>
        </is>
      </c>
      <c r="B199" s="39" t="n">
        <v>38918</v>
      </c>
      <c r="C199" s="4" t="n">
        <v>38899</v>
      </c>
      <c r="D199" s="5">
        <f>YEAR(C199)</f>
        <v/>
      </c>
      <c r="E199" s="5">
        <f>MONTH(C199)</f>
        <v/>
      </c>
      <c r="F199" s="38" t="inlineStr">
        <is>
          <t>NFV  :TENDA ATACADO LTDA</t>
        </is>
      </c>
      <c r="G199" s="38" t="inlineStr">
        <is>
          <t>MARIO FRUGIS (01.04.01)</t>
        </is>
      </c>
      <c r="H199" s="38" t="inlineStr">
        <is>
          <t>NFV</t>
        </is>
      </c>
      <c r="I199" s="40" t="n">
        <v>22.17</v>
      </c>
      <c r="J199" s="40" t="n">
        <v>0</v>
      </c>
      <c r="K199" s="6">
        <f>I199-J199</f>
        <v/>
      </c>
      <c r="L199" s="6">
        <f>IF(H199="DISTRATO",0,I199)</f>
        <v/>
      </c>
    </row>
    <row r="200">
      <c r="A200" s="38" t="inlineStr">
        <is>
          <t>Conta corrente MFRUGIS06.XLS</t>
        </is>
      </c>
      <c r="B200" s="39" t="n">
        <v>38918</v>
      </c>
      <c r="C200" s="4" t="n">
        <v>38899</v>
      </c>
      <c r="D200" s="5">
        <f>YEAR(C200)</f>
        <v/>
      </c>
      <c r="E200" s="5">
        <f>MONTH(C200)</f>
        <v/>
      </c>
      <c r="F200" s="38" t="inlineStr">
        <is>
          <t>NFV  :TENDA ATACADO LTDA</t>
        </is>
      </c>
      <c r="G200" s="38" t="inlineStr">
        <is>
          <t>MARIO FRUGIS (01.04.01)</t>
        </is>
      </c>
      <c r="H200" s="38" t="inlineStr">
        <is>
          <t>NFV</t>
        </is>
      </c>
      <c r="I200" s="40" t="n">
        <v>27.34</v>
      </c>
      <c r="J200" s="40" t="n">
        <v>0</v>
      </c>
      <c r="K200" s="6">
        <f>I200-J200</f>
        <v/>
      </c>
      <c r="L200" s="6">
        <f>IF(H200="DISTRATO",0,I200)</f>
        <v/>
      </c>
    </row>
    <row r="201">
      <c r="A201" s="38" t="inlineStr">
        <is>
          <t>Conta corrente MFRUGIS06.XLS</t>
        </is>
      </c>
      <c r="B201" s="39" t="n">
        <v>38918</v>
      </c>
      <c r="C201" s="4" t="n">
        <v>38899</v>
      </c>
      <c r="D201" s="5">
        <f>YEAR(C201)</f>
        <v/>
      </c>
      <c r="E201" s="5">
        <f>MONTH(C201)</f>
        <v/>
      </c>
      <c r="F201" s="38" t="inlineStr">
        <is>
          <t>NFV  :TENDA ATACADO LTDA</t>
        </is>
      </c>
      <c r="G201" s="38" t="inlineStr">
        <is>
          <t>MARIO FRUGIS (01.04.01)</t>
        </is>
      </c>
      <c r="H201" s="38" t="inlineStr">
        <is>
          <t>NFV</t>
        </is>
      </c>
      <c r="I201" s="40" t="n">
        <v>46.24</v>
      </c>
      <c r="J201" s="40" t="n">
        <v>0</v>
      </c>
      <c r="K201" s="6">
        <f>I201-J201</f>
        <v/>
      </c>
      <c r="L201" s="6">
        <f>IF(H201="DISTRATO",0,I201)</f>
        <v/>
      </c>
    </row>
    <row r="202">
      <c r="A202" s="38" t="inlineStr">
        <is>
          <t>Conta corrente MFRUGIS06.XLS</t>
        </is>
      </c>
      <c r="B202" s="39" t="n">
        <v>38918</v>
      </c>
      <c r="C202" s="4" t="n">
        <v>38899</v>
      </c>
      <c r="D202" s="5">
        <f>YEAR(C202)</f>
        <v/>
      </c>
      <c r="E202" s="5">
        <f>MONTH(C202)</f>
        <v/>
      </c>
      <c r="F202" s="38" t="inlineStr">
        <is>
          <t>NFV  :TENDA ATACADO LTDA</t>
        </is>
      </c>
      <c r="G202" s="38" t="inlineStr">
        <is>
          <t>MARIO FRUGIS (01.04.01)</t>
        </is>
      </c>
      <c r="H202" s="38" t="inlineStr">
        <is>
          <t>NFV</t>
        </is>
      </c>
      <c r="I202" s="40" t="n">
        <v>32.52</v>
      </c>
      <c r="J202" s="40" t="n">
        <v>0</v>
      </c>
      <c r="K202" s="6">
        <f>I202-J202</f>
        <v/>
      </c>
      <c r="L202" s="6">
        <f>IF(H202="DISTRATO",0,I202)</f>
        <v/>
      </c>
    </row>
    <row r="203">
      <c r="A203" s="38" t="inlineStr">
        <is>
          <t>Conta corrente MFRUGIS06.XLS</t>
        </is>
      </c>
      <c r="B203" s="39" t="n">
        <v>38918</v>
      </c>
      <c r="C203" s="4" t="n">
        <v>38899</v>
      </c>
      <c r="D203" s="5">
        <f>YEAR(C203)</f>
        <v/>
      </c>
      <c r="E203" s="5">
        <f>MONTH(C203)</f>
        <v/>
      </c>
      <c r="F203" s="38" t="inlineStr">
        <is>
          <t>NFV  :TENDA ATACADO LTDA</t>
        </is>
      </c>
      <c r="G203" s="38" t="inlineStr">
        <is>
          <t>MARIO FRUGIS (01.04.01)</t>
        </is>
      </c>
      <c r="H203" s="38" t="inlineStr">
        <is>
          <t>NFV</t>
        </is>
      </c>
      <c r="I203" s="40" t="n">
        <v>70.63</v>
      </c>
      <c r="J203" s="40" t="n">
        <v>0</v>
      </c>
      <c r="K203" s="6">
        <f>I203-J203</f>
        <v/>
      </c>
      <c r="L203" s="6">
        <f>IF(H203="DISTRATO",0,I203)</f>
        <v/>
      </c>
    </row>
    <row r="204">
      <c r="A204" s="38" t="inlineStr">
        <is>
          <t>Conta corrente MFRUGIS06.XLS</t>
        </is>
      </c>
      <c r="B204" s="39" t="n">
        <v>38918</v>
      </c>
      <c r="C204" s="4" t="n">
        <v>38899</v>
      </c>
      <c r="D204" s="5">
        <f>YEAR(C204)</f>
        <v/>
      </c>
      <c r="E204" s="5">
        <f>MONTH(C204)</f>
        <v/>
      </c>
      <c r="F204" s="38" t="inlineStr">
        <is>
          <t>NFV  :TENDA ATACADO LTDA</t>
        </is>
      </c>
      <c r="G204" s="38" t="inlineStr">
        <is>
          <t>MARIO FRUGIS (01.04.01)</t>
        </is>
      </c>
      <c r="H204" s="38" t="inlineStr">
        <is>
          <t>NFV</t>
        </is>
      </c>
      <c r="I204" s="40" t="n">
        <v>12.93</v>
      </c>
      <c r="J204" s="40" t="n">
        <v>0</v>
      </c>
      <c r="K204" s="6">
        <f>I204-J204</f>
        <v/>
      </c>
      <c r="L204" s="6">
        <f>IF(H204="DISTRATO",0,I204)</f>
        <v/>
      </c>
    </row>
    <row r="205">
      <c r="A205" s="38" t="inlineStr">
        <is>
          <t>Conta corrente MFRUGIS06.XLS</t>
        </is>
      </c>
      <c r="B205" s="39" t="n">
        <v>38932</v>
      </c>
      <c r="C205" s="4" t="n">
        <v>38930</v>
      </c>
      <c r="D205" s="5">
        <f>YEAR(C205)</f>
        <v/>
      </c>
      <c r="E205" s="5">
        <f>MONTH(C205)</f>
        <v/>
      </c>
      <c r="F205" s="38" t="inlineStr">
        <is>
          <t>NFV  :TENDA ATACADO LTDA</t>
        </is>
      </c>
      <c r="G205" s="38" t="inlineStr">
        <is>
          <t>MARIO FRUGIS (01.04.01)</t>
        </is>
      </c>
      <c r="H205" s="38" t="inlineStr">
        <is>
          <t>NFV</t>
        </is>
      </c>
      <c r="I205" s="40" t="n">
        <v>19.03</v>
      </c>
      <c r="J205" s="40" t="n">
        <v>0</v>
      </c>
      <c r="K205" s="6">
        <f>I205-J205</f>
        <v/>
      </c>
      <c r="L205" s="6">
        <f>IF(H205="DISTRATO",0,I205)</f>
        <v/>
      </c>
    </row>
    <row r="206">
      <c r="A206" s="38" t="inlineStr">
        <is>
          <t>Conta corrente MFRUGIS06.XLS</t>
        </is>
      </c>
      <c r="B206" s="39" t="n">
        <v>38932</v>
      </c>
      <c r="C206" s="4" t="n">
        <v>38930</v>
      </c>
      <c r="D206" s="5">
        <f>YEAR(C206)</f>
        <v/>
      </c>
      <c r="E206" s="5">
        <f>MONTH(C206)</f>
        <v/>
      </c>
      <c r="F206" s="38" t="inlineStr">
        <is>
          <t>NFV  :TENDA ATACADO LTDA</t>
        </is>
      </c>
      <c r="G206" s="38" t="inlineStr">
        <is>
          <t>MARIO FRUGIS (01.04.01)</t>
        </is>
      </c>
      <c r="H206" s="38" t="inlineStr">
        <is>
          <t>NFV</t>
        </is>
      </c>
      <c r="I206" s="40" t="n">
        <v>19.03</v>
      </c>
      <c r="J206" s="40" t="n">
        <v>0</v>
      </c>
      <c r="K206" s="6">
        <f>I206-J206</f>
        <v/>
      </c>
      <c r="L206" s="6">
        <f>IF(H206="DISTRATO",0,I206)</f>
        <v/>
      </c>
    </row>
    <row r="207">
      <c r="A207" s="38" t="inlineStr">
        <is>
          <t>Conta corrente MFRUGIS06.XLS</t>
        </is>
      </c>
      <c r="B207" s="39" t="n">
        <v>38932</v>
      </c>
      <c r="C207" s="4" t="n">
        <v>38930</v>
      </c>
      <c r="D207" s="5">
        <f>YEAR(C207)</f>
        <v/>
      </c>
      <c r="E207" s="5">
        <f>MONTH(C207)</f>
        <v/>
      </c>
      <c r="F207" s="38" t="inlineStr">
        <is>
          <t>NFV  :TENDA ATACADO LTDA</t>
        </is>
      </c>
      <c r="G207" s="38" t="inlineStr">
        <is>
          <t>MARIO FRUGIS (01.04.01)</t>
        </is>
      </c>
      <c r="H207" s="38" t="inlineStr">
        <is>
          <t>NFV</t>
        </is>
      </c>
      <c r="I207" s="40" t="n">
        <v>14.69</v>
      </c>
      <c r="J207" s="40" t="n">
        <v>0</v>
      </c>
      <c r="K207" s="6">
        <f>I207-J207</f>
        <v/>
      </c>
      <c r="L207" s="6">
        <f>IF(H207="DISTRATO",0,I207)</f>
        <v/>
      </c>
    </row>
    <row r="208">
      <c r="A208" s="38" t="inlineStr">
        <is>
          <t>Conta corrente MFRUGIS06.XLS</t>
        </is>
      </c>
      <c r="B208" s="39" t="n">
        <v>38932</v>
      </c>
      <c r="C208" s="4" t="n">
        <v>38930</v>
      </c>
      <c r="D208" s="5">
        <f>YEAR(C208)</f>
        <v/>
      </c>
      <c r="E208" s="5">
        <f>MONTH(C208)</f>
        <v/>
      </c>
      <c r="F208" s="38" t="inlineStr">
        <is>
          <t>NFV  :TENDA ATACADO LTDA</t>
        </is>
      </c>
      <c r="G208" s="38" t="inlineStr">
        <is>
          <t>MARIO FRUGIS (01.04.01)</t>
        </is>
      </c>
      <c r="H208" s="38" t="inlineStr">
        <is>
          <t>NFV</t>
        </is>
      </c>
      <c r="I208" s="40" t="n">
        <v>14.69</v>
      </c>
      <c r="J208" s="40" t="n">
        <v>0</v>
      </c>
      <c r="K208" s="6">
        <f>I208-J208</f>
        <v/>
      </c>
      <c r="L208" s="6">
        <f>IF(H208="DISTRATO",0,I208)</f>
        <v/>
      </c>
    </row>
    <row r="209">
      <c r="A209" s="38" t="inlineStr">
        <is>
          <t>Conta corrente MFRUGIS06.XLS</t>
        </is>
      </c>
      <c r="B209" s="39" t="n">
        <v>38946</v>
      </c>
      <c r="C209" s="4" t="n">
        <v>38930</v>
      </c>
      <c r="D209" s="5">
        <f>YEAR(C209)</f>
        <v/>
      </c>
      <c r="E209" s="5">
        <f>MONTH(C209)</f>
        <v/>
      </c>
      <c r="F209" s="38" t="inlineStr">
        <is>
          <t>NFV  :TENDA ATACADO LTDA</t>
        </is>
      </c>
      <c r="G209" s="38" t="inlineStr">
        <is>
          <t>MARIO FRUGIS (01.04.01)</t>
        </is>
      </c>
      <c r="H209" s="38" t="inlineStr">
        <is>
          <t>NFV</t>
        </is>
      </c>
      <c r="I209" s="40" t="n">
        <v>66.67</v>
      </c>
      <c r="J209" s="40" t="n">
        <v>0</v>
      </c>
      <c r="K209" s="6">
        <f>I209-J209</f>
        <v/>
      </c>
      <c r="L209" s="6">
        <f>IF(H209="DISTRATO",0,I209)</f>
        <v/>
      </c>
    </row>
    <row r="210">
      <c r="A210" s="38" t="inlineStr">
        <is>
          <t>Conta corrente MFRUGIS06.XLS</t>
        </is>
      </c>
      <c r="B210" s="39" t="n">
        <v>38950</v>
      </c>
      <c r="C210" s="4" t="n">
        <v>38930</v>
      </c>
      <c r="D210" s="5">
        <f>YEAR(C210)</f>
        <v/>
      </c>
      <c r="E210" s="5">
        <f>MONTH(C210)</f>
        <v/>
      </c>
      <c r="F210" s="38" t="inlineStr">
        <is>
          <t>NFV  :TENDA ATACADO LTDA</t>
        </is>
      </c>
      <c r="G210" s="38" t="inlineStr">
        <is>
          <t>MARIO FRUGIS (01.04.01)</t>
        </is>
      </c>
      <c r="H210" s="38" t="inlineStr">
        <is>
          <t>NFV</t>
        </is>
      </c>
      <c r="I210" s="40" t="n">
        <v>12.57</v>
      </c>
      <c r="J210" s="40" t="n">
        <v>0</v>
      </c>
      <c r="K210" s="6">
        <f>I210-J210</f>
        <v/>
      </c>
      <c r="L210" s="6">
        <f>IF(H210="DISTRATO",0,I210)</f>
        <v/>
      </c>
    </row>
    <row r="211">
      <c r="A211" s="38" t="inlineStr">
        <is>
          <t>Conta corrente MFRUGIS06.XLS</t>
        </is>
      </c>
      <c r="B211" s="39" t="n">
        <v>38950</v>
      </c>
      <c r="C211" s="4" t="n">
        <v>38930</v>
      </c>
      <c r="D211" s="5">
        <f>YEAR(C211)</f>
        <v/>
      </c>
      <c r="E211" s="5">
        <f>MONTH(C211)</f>
        <v/>
      </c>
      <c r="F211" s="38" t="inlineStr">
        <is>
          <t>NFV  :TENDA ATACADO LTDA</t>
        </is>
      </c>
      <c r="G211" s="38" t="inlineStr">
        <is>
          <t>MARIO FRUGIS (01.04.01)</t>
        </is>
      </c>
      <c r="H211" s="38" t="inlineStr">
        <is>
          <t>NFV</t>
        </is>
      </c>
      <c r="I211" s="40" t="n">
        <v>23.67</v>
      </c>
      <c r="J211" s="40" t="n">
        <v>0</v>
      </c>
      <c r="K211" s="6">
        <f>I211-J211</f>
        <v/>
      </c>
      <c r="L211" s="6">
        <f>IF(H211="DISTRATO",0,I211)</f>
        <v/>
      </c>
    </row>
    <row r="212">
      <c r="A212" s="38" t="inlineStr">
        <is>
          <t>Conta corrente MFRUGIS06.XLS</t>
        </is>
      </c>
      <c r="B212" s="39" t="n">
        <v>38950</v>
      </c>
      <c r="C212" s="4" t="n">
        <v>38930</v>
      </c>
      <c r="D212" s="5">
        <f>YEAR(C212)</f>
        <v/>
      </c>
      <c r="E212" s="5">
        <f>MONTH(C212)</f>
        <v/>
      </c>
      <c r="F212" s="38" t="inlineStr">
        <is>
          <t>NFV  :TENDA ATACADO LTDA</t>
        </is>
      </c>
      <c r="G212" s="38" t="inlineStr">
        <is>
          <t>MARIO FRUGIS (01.04.01)</t>
        </is>
      </c>
      <c r="H212" s="38" t="inlineStr">
        <is>
          <t>NFV</t>
        </is>
      </c>
      <c r="I212" s="40" t="n">
        <v>121.61</v>
      </c>
      <c r="J212" s="40" t="n">
        <v>0</v>
      </c>
      <c r="K212" s="6">
        <f>I212-J212</f>
        <v/>
      </c>
      <c r="L212" s="6">
        <f>IF(H212="DISTRATO",0,I212)</f>
        <v/>
      </c>
    </row>
    <row r="213">
      <c r="A213" s="38" t="inlineStr">
        <is>
          <t>Conta corrente MFRUGIS06.XLS</t>
        </is>
      </c>
      <c r="B213" s="39" t="n">
        <v>38950</v>
      </c>
      <c r="C213" s="4" t="n">
        <v>38930</v>
      </c>
      <c r="D213" s="5">
        <f>YEAR(C213)</f>
        <v/>
      </c>
      <c r="E213" s="5">
        <f>MONTH(C213)</f>
        <v/>
      </c>
      <c r="F213" s="38" t="inlineStr">
        <is>
          <t>NFV  :TENDA ATACADO LTDA</t>
        </is>
      </c>
      <c r="G213" s="38" t="inlineStr">
        <is>
          <t>MARIO FRUGIS (01.04.01)</t>
        </is>
      </c>
      <c r="H213" s="38" t="inlineStr">
        <is>
          <t>NFV</t>
        </is>
      </c>
      <c r="I213" s="40" t="n">
        <v>105.41</v>
      </c>
      <c r="J213" s="40" t="n">
        <v>0</v>
      </c>
      <c r="K213" s="6">
        <f>I213-J213</f>
        <v/>
      </c>
      <c r="L213" s="6">
        <f>IF(H213="DISTRATO",0,I213)</f>
        <v/>
      </c>
    </row>
    <row r="214">
      <c r="A214" s="38" t="inlineStr">
        <is>
          <t>Conta corrente MFRUGIS06.XLS</t>
        </is>
      </c>
      <c r="B214" s="39" t="n">
        <v>38950</v>
      </c>
      <c r="C214" s="4" t="n">
        <v>38930</v>
      </c>
      <c r="D214" s="5">
        <f>YEAR(C214)</f>
        <v/>
      </c>
      <c r="E214" s="5">
        <f>MONTH(C214)</f>
        <v/>
      </c>
      <c r="F214" s="38" t="inlineStr">
        <is>
          <t>NFV  :TENDA ATACADO LTDA</t>
        </is>
      </c>
      <c r="G214" s="38" t="inlineStr">
        <is>
          <t>MARIO FRUGIS (01.04.01)</t>
        </is>
      </c>
      <c r="H214" s="38" t="inlineStr">
        <is>
          <t>NFV</t>
        </is>
      </c>
      <c r="I214" s="40" t="n">
        <v>22.18</v>
      </c>
      <c r="J214" s="40" t="n">
        <v>0</v>
      </c>
      <c r="K214" s="6">
        <f>I214-J214</f>
        <v/>
      </c>
      <c r="L214" s="6">
        <f>IF(H214="DISTRATO",0,I214)</f>
        <v/>
      </c>
    </row>
    <row r="215">
      <c r="A215" s="38" t="inlineStr">
        <is>
          <t>Conta corrente MFRUGIS06.XLS</t>
        </is>
      </c>
      <c r="B215" s="39" t="n">
        <v>38950</v>
      </c>
      <c r="C215" s="4" t="n">
        <v>38930</v>
      </c>
      <c r="D215" s="5">
        <f>YEAR(C215)</f>
        <v/>
      </c>
      <c r="E215" s="5">
        <f>MONTH(C215)</f>
        <v/>
      </c>
      <c r="F215" s="38" t="inlineStr">
        <is>
          <t>NFV  :TENDA ATACADO LTDA</t>
        </is>
      </c>
      <c r="G215" s="38" t="inlineStr">
        <is>
          <t>MARIO FRUGIS (01.04.01)</t>
        </is>
      </c>
      <c r="H215" s="38" t="inlineStr">
        <is>
          <t>NFV</t>
        </is>
      </c>
      <c r="I215" s="40" t="n">
        <v>95.22</v>
      </c>
      <c r="J215" s="40" t="n">
        <v>0</v>
      </c>
      <c r="K215" s="6">
        <f>I215-J215</f>
        <v/>
      </c>
      <c r="L215" s="6">
        <f>IF(H215="DISTRATO",0,I215)</f>
        <v/>
      </c>
    </row>
    <row r="216">
      <c r="A216" s="38" t="inlineStr">
        <is>
          <t>Conta corrente MFRUGIS06.XLS</t>
        </is>
      </c>
      <c r="B216" s="39" t="n">
        <v>38950</v>
      </c>
      <c r="C216" s="4" t="n">
        <v>38930</v>
      </c>
      <c r="D216" s="5">
        <f>YEAR(C216)</f>
        <v/>
      </c>
      <c r="E216" s="5">
        <f>MONTH(C216)</f>
        <v/>
      </c>
      <c r="F216" s="38" t="inlineStr">
        <is>
          <t>NFV  :TENDA ATACADO LTDA</t>
        </is>
      </c>
      <c r="G216" s="38" t="inlineStr">
        <is>
          <t>MARIO FRUGIS (01.04.01)</t>
        </is>
      </c>
      <c r="H216" s="38" t="inlineStr">
        <is>
          <t>NFV</t>
        </is>
      </c>
      <c r="I216" s="40" t="n">
        <v>68.28</v>
      </c>
      <c r="J216" s="40" t="n">
        <v>0</v>
      </c>
      <c r="K216" s="6">
        <f>I216-J216</f>
        <v/>
      </c>
      <c r="L216" s="6">
        <f>IF(H216="DISTRATO",0,I216)</f>
        <v/>
      </c>
    </row>
    <row r="217">
      <c r="A217" s="38" t="inlineStr">
        <is>
          <t>Conta corrente MFRUGIS06.XLS</t>
        </is>
      </c>
      <c r="B217" s="39" t="n">
        <v>38950</v>
      </c>
      <c r="C217" s="4" t="n">
        <v>38930</v>
      </c>
      <c r="D217" s="5">
        <f>YEAR(C217)</f>
        <v/>
      </c>
      <c r="E217" s="5">
        <f>MONTH(C217)</f>
        <v/>
      </c>
      <c r="F217" s="38" t="inlineStr">
        <is>
          <t>NFV  :TENDA ATACADO LTDA</t>
        </is>
      </c>
      <c r="G217" s="38" t="inlineStr">
        <is>
          <t>MARIO FRUGIS (01.04.01)</t>
        </is>
      </c>
      <c r="H217" s="38" t="inlineStr">
        <is>
          <t>NFV</t>
        </is>
      </c>
      <c r="I217" s="40" t="n">
        <v>119.2</v>
      </c>
      <c r="J217" s="40" t="n">
        <v>0</v>
      </c>
      <c r="K217" s="6">
        <f>I217-J217</f>
        <v/>
      </c>
      <c r="L217" s="6">
        <f>IF(H217="DISTRATO",0,I217)</f>
        <v/>
      </c>
    </row>
    <row r="218">
      <c r="A218" s="38" t="inlineStr">
        <is>
          <t>Conta corrente MFRUGIS06.XLS</t>
        </is>
      </c>
      <c r="B218" s="39" t="n">
        <v>38950</v>
      </c>
      <c r="C218" s="4" t="n">
        <v>38930</v>
      </c>
      <c r="D218" s="5">
        <f>YEAR(C218)</f>
        <v/>
      </c>
      <c r="E218" s="5">
        <f>MONTH(C218)</f>
        <v/>
      </c>
      <c r="F218" s="38" t="inlineStr">
        <is>
          <t>NFV  :TENDA ATACADO LTDA</t>
        </is>
      </c>
      <c r="G218" s="38" t="inlineStr">
        <is>
          <t>MARIO FRUGIS (01.04.01)</t>
        </is>
      </c>
      <c r="H218" s="38" t="inlineStr">
        <is>
          <t>NFV</t>
        </is>
      </c>
      <c r="I218" s="40" t="n">
        <v>68.94</v>
      </c>
      <c r="J218" s="40" t="n">
        <v>0</v>
      </c>
      <c r="K218" s="6">
        <f>I218-J218</f>
        <v/>
      </c>
      <c r="L218" s="6">
        <f>IF(H218="DISTRATO",0,I218)</f>
        <v/>
      </c>
    </row>
    <row r="219">
      <c r="A219" s="38" t="inlineStr">
        <is>
          <t>Conta corrente MFRUGIS06.XLS</t>
        </is>
      </c>
      <c r="B219" s="39" t="n">
        <v>38951</v>
      </c>
      <c r="C219" s="4" t="n">
        <v>38930</v>
      </c>
      <c r="D219" s="5">
        <f>YEAR(C219)</f>
        <v/>
      </c>
      <c r="E219" s="5">
        <f>MONTH(C219)</f>
        <v/>
      </c>
      <c r="F219" s="38" t="inlineStr">
        <is>
          <t>NFV  :TENDA ATACADO LTDA</t>
        </is>
      </c>
      <c r="G219" s="38" t="inlineStr">
        <is>
          <t>MARIO FRUGIS (01.04.01)</t>
        </is>
      </c>
      <c r="H219" s="38" t="inlineStr">
        <is>
          <t>NFV</t>
        </is>
      </c>
      <c r="I219" s="40" t="n">
        <v>13.35</v>
      </c>
      <c r="J219" s="40" t="n">
        <v>0</v>
      </c>
      <c r="K219" s="6">
        <f>I219-J219</f>
        <v/>
      </c>
      <c r="L219" s="6">
        <f>IF(H219="DISTRATO",0,I219)</f>
        <v/>
      </c>
    </row>
    <row r="220">
      <c r="A220" s="38" t="inlineStr">
        <is>
          <t>Conta corrente MFRUGIS06.XLS</t>
        </is>
      </c>
      <c r="B220" s="39" t="n">
        <v>38951</v>
      </c>
      <c r="C220" s="4" t="n">
        <v>38930</v>
      </c>
      <c r="D220" s="5">
        <f>YEAR(C220)</f>
        <v/>
      </c>
      <c r="E220" s="5">
        <f>MONTH(C220)</f>
        <v/>
      </c>
      <c r="F220" s="38" t="inlineStr">
        <is>
          <t>NFV  :TENDA ATACADO LTDA</t>
        </is>
      </c>
      <c r="G220" s="38" t="inlineStr">
        <is>
          <t>MARIO FRUGIS (01.04.01)</t>
        </is>
      </c>
      <c r="H220" s="38" t="inlineStr">
        <is>
          <t>NFV</t>
        </is>
      </c>
      <c r="I220" s="40" t="n">
        <v>13.35</v>
      </c>
      <c r="J220" s="40" t="n">
        <v>0</v>
      </c>
      <c r="K220" s="6">
        <f>I220-J220</f>
        <v/>
      </c>
      <c r="L220" s="6">
        <f>IF(H220="DISTRATO",0,I220)</f>
        <v/>
      </c>
    </row>
    <row r="221">
      <c r="A221" s="38" t="inlineStr">
        <is>
          <t>Conta corrente MFRUGIS06.XLS</t>
        </is>
      </c>
      <c r="B221" s="39" t="n">
        <v>38951</v>
      </c>
      <c r="C221" s="4" t="n">
        <v>38930</v>
      </c>
      <c r="D221" s="5">
        <f>YEAR(C221)</f>
        <v/>
      </c>
      <c r="E221" s="5">
        <f>MONTH(C221)</f>
        <v/>
      </c>
      <c r="F221" s="38" t="inlineStr">
        <is>
          <t>NFV  :TENDA ATACADO LTDA</t>
        </is>
      </c>
      <c r="G221" s="38" t="inlineStr">
        <is>
          <t>MARIO FRUGIS (01.04.01)</t>
        </is>
      </c>
      <c r="H221" s="38" t="inlineStr">
        <is>
          <t>NFV</t>
        </is>
      </c>
      <c r="I221" s="40" t="n">
        <v>13.35</v>
      </c>
      <c r="J221" s="40" t="n">
        <v>0</v>
      </c>
      <c r="K221" s="6">
        <f>I221-J221</f>
        <v/>
      </c>
      <c r="L221" s="6">
        <f>IF(H221="DISTRATO",0,I221)</f>
        <v/>
      </c>
    </row>
    <row r="222">
      <c r="A222" s="38" t="inlineStr">
        <is>
          <t>Conta corrente MFRUGIS06.XLS</t>
        </is>
      </c>
      <c r="B222" s="39" t="n">
        <v>38951</v>
      </c>
      <c r="C222" s="4" t="n">
        <v>38930</v>
      </c>
      <c r="D222" s="5">
        <f>YEAR(C222)</f>
        <v/>
      </c>
      <c r="E222" s="5">
        <f>MONTH(C222)</f>
        <v/>
      </c>
      <c r="F222" s="38" t="inlineStr">
        <is>
          <t>NFV  :TENDA ATACADO LTDA</t>
        </is>
      </c>
      <c r="G222" s="38" t="inlineStr">
        <is>
          <t>MARIO FRUGIS (01.04.01)</t>
        </is>
      </c>
      <c r="H222" s="38" t="inlineStr">
        <is>
          <t>NFV</t>
        </is>
      </c>
      <c r="I222" s="40" t="n">
        <v>26.71</v>
      </c>
      <c r="J222" s="40" t="n">
        <v>0</v>
      </c>
      <c r="K222" s="6">
        <f>I222-J222</f>
        <v/>
      </c>
      <c r="L222" s="6">
        <f>IF(H222="DISTRATO",0,I222)</f>
        <v/>
      </c>
    </row>
    <row r="223">
      <c r="A223" s="38" t="inlineStr">
        <is>
          <t>Conta corrente MFRUGIS06.XLS</t>
        </is>
      </c>
      <c r="B223" s="39" t="n">
        <v>38951</v>
      </c>
      <c r="C223" s="4" t="n">
        <v>38930</v>
      </c>
      <c r="D223" s="5">
        <f>YEAR(C223)</f>
        <v/>
      </c>
      <c r="E223" s="5">
        <f>MONTH(C223)</f>
        <v/>
      </c>
      <c r="F223" s="38" t="inlineStr">
        <is>
          <t>NFV  :TENDA ATACADO LTDA</t>
        </is>
      </c>
      <c r="G223" s="38" t="inlineStr">
        <is>
          <t>MARIO FRUGIS (01.04.01)</t>
        </is>
      </c>
      <c r="H223" s="38" t="inlineStr">
        <is>
          <t>NFV</t>
        </is>
      </c>
      <c r="I223" s="40" t="n">
        <v>26.71</v>
      </c>
      <c r="J223" s="40" t="n">
        <v>0</v>
      </c>
      <c r="K223" s="6">
        <f>I223-J223</f>
        <v/>
      </c>
      <c r="L223" s="6">
        <f>IF(H223="DISTRATO",0,I223)</f>
        <v/>
      </c>
    </row>
    <row r="224">
      <c r="A224" s="38" t="inlineStr">
        <is>
          <t>Conta corrente MFRUGIS06.XLS</t>
        </is>
      </c>
      <c r="B224" s="39" t="n">
        <v>38951</v>
      </c>
      <c r="C224" s="4" t="n">
        <v>38930</v>
      </c>
      <c r="D224" s="5">
        <f>YEAR(C224)</f>
        <v/>
      </c>
      <c r="E224" s="5">
        <f>MONTH(C224)</f>
        <v/>
      </c>
      <c r="F224" s="38" t="inlineStr">
        <is>
          <t>NFV  :TENDA ATACADO LTDA</t>
        </is>
      </c>
      <c r="G224" s="38" t="inlineStr">
        <is>
          <t>MARIO FRUGIS (01.04.01)</t>
        </is>
      </c>
      <c r="H224" s="38" t="inlineStr">
        <is>
          <t>NFV</t>
        </is>
      </c>
      <c r="I224" s="40" t="n">
        <v>26.71</v>
      </c>
      <c r="J224" s="40" t="n">
        <v>0</v>
      </c>
      <c r="K224" s="6">
        <f>I224-J224</f>
        <v/>
      </c>
      <c r="L224" s="6">
        <f>IF(H224="DISTRATO",0,I224)</f>
        <v/>
      </c>
    </row>
    <row r="225">
      <c r="A225" s="38" t="inlineStr">
        <is>
          <t>Conta corrente MFRUGIS06.XLS</t>
        </is>
      </c>
      <c r="B225" s="39" t="n">
        <v>38951</v>
      </c>
      <c r="C225" s="4" t="n">
        <v>38930</v>
      </c>
      <c r="D225" s="5">
        <f>YEAR(C225)</f>
        <v/>
      </c>
      <c r="E225" s="5">
        <f>MONTH(C225)</f>
        <v/>
      </c>
      <c r="F225" s="38" t="inlineStr">
        <is>
          <t>NFV  :TENDA ATACADO LTDA</t>
        </is>
      </c>
      <c r="G225" s="38" t="inlineStr">
        <is>
          <t>MARIO FRUGIS (01.04.01)</t>
        </is>
      </c>
      <c r="H225" s="38" t="inlineStr">
        <is>
          <t>NFV</t>
        </is>
      </c>
      <c r="I225" s="40" t="n">
        <v>32.69</v>
      </c>
      <c r="J225" s="40" t="n">
        <v>0</v>
      </c>
      <c r="K225" s="6">
        <f>I225-J225</f>
        <v/>
      </c>
      <c r="L225" s="6">
        <f>IF(H225="DISTRATO",0,I225)</f>
        <v/>
      </c>
    </row>
    <row r="226">
      <c r="A226" s="38" t="inlineStr">
        <is>
          <t>Conta corrente MFRUGIS06.XLS</t>
        </is>
      </c>
      <c r="B226" s="39" t="n">
        <v>38951</v>
      </c>
      <c r="C226" s="4" t="n">
        <v>38930</v>
      </c>
      <c r="D226" s="5">
        <f>YEAR(C226)</f>
        <v/>
      </c>
      <c r="E226" s="5">
        <f>MONTH(C226)</f>
        <v/>
      </c>
      <c r="F226" s="38" t="inlineStr">
        <is>
          <t>NFV  :TENDA ATACADO LTDA</t>
        </is>
      </c>
      <c r="G226" s="38" t="inlineStr">
        <is>
          <t>MARIO FRUGIS (01.04.01)</t>
        </is>
      </c>
      <c r="H226" s="38" t="inlineStr">
        <is>
          <t>NFV</t>
        </is>
      </c>
      <c r="I226" s="40" t="n">
        <v>15.68</v>
      </c>
      <c r="J226" s="40" t="n">
        <v>0</v>
      </c>
      <c r="K226" s="6">
        <f>I226-J226</f>
        <v/>
      </c>
      <c r="L226" s="6">
        <f>IF(H226="DISTRATO",0,I226)</f>
        <v/>
      </c>
    </row>
    <row r="227">
      <c r="A227" s="38" t="inlineStr">
        <is>
          <t>Conta corrente MFRUGIS06.XLS</t>
        </is>
      </c>
      <c r="B227" s="39" t="n">
        <v>38952</v>
      </c>
      <c r="C227" s="4" t="n">
        <v>38930</v>
      </c>
      <c r="D227" s="5">
        <f>YEAR(C227)</f>
        <v/>
      </c>
      <c r="E227" s="5">
        <f>MONTH(C227)</f>
        <v/>
      </c>
      <c r="F227" s="38" t="inlineStr">
        <is>
          <t>DEV  :TENDA ATACADO LTDA</t>
        </is>
      </c>
      <c r="G227" s="38" t="inlineStr">
        <is>
          <t>MARIO FRUGIS (01.04.01)</t>
        </is>
      </c>
      <c r="H227" s="38" t="inlineStr">
        <is>
          <t>DEVOLUCAO</t>
        </is>
      </c>
      <c r="I227" s="40" t="n">
        <v>-13.86</v>
      </c>
      <c r="J227" s="40" t="n">
        <v>0</v>
      </c>
      <c r="K227" s="6">
        <f>I227-J227</f>
        <v/>
      </c>
      <c r="L227" s="6">
        <f>IF(H227="DISTRATO",0,I227)</f>
        <v/>
      </c>
    </row>
    <row r="228">
      <c r="A228" s="38" t="inlineStr">
        <is>
          <t>Conta corrente MFRUGIS06.XLS</t>
        </is>
      </c>
      <c r="B228" s="39" t="n">
        <v>38952</v>
      </c>
      <c r="C228" s="4" t="n">
        <v>38930</v>
      </c>
      <c r="D228" s="5">
        <f>YEAR(C228)</f>
        <v/>
      </c>
      <c r="E228" s="5">
        <f>MONTH(C228)</f>
        <v/>
      </c>
      <c r="F228" s="38" t="inlineStr">
        <is>
          <t>DEV  :TENDA ATACADO LTDA</t>
        </is>
      </c>
      <c r="G228" s="38" t="inlineStr">
        <is>
          <t>MARIO FRUGIS (01.04.01)</t>
        </is>
      </c>
      <c r="H228" s="38" t="inlineStr">
        <is>
          <t>DEVOLUCAO</t>
        </is>
      </c>
      <c r="I228" s="40" t="n">
        <v>-13.86</v>
      </c>
      <c r="J228" s="40" t="n">
        <v>0</v>
      </c>
      <c r="K228" s="6">
        <f>I228-J228</f>
        <v/>
      </c>
      <c r="L228" s="6">
        <f>IF(H228="DISTRATO",0,I228)</f>
        <v/>
      </c>
    </row>
    <row r="229">
      <c r="A229" s="38" t="inlineStr">
        <is>
          <t>Conta corrente MFRUGIS06.XLS</t>
        </is>
      </c>
      <c r="B229" s="39" t="n">
        <v>38952</v>
      </c>
      <c r="C229" s="4" t="n">
        <v>38930</v>
      </c>
      <c r="D229" s="5">
        <f>YEAR(C229)</f>
        <v/>
      </c>
      <c r="E229" s="5">
        <f>MONTH(C229)</f>
        <v/>
      </c>
      <c r="F229" s="38" t="inlineStr">
        <is>
          <t>DEV  :TENDA ATACADO LTDA</t>
        </is>
      </c>
      <c r="G229" s="38" t="inlineStr">
        <is>
          <t>MARIO FRUGIS (01.04.01)</t>
        </is>
      </c>
      <c r="H229" s="38" t="inlineStr">
        <is>
          <t>DEVOLUCAO</t>
        </is>
      </c>
      <c r="I229" s="40" t="n">
        <v>-27.72</v>
      </c>
      <c r="J229" s="40" t="n">
        <v>0</v>
      </c>
      <c r="K229" s="6">
        <f>I229-J229</f>
        <v/>
      </c>
      <c r="L229" s="6">
        <f>IF(H229="DISTRATO",0,I229)</f>
        <v/>
      </c>
    </row>
    <row r="230">
      <c r="A230" s="38" t="inlineStr">
        <is>
          <t>Conta corrente MFRUGIS06.XLS</t>
        </is>
      </c>
      <c r="B230" s="39" t="n">
        <v>38952</v>
      </c>
      <c r="C230" s="4" t="n">
        <v>38930</v>
      </c>
      <c r="D230" s="5">
        <f>YEAR(C230)</f>
        <v/>
      </c>
      <c r="E230" s="5">
        <f>MONTH(C230)</f>
        <v/>
      </c>
      <c r="F230" s="38" t="inlineStr">
        <is>
          <t>DEV  :TENDA ATACADO LTDA</t>
        </is>
      </c>
      <c r="G230" s="38" t="inlineStr">
        <is>
          <t>MARIO FRUGIS (01.04.01)</t>
        </is>
      </c>
      <c r="H230" s="38" t="inlineStr">
        <is>
          <t>DEVOLUCAO</t>
        </is>
      </c>
      <c r="I230" s="40" t="n">
        <v>-27.72</v>
      </c>
      <c r="J230" s="40" t="n">
        <v>0</v>
      </c>
      <c r="K230" s="6">
        <f>I230-J230</f>
        <v/>
      </c>
      <c r="L230" s="6">
        <f>IF(H230="DISTRATO",0,I230)</f>
        <v/>
      </c>
    </row>
    <row r="231">
      <c r="A231" s="38" t="inlineStr">
        <is>
          <t>Conta corrente MFRUGIS06.XLS</t>
        </is>
      </c>
      <c r="B231" s="39" t="n">
        <v>38952</v>
      </c>
      <c r="C231" s="4" t="n">
        <v>38930</v>
      </c>
      <c r="D231" s="5">
        <f>YEAR(C231)</f>
        <v/>
      </c>
      <c r="E231" s="5">
        <f>MONTH(C231)</f>
        <v/>
      </c>
      <c r="F231" s="38" t="inlineStr">
        <is>
          <t>NFV  :TENDA ATACADO LTDA</t>
        </is>
      </c>
      <c r="G231" s="38" t="inlineStr">
        <is>
          <t>MARIO FRUGIS (01.04.01)</t>
        </is>
      </c>
      <c r="H231" s="38" t="inlineStr">
        <is>
          <t>NFV</t>
        </is>
      </c>
      <c r="I231" s="40" t="n">
        <v>23.83</v>
      </c>
      <c r="J231" s="40" t="n">
        <v>0</v>
      </c>
      <c r="K231" s="6">
        <f>I231-J231</f>
        <v/>
      </c>
      <c r="L231" s="6">
        <f>IF(H231="DISTRATO",0,I231)</f>
        <v/>
      </c>
    </row>
    <row r="232">
      <c r="A232" s="38" t="inlineStr">
        <is>
          <t>Conta corrente MFRUGIS06.XLS</t>
        </is>
      </c>
      <c r="B232" s="39" t="n">
        <v>38953</v>
      </c>
      <c r="C232" s="4" t="n">
        <v>38930</v>
      </c>
      <c r="D232" s="5">
        <f>YEAR(C232)</f>
        <v/>
      </c>
      <c r="E232" s="5">
        <f>MONTH(C232)</f>
        <v/>
      </c>
      <c r="F232" s="38" t="inlineStr">
        <is>
          <t>DEV  :TENDA ATACADO LTDA</t>
        </is>
      </c>
      <c r="G232" s="38" t="inlineStr">
        <is>
          <t>MARIO FRUGIS (01.04.01)</t>
        </is>
      </c>
      <c r="H232" s="38" t="inlineStr">
        <is>
          <t>DEVOLUCAO</t>
        </is>
      </c>
      <c r="I232" s="40" t="n">
        <v>-27.53</v>
      </c>
      <c r="J232" s="40" t="n">
        <v>0</v>
      </c>
      <c r="K232" s="6">
        <f>I232-J232</f>
        <v/>
      </c>
      <c r="L232" s="6">
        <f>IF(H232="DISTRATO",0,I232)</f>
        <v/>
      </c>
    </row>
    <row r="233">
      <c r="A233" s="38" t="inlineStr">
        <is>
          <t>Conta corrente MFRUGIS06.XLS</t>
        </is>
      </c>
      <c r="B233" s="39" t="n">
        <v>38973</v>
      </c>
      <c r="C233" s="4" t="n">
        <v>38961</v>
      </c>
      <c r="D233" s="5">
        <f>YEAR(C233)</f>
        <v/>
      </c>
      <c r="E233" s="5">
        <f>MONTH(C233)</f>
        <v/>
      </c>
      <c r="F233" s="38" t="inlineStr">
        <is>
          <t>NFV  :TENDA ATACADO LTDA</t>
        </is>
      </c>
      <c r="G233" s="38" t="inlineStr">
        <is>
          <t>MARIO FRUGIS (01.04.01)</t>
        </is>
      </c>
      <c r="H233" s="38" t="inlineStr">
        <is>
          <t>NFV</t>
        </is>
      </c>
      <c r="I233" s="40" t="n">
        <v>50.05</v>
      </c>
      <c r="J233" s="40" t="n">
        <v>0</v>
      </c>
      <c r="K233" s="6">
        <f>I233-J233</f>
        <v/>
      </c>
      <c r="L233" s="6">
        <f>IF(H233="DISTRATO",0,I233)</f>
        <v/>
      </c>
    </row>
    <row r="234">
      <c r="A234" s="38" t="inlineStr">
        <is>
          <t>Conta corrente MFRUGIS06.XLS</t>
        </is>
      </c>
      <c r="B234" s="39" t="n">
        <v>38973</v>
      </c>
      <c r="C234" s="4" t="n">
        <v>38961</v>
      </c>
      <c r="D234" s="5">
        <f>YEAR(C234)</f>
        <v/>
      </c>
      <c r="E234" s="5">
        <f>MONTH(C234)</f>
        <v/>
      </c>
      <c r="F234" s="38" t="inlineStr">
        <is>
          <t>NFV  :TENDA ATACADO LTDA</t>
        </is>
      </c>
      <c r="G234" s="38" t="inlineStr">
        <is>
          <t>MARIO FRUGIS (01.04.01)</t>
        </is>
      </c>
      <c r="H234" s="38" t="inlineStr">
        <is>
          <t>NFV</t>
        </is>
      </c>
      <c r="I234" s="40" t="n">
        <v>54.07</v>
      </c>
      <c r="J234" s="40" t="n">
        <v>0</v>
      </c>
      <c r="K234" s="6">
        <f>I234-J234</f>
        <v/>
      </c>
      <c r="L234" s="6">
        <f>IF(H234="DISTRATO",0,I234)</f>
        <v/>
      </c>
    </row>
    <row r="235">
      <c r="A235" s="38" t="inlineStr">
        <is>
          <t>Conta corrente MFRUGIS06.XLS</t>
        </is>
      </c>
      <c r="B235" s="39" t="n">
        <v>38974</v>
      </c>
      <c r="C235" s="4" t="n">
        <v>38961</v>
      </c>
      <c r="D235" s="5">
        <f>YEAR(C235)</f>
        <v/>
      </c>
      <c r="E235" s="5">
        <f>MONTH(C235)</f>
        <v/>
      </c>
      <c r="F235" s="38" t="inlineStr">
        <is>
          <t>NFV  :TENDA ATACADO LTDA</t>
        </is>
      </c>
      <c r="G235" s="38" t="inlineStr">
        <is>
          <t>MARIO FRUGIS (01.04.01)</t>
        </is>
      </c>
      <c r="H235" s="38" t="inlineStr">
        <is>
          <t>NFV</t>
        </is>
      </c>
      <c r="I235" s="40" t="n">
        <v>46.02</v>
      </c>
      <c r="J235" s="40" t="n">
        <v>0</v>
      </c>
      <c r="K235" s="6">
        <f>I235-J235</f>
        <v/>
      </c>
      <c r="L235" s="6">
        <f>IF(H235="DISTRATO",0,I235)</f>
        <v/>
      </c>
    </row>
    <row r="236">
      <c r="A236" s="38" t="inlineStr">
        <is>
          <t>Conta corrente MFRUGIS06.XLS</t>
        </is>
      </c>
      <c r="B236" s="39" t="n">
        <v>38974</v>
      </c>
      <c r="C236" s="4" t="n">
        <v>38961</v>
      </c>
      <c r="D236" s="5">
        <f>YEAR(C236)</f>
        <v/>
      </c>
      <c r="E236" s="5">
        <f>MONTH(C236)</f>
        <v/>
      </c>
      <c r="F236" s="38" t="inlineStr">
        <is>
          <t>NFV  :TENDA ATACADO LTDA</t>
        </is>
      </c>
      <c r="G236" s="38" t="inlineStr">
        <is>
          <t>MARIO FRUGIS (01.04.01)</t>
        </is>
      </c>
      <c r="H236" s="38" t="inlineStr">
        <is>
          <t>NFV</t>
        </is>
      </c>
      <c r="I236" s="40" t="n">
        <v>58.73</v>
      </c>
      <c r="J236" s="40" t="n">
        <v>0</v>
      </c>
      <c r="K236" s="6">
        <f>I236-J236</f>
        <v/>
      </c>
      <c r="L236" s="6">
        <f>IF(H236="DISTRATO",0,I236)</f>
        <v/>
      </c>
    </row>
    <row r="237">
      <c r="A237" s="38" t="inlineStr">
        <is>
          <t>Conta corrente MFRUGIS06.XLS</t>
        </is>
      </c>
      <c r="B237" s="39" t="n">
        <v>38974</v>
      </c>
      <c r="C237" s="4" t="n">
        <v>38961</v>
      </c>
      <c r="D237" s="5">
        <f>YEAR(C237)</f>
        <v/>
      </c>
      <c r="E237" s="5">
        <f>MONTH(C237)</f>
        <v/>
      </c>
      <c r="F237" s="38" t="inlineStr">
        <is>
          <t>NFV  :TENDA ATACADO LTDA</t>
        </is>
      </c>
      <c r="G237" s="38" t="inlineStr">
        <is>
          <t>MARIO FRUGIS (01.04.01)</t>
        </is>
      </c>
      <c r="H237" s="38" t="inlineStr">
        <is>
          <t>NFV</t>
        </is>
      </c>
      <c r="I237" s="40" t="n">
        <v>101.39</v>
      </c>
      <c r="J237" s="40" t="n">
        <v>0</v>
      </c>
      <c r="K237" s="6">
        <f>I237-J237</f>
        <v/>
      </c>
      <c r="L237" s="6">
        <f>IF(H237="DISTRATO",0,I237)</f>
        <v/>
      </c>
    </row>
    <row r="238">
      <c r="A238" s="38" t="inlineStr">
        <is>
          <t>Conta corrente MFRUGIS06.XLS</t>
        </is>
      </c>
      <c r="B238" s="39" t="n">
        <v>38974</v>
      </c>
      <c r="C238" s="4" t="n">
        <v>38961</v>
      </c>
      <c r="D238" s="5">
        <f>YEAR(C238)</f>
        <v/>
      </c>
      <c r="E238" s="5">
        <f>MONTH(C238)</f>
        <v/>
      </c>
      <c r="F238" s="38" t="inlineStr">
        <is>
          <t>NFV  :TENDA ATACADO LTDA</t>
        </is>
      </c>
      <c r="G238" s="38" t="inlineStr">
        <is>
          <t>MARIO FRUGIS (01.04.01)</t>
        </is>
      </c>
      <c r="H238" s="38" t="inlineStr">
        <is>
          <t>NFV</t>
        </is>
      </c>
      <c r="I238" s="40" t="n">
        <v>101.39</v>
      </c>
      <c r="J238" s="40" t="n">
        <v>0</v>
      </c>
      <c r="K238" s="6">
        <f>I238-J238</f>
        <v/>
      </c>
      <c r="L238" s="6">
        <f>IF(H238="DISTRATO",0,I238)</f>
        <v/>
      </c>
    </row>
    <row r="239">
      <c r="A239" s="38" t="inlineStr">
        <is>
          <t>Conta corrente MFRUGIS06.XLS</t>
        </is>
      </c>
      <c r="B239" s="39" t="n">
        <v>38974</v>
      </c>
      <c r="C239" s="4" t="n">
        <v>38961</v>
      </c>
      <c r="D239" s="5">
        <f>YEAR(C239)</f>
        <v/>
      </c>
      <c r="E239" s="5">
        <f>MONTH(C239)</f>
        <v/>
      </c>
      <c r="F239" s="38" t="inlineStr">
        <is>
          <t>NFV  :TENDA ATACADO LTDA</t>
        </is>
      </c>
      <c r="G239" s="38" t="inlineStr">
        <is>
          <t>MARIO FRUGIS (01.04.01)</t>
        </is>
      </c>
      <c r="H239" s="38" t="inlineStr">
        <is>
          <t>NFV</t>
        </is>
      </c>
      <c r="I239" s="40" t="n">
        <v>36.69</v>
      </c>
      <c r="J239" s="40" t="n">
        <v>0</v>
      </c>
      <c r="K239" s="6">
        <f>I239-J239</f>
        <v/>
      </c>
      <c r="L239" s="6">
        <f>IF(H239="DISTRATO",0,I239)</f>
        <v/>
      </c>
    </row>
    <row r="240">
      <c r="A240" s="38" t="inlineStr">
        <is>
          <t>Conta corrente MFRUGIS06.XLS</t>
        </is>
      </c>
      <c r="B240" s="39" t="n">
        <v>38978</v>
      </c>
      <c r="C240" s="4" t="n">
        <v>38961</v>
      </c>
      <c r="D240" s="5">
        <f>YEAR(C240)</f>
        <v/>
      </c>
      <c r="E240" s="5">
        <f>MONTH(C240)</f>
        <v/>
      </c>
      <c r="F240" s="38" t="inlineStr">
        <is>
          <t>DEV  :TENDA ATACADO LTDA</t>
        </is>
      </c>
      <c r="G240" s="38" t="inlineStr">
        <is>
          <t>MARIO FRUGIS (01.04.01)</t>
        </is>
      </c>
      <c r="H240" s="38" t="inlineStr">
        <is>
          <t>DEVOLUCAO</t>
        </is>
      </c>
      <c r="I240" s="40" t="n">
        <v>-4.94</v>
      </c>
      <c r="J240" s="40" t="n">
        <v>0</v>
      </c>
      <c r="K240" s="6">
        <f>I240-J240</f>
        <v/>
      </c>
      <c r="L240" s="6">
        <f>IF(H240="DISTRATO",0,I240)</f>
        <v/>
      </c>
    </row>
    <row r="241">
      <c r="A241" s="38" t="inlineStr">
        <is>
          <t>Conta corrente MFRUGIS06.XLS</t>
        </is>
      </c>
      <c r="B241" s="39" t="n">
        <v>38987</v>
      </c>
      <c r="C241" s="4" t="n">
        <v>38961</v>
      </c>
      <c r="D241" s="5">
        <f>YEAR(C241)</f>
        <v/>
      </c>
      <c r="E241" s="5">
        <f>MONTH(C241)</f>
        <v/>
      </c>
      <c r="F241" s="38" t="inlineStr">
        <is>
          <t>DEV  :TENDA ATACADO LTDA</t>
        </is>
      </c>
      <c r="G241" s="38" t="inlineStr">
        <is>
          <t>MARIO FRUGIS (01.04.01)</t>
        </is>
      </c>
      <c r="H241" s="38" t="inlineStr">
        <is>
          <t>DEVOLUCAO</t>
        </is>
      </c>
      <c r="I241" s="40" t="n">
        <v>-0.27</v>
      </c>
      <c r="J241" s="40" t="n">
        <v>0</v>
      </c>
      <c r="K241" s="6">
        <f>I241-J241</f>
        <v/>
      </c>
      <c r="L241" s="6">
        <f>IF(H241="DISTRATO",0,I241)</f>
        <v/>
      </c>
    </row>
    <row r="242">
      <c r="A242" s="38" t="inlineStr">
        <is>
          <t>Conta corrente MFRUGIS06.XLS</t>
        </is>
      </c>
      <c r="B242" s="39" t="n">
        <v>38988</v>
      </c>
      <c r="C242" s="4" t="n">
        <v>38961</v>
      </c>
      <c r="D242" s="5">
        <f>YEAR(C242)</f>
        <v/>
      </c>
      <c r="E242" s="5">
        <f>MONTH(C242)</f>
        <v/>
      </c>
      <c r="F242" s="38" t="inlineStr">
        <is>
          <t>NFV  :TENDA ATACADO LTDA</t>
        </is>
      </c>
      <c r="G242" s="38" t="inlineStr">
        <is>
          <t>MARIO FRUGIS (01.04.01)</t>
        </is>
      </c>
      <c r="H242" s="38" t="inlineStr">
        <is>
          <t>NFV</t>
        </is>
      </c>
      <c r="I242" s="40" t="n">
        <v>56.03</v>
      </c>
      <c r="J242" s="40" t="n">
        <v>0</v>
      </c>
      <c r="K242" s="6">
        <f>I242-J242</f>
        <v/>
      </c>
      <c r="L242" s="6">
        <f>IF(H242="DISTRATO",0,I242)</f>
        <v/>
      </c>
    </row>
    <row r="243">
      <c r="A243" s="38" t="inlineStr">
        <is>
          <t>Conta corrente MFRUGIS06.XLS</t>
        </is>
      </c>
      <c r="B243" s="39" t="n">
        <v>38988</v>
      </c>
      <c r="C243" s="4" t="n">
        <v>38961</v>
      </c>
      <c r="D243" s="5">
        <f>YEAR(C243)</f>
        <v/>
      </c>
      <c r="E243" s="5">
        <f>MONTH(C243)</f>
        <v/>
      </c>
      <c r="F243" s="38" t="inlineStr">
        <is>
          <t>NFV  :TENDA ATACADO LTDA</t>
        </is>
      </c>
      <c r="G243" s="38" t="inlineStr">
        <is>
          <t>MARIO FRUGIS (01.04.01)</t>
        </is>
      </c>
      <c r="H243" s="38" t="inlineStr">
        <is>
          <t>NFV</t>
        </is>
      </c>
      <c r="I243" s="40" t="n">
        <v>22.17</v>
      </c>
      <c r="J243" s="40" t="n">
        <v>0</v>
      </c>
      <c r="K243" s="6">
        <f>I243-J243</f>
        <v/>
      </c>
      <c r="L243" s="6">
        <f>IF(H243="DISTRATO",0,I243)</f>
        <v/>
      </c>
    </row>
    <row r="244">
      <c r="A244" s="38" t="inlineStr">
        <is>
          <t>Conta corrente MFRUGIS06.XLS</t>
        </is>
      </c>
      <c r="B244" s="39" t="n">
        <v>38988</v>
      </c>
      <c r="C244" s="4" t="n">
        <v>38961</v>
      </c>
      <c r="D244" s="5">
        <f>YEAR(C244)</f>
        <v/>
      </c>
      <c r="E244" s="5">
        <f>MONTH(C244)</f>
        <v/>
      </c>
      <c r="F244" s="38" t="inlineStr">
        <is>
          <t>NFV  :TENDA ATACADO LTDA</t>
        </is>
      </c>
      <c r="G244" s="38" t="inlineStr">
        <is>
          <t>MARIO FRUGIS (01.04.01)</t>
        </is>
      </c>
      <c r="H244" s="38" t="inlineStr">
        <is>
          <t>NFV</t>
        </is>
      </c>
      <c r="I244" s="40" t="n">
        <v>44.3</v>
      </c>
      <c r="J244" s="40" t="n">
        <v>0</v>
      </c>
      <c r="K244" s="6">
        <f>I244-J244</f>
        <v/>
      </c>
      <c r="L244" s="6">
        <f>IF(H244="DISTRATO",0,I244)</f>
        <v/>
      </c>
    </row>
    <row r="245">
      <c r="A245" s="38" t="inlineStr">
        <is>
          <t>Conta corrente MFRUGIS06.XLS</t>
        </is>
      </c>
      <c r="B245" s="39" t="n">
        <v>38988</v>
      </c>
      <c r="C245" s="4" t="n">
        <v>38961</v>
      </c>
      <c r="D245" s="5">
        <f>YEAR(C245)</f>
        <v/>
      </c>
      <c r="E245" s="5">
        <f>MONTH(C245)</f>
        <v/>
      </c>
      <c r="F245" s="38" t="inlineStr">
        <is>
          <t>NFV  :TENDA ATACADO LTDA</t>
        </is>
      </c>
      <c r="G245" s="38" t="inlineStr">
        <is>
          <t>MARIO FRUGIS (01.04.01)</t>
        </is>
      </c>
      <c r="H245" s="38" t="inlineStr">
        <is>
          <t>NFV</t>
        </is>
      </c>
      <c r="I245" s="40" t="n">
        <v>5.17</v>
      </c>
      <c r="J245" s="40" t="n">
        <v>0</v>
      </c>
      <c r="K245" s="6">
        <f>I245-J245</f>
        <v/>
      </c>
      <c r="L245" s="6">
        <f>IF(H245="DISTRATO",0,I245)</f>
        <v/>
      </c>
    </row>
    <row r="246">
      <c r="A246" s="38" t="inlineStr">
        <is>
          <t>Conta corrente MFRUGIS06.XLS</t>
        </is>
      </c>
      <c r="B246" s="39" t="n">
        <v>38988</v>
      </c>
      <c r="C246" s="4" t="n">
        <v>38961</v>
      </c>
      <c r="D246" s="5">
        <f>YEAR(C246)</f>
        <v/>
      </c>
      <c r="E246" s="5">
        <f>MONTH(C246)</f>
        <v/>
      </c>
      <c r="F246" s="38" t="inlineStr">
        <is>
          <t>NFV  :TENDA ATACADO LTDA</t>
        </is>
      </c>
      <c r="G246" s="38" t="inlineStr">
        <is>
          <t>MARIO FRUGIS (01.04.01)</t>
        </is>
      </c>
      <c r="H246" s="38" t="inlineStr">
        <is>
          <t>NFV</t>
        </is>
      </c>
      <c r="I246" s="40" t="n">
        <v>88.72</v>
      </c>
      <c r="J246" s="40" t="n">
        <v>0</v>
      </c>
      <c r="K246" s="6">
        <f>I246-J246</f>
        <v/>
      </c>
      <c r="L246" s="6">
        <f>IF(H246="DISTRATO",0,I246)</f>
        <v/>
      </c>
    </row>
    <row r="247">
      <c r="A247" s="38" t="inlineStr">
        <is>
          <t>Conta corrente MFRUGIS06.XLS</t>
        </is>
      </c>
      <c r="B247" s="39" t="n">
        <v>38988</v>
      </c>
      <c r="C247" s="4" t="n">
        <v>38961</v>
      </c>
      <c r="D247" s="5">
        <f>YEAR(C247)</f>
        <v/>
      </c>
      <c r="E247" s="5">
        <f>MONTH(C247)</f>
        <v/>
      </c>
      <c r="F247" s="38" t="inlineStr">
        <is>
          <t>NFV  :TENDA ATACADO LTDA</t>
        </is>
      </c>
      <c r="G247" s="38" t="inlineStr">
        <is>
          <t>MARIO FRUGIS (01.04.01)</t>
        </is>
      </c>
      <c r="H247" s="38" t="inlineStr">
        <is>
          <t>NFV</t>
        </is>
      </c>
      <c r="I247" s="40" t="n">
        <v>70.34</v>
      </c>
      <c r="J247" s="40" t="n">
        <v>0</v>
      </c>
      <c r="K247" s="6">
        <f>I247-J247</f>
        <v/>
      </c>
      <c r="L247" s="6">
        <f>IF(H247="DISTRATO",0,I247)</f>
        <v/>
      </c>
    </row>
    <row r="248">
      <c r="A248" s="38" t="inlineStr">
        <is>
          <t>Conta corrente MFRUGIS06.XLS</t>
        </is>
      </c>
      <c r="B248" s="39" t="n">
        <v>38988</v>
      </c>
      <c r="C248" s="4" t="n">
        <v>38961</v>
      </c>
      <c r="D248" s="5">
        <f>YEAR(C248)</f>
        <v/>
      </c>
      <c r="E248" s="5">
        <f>MONTH(C248)</f>
        <v/>
      </c>
      <c r="F248" s="38" t="inlineStr">
        <is>
          <t>NFV  :TENDA ATACADO LTDA</t>
        </is>
      </c>
      <c r="G248" s="38" t="inlineStr">
        <is>
          <t>MARIO FRUGIS (01.04.01)</t>
        </is>
      </c>
      <c r="H248" s="38" t="inlineStr">
        <is>
          <t>NFV</t>
        </is>
      </c>
      <c r="I248" s="40" t="n">
        <v>68.70999999999999</v>
      </c>
      <c r="J248" s="40" t="n">
        <v>0</v>
      </c>
      <c r="K248" s="6">
        <f>I248-J248</f>
        <v/>
      </c>
      <c r="L248" s="6">
        <f>IF(H248="DISTRATO",0,I248)</f>
        <v/>
      </c>
    </row>
    <row r="249">
      <c r="A249" s="38" t="inlineStr">
        <is>
          <t>Conta corrente MFRUGIS06.XLS</t>
        </is>
      </c>
      <c r="B249" s="39" t="n">
        <v>38988</v>
      </c>
      <c r="C249" s="4" t="n">
        <v>38961</v>
      </c>
      <c r="D249" s="5">
        <f>YEAR(C249)</f>
        <v/>
      </c>
      <c r="E249" s="5">
        <f>MONTH(C249)</f>
        <v/>
      </c>
      <c r="F249" s="38" t="inlineStr">
        <is>
          <t>NFV  :TENDA ATACADO LTDA</t>
        </is>
      </c>
      <c r="G249" s="38" t="inlineStr">
        <is>
          <t>MARIO FRUGIS (01.04.01)</t>
        </is>
      </c>
      <c r="H249" s="38" t="inlineStr">
        <is>
          <t>NFV</t>
        </is>
      </c>
      <c r="I249" s="40" t="n">
        <v>68.70999999999999</v>
      </c>
      <c r="J249" s="40" t="n">
        <v>0</v>
      </c>
      <c r="K249" s="6">
        <f>I249-J249</f>
        <v/>
      </c>
      <c r="L249" s="6">
        <f>IF(H249="DISTRATO",0,I249)</f>
        <v/>
      </c>
    </row>
    <row r="250">
      <c r="A250" s="38" t="inlineStr">
        <is>
          <t>Conta corrente MFRUGIS06.XLS</t>
        </is>
      </c>
      <c r="B250" s="39" t="n">
        <v>38988</v>
      </c>
      <c r="C250" s="4" t="n">
        <v>38961</v>
      </c>
      <c r="D250" s="5">
        <f>YEAR(C250)</f>
        <v/>
      </c>
      <c r="E250" s="5">
        <f>MONTH(C250)</f>
        <v/>
      </c>
      <c r="F250" s="38" t="inlineStr">
        <is>
          <t>NFV  :TENDA ATACADO LTDA</t>
        </is>
      </c>
      <c r="G250" s="38" t="inlineStr">
        <is>
          <t>MARIO FRUGIS (01.04.01)</t>
        </is>
      </c>
      <c r="H250" s="38" t="inlineStr">
        <is>
          <t>NFV</t>
        </is>
      </c>
      <c r="I250" s="40" t="n">
        <v>23.66</v>
      </c>
      <c r="J250" s="40" t="n">
        <v>0</v>
      </c>
      <c r="K250" s="6">
        <f>I250-J250</f>
        <v/>
      </c>
      <c r="L250" s="6">
        <f>IF(H250="DISTRATO",0,I250)</f>
        <v/>
      </c>
    </row>
    <row r="251">
      <c r="A251" s="38" t="inlineStr">
        <is>
          <t>Conta corrente MFRUGIS06.XLS</t>
        </is>
      </c>
      <c r="B251" s="39" t="n">
        <v>38988</v>
      </c>
      <c r="C251" s="4" t="n">
        <v>38961</v>
      </c>
      <c r="D251" s="5">
        <f>YEAR(C251)</f>
        <v/>
      </c>
      <c r="E251" s="5">
        <f>MONTH(C251)</f>
        <v/>
      </c>
      <c r="F251" s="38" t="inlineStr">
        <is>
          <t>NFV  :TENDA ATACADO LTDA</t>
        </is>
      </c>
      <c r="G251" s="38" t="inlineStr">
        <is>
          <t>MARIO FRUGIS (01.04.01)</t>
        </is>
      </c>
      <c r="H251" s="38" t="inlineStr">
        <is>
          <t>NFV</t>
        </is>
      </c>
      <c r="I251" s="40" t="n">
        <v>44.35</v>
      </c>
      <c r="J251" s="40" t="n">
        <v>0</v>
      </c>
      <c r="K251" s="6">
        <f>I251-J251</f>
        <v/>
      </c>
      <c r="L251" s="6">
        <f>IF(H251="DISTRATO",0,I251)</f>
        <v/>
      </c>
    </row>
    <row r="252">
      <c r="A252" s="38" t="inlineStr">
        <is>
          <t>Conta corrente MFRUGIS06.XLS</t>
        </is>
      </c>
      <c r="B252" s="39" t="n">
        <v>38988</v>
      </c>
      <c r="C252" s="4" t="n">
        <v>38961</v>
      </c>
      <c r="D252" s="5">
        <f>YEAR(C252)</f>
        <v/>
      </c>
      <c r="E252" s="5">
        <f>MONTH(C252)</f>
        <v/>
      </c>
      <c r="F252" s="38" t="inlineStr">
        <is>
          <t>NFV  :TENDA ATACADO LTDA</t>
        </is>
      </c>
      <c r="G252" s="38" t="inlineStr">
        <is>
          <t>MARIO FRUGIS (01.04.01)</t>
        </is>
      </c>
      <c r="H252" s="38" t="inlineStr">
        <is>
          <t>NFV</t>
        </is>
      </c>
      <c r="I252" s="40" t="n">
        <v>12.93</v>
      </c>
      <c r="J252" s="40" t="n">
        <v>0</v>
      </c>
      <c r="K252" s="6">
        <f>I252-J252</f>
        <v/>
      </c>
      <c r="L252" s="6">
        <f>IF(H252="DISTRATO",0,I252)</f>
        <v/>
      </c>
    </row>
    <row r="253">
      <c r="A253" s="38" t="inlineStr">
        <is>
          <t>Conta corrente MFRUGIS06.XLS</t>
        </is>
      </c>
      <c r="B253" s="39" t="n">
        <v>38988</v>
      </c>
      <c r="C253" s="4" t="n">
        <v>38961</v>
      </c>
      <c r="D253" s="5">
        <f>YEAR(C253)</f>
        <v/>
      </c>
      <c r="E253" s="5">
        <f>MONTH(C253)</f>
        <v/>
      </c>
      <c r="F253" s="38" t="inlineStr">
        <is>
          <t>NFV  :TENDA ATACADO LTDA</t>
        </is>
      </c>
      <c r="G253" s="38" t="inlineStr">
        <is>
          <t>MARIO FRUGIS (01.04.01)</t>
        </is>
      </c>
      <c r="H253" s="38" t="inlineStr">
        <is>
          <t>NFV</t>
        </is>
      </c>
      <c r="I253" s="40" t="n">
        <v>12.93</v>
      </c>
      <c r="J253" s="40" t="n">
        <v>0</v>
      </c>
      <c r="K253" s="6">
        <f>I253-J253</f>
        <v/>
      </c>
      <c r="L253" s="6">
        <f>IF(H253="DISTRATO",0,I253)</f>
        <v/>
      </c>
    </row>
    <row r="254">
      <c r="A254" s="38" t="inlineStr">
        <is>
          <t>Conta corrente MFRUGIS06.XLS</t>
        </is>
      </c>
      <c r="B254" s="39" t="n">
        <v>38989</v>
      </c>
      <c r="C254" s="4" t="n">
        <v>38961</v>
      </c>
      <c r="D254" s="5">
        <f>YEAR(C254)</f>
        <v/>
      </c>
      <c r="E254" s="5">
        <f>MONTH(C254)</f>
        <v/>
      </c>
      <c r="F254" s="38" t="inlineStr">
        <is>
          <t>NFV  :TENDA ATACADO LTDA</t>
        </is>
      </c>
      <c r="G254" s="38" t="inlineStr">
        <is>
          <t>MARIO FRUGIS (01.04.01)</t>
        </is>
      </c>
      <c r="H254" s="38" t="inlineStr">
        <is>
          <t>NFV</t>
        </is>
      </c>
      <c r="I254" s="40" t="n">
        <v>50.03</v>
      </c>
      <c r="J254" s="40" t="n">
        <v>0</v>
      </c>
      <c r="K254" s="6">
        <f>I254-J254</f>
        <v/>
      </c>
      <c r="L254" s="6">
        <f>IF(H254="DISTRATO",0,I254)</f>
        <v/>
      </c>
    </row>
    <row r="255">
      <c r="A255" s="38" t="inlineStr">
        <is>
          <t>Conta corrente MFRUGIS06.XLS</t>
        </is>
      </c>
      <c r="B255" s="39" t="n">
        <v>38989</v>
      </c>
      <c r="C255" s="4" t="n">
        <v>38961</v>
      </c>
      <c r="D255" s="5">
        <f>YEAR(C255)</f>
        <v/>
      </c>
      <c r="E255" s="5">
        <f>MONTH(C255)</f>
        <v/>
      </c>
      <c r="F255" s="38" t="inlineStr">
        <is>
          <t>NFV  :TENDA ATACADO LTDA</t>
        </is>
      </c>
      <c r="G255" s="38" t="inlineStr">
        <is>
          <t>MARIO FRUGIS (01.04.01)</t>
        </is>
      </c>
      <c r="H255" s="38" t="inlineStr">
        <is>
          <t>NFV</t>
        </is>
      </c>
      <c r="I255" s="40" t="n">
        <v>30.34</v>
      </c>
      <c r="J255" s="40" t="n">
        <v>0</v>
      </c>
      <c r="K255" s="6">
        <f>I255-J255</f>
        <v/>
      </c>
      <c r="L255" s="6">
        <f>IF(H255="DISTRATO",0,I255)</f>
        <v/>
      </c>
    </row>
    <row r="256">
      <c r="A256" s="38" t="inlineStr">
        <is>
          <t>Conta corrente MFRUGIS06.XLS</t>
        </is>
      </c>
      <c r="B256" s="39" t="n">
        <v>39010</v>
      </c>
      <c r="C256" s="4" t="n">
        <v>38991</v>
      </c>
      <c r="D256" s="5">
        <f>YEAR(C256)</f>
        <v/>
      </c>
      <c r="E256" s="5">
        <f>MONTH(C256)</f>
        <v/>
      </c>
      <c r="F256" s="38" t="inlineStr">
        <is>
          <t>NFV  :TENDA ATACADO LTDA</t>
        </is>
      </c>
      <c r="G256" s="38" t="inlineStr">
        <is>
          <t>MARIO FRUGIS (01.04.01)</t>
        </is>
      </c>
      <c r="H256" s="38" t="inlineStr">
        <is>
          <t>NFV</t>
        </is>
      </c>
      <c r="I256" s="40" t="n">
        <v>48.03</v>
      </c>
      <c r="J256" s="40" t="n">
        <v>0</v>
      </c>
      <c r="K256" s="6">
        <f>I256-J256</f>
        <v/>
      </c>
      <c r="L256" s="6">
        <f>IF(H256="DISTRATO",0,I256)</f>
        <v/>
      </c>
    </row>
    <row r="257">
      <c r="A257" s="38" t="inlineStr">
        <is>
          <t>Conta corrente MFRUGIS06.XLS</t>
        </is>
      </c>
      <c r="B257" s="39" t="n">
        <v>39010</v>
      </c>
      <c r="C257" s="4" t="n">
        <v>38991</v>
      </c>
      <c r="D257" s="5">
        <f>YEAR(C257)</f>
        <v/>
      </c>
      <c r="E257" s="5">
        <f>MONTH(C257)</f>
        <v/>
      </c>
      <c r="F257" s="38" t="inlineStr">
        <is>
          <t>NFV  :TENDA ATACADO LTDA</t>
        </is>
      </c>
      <c r="G257" s="38" t="inlineStr">
        <is>
          <t>MARIO FRUGIS (01.04.01)</t>
        </is>
      </c>
      <c r="H257" s="38" t="inlineStr">
        <is>
          <t>NFV</t>
        </is>
      </c>
      <c r="I257" s="40" t="n">
        <v>29.78</v>
      </c>
      <c r="J257" s="40" t="n">
        <v>0</v>
      </c>
      <c r="K257" s="6">
        <f>I257-J257</f>
        <v/>
      </c>
      <c r="L257" s="6">
        <f>IF(H257="DISTRATO",0,I257)</f>
        <v/>
      </c>
    </row>
    <row r="258">
      <c r="A258" s="38" t="inlineStr">
        <is>
          <t>Conta corrente MFRUGIS06.XLS</t>
        </is>
      </c>
      <c r="B258" s="39" t="n">
        <v>39010</v>
      </c>
      <c r="C258" s="4" t="n">
        <v>38991</v>
      </c>
      <c r="D258" s="5">
        <f>YEAR(C258)</f>
        <v/>
      </c>
      <c r="E258" s="5">
        <f>MONTH(C258)</f>
        <v/>
      </c>
      <c r="F258" s="38" t="inlineStr">
        <is>
          <t>NFV  :TENDA ATACADO LTDA</t>
        </is>
      </c>
      <c r="G258" s="38" t="inlineStr">
        <is>
          <t>MARIO FRUGIS (01.04.01)</t>
        </is>
      </c>
      <c r="H258" s="38" t="inlineStr">
        <is>
          <t>NFV</t>
        </is>
      </c>
      <c r="I258" s="40" t="n">
        <v>91.37</v>
      </c>
      <c r="J258" s="40" t="n">
        <v>0</v>
      </c>
      <c r="K258" s="6">
        <f>I258-J258</f>
        <v/>
      </c>
      <c r="L258" s="6">
        <f>IF(H258="DISTRATO",0,I258)</f>
        <v/>
      </c>
    </row>
    <row r="259">
      <c r="A259" s="38" t="inlineStr">
        <is>
          <t>Conta corrente MFRUGIS06.XLS</t>
        </is>
      </c>
      <c r="B259" s="39" t="n">
        <v>39010</v>
      </c>
      <c r="C259" s="4" t="n">
        <v>38991</v>
      </c>
      <c r="D259" s="5">
        <f>YEAR(C259)</f>
        <v/>
      </c>
      <c r="E259" s="5">
        <f>MONTH(C259)</f>
        <v/>
      </c>
      <c r="F259" s="38" t="inlineStr">
        <is>
          <t>NFV  :TENDA ATACADO LTDA</t>
        </is>
      </c>
      <c r="G259" s="38" t="inlineStr">
        <is>
          <t>MARIO FRUGIS (01.04.01)</t>
        </is>
      </c>
      <c r="H259" s="38" t="inlineStr">
        <is>
          <t>NFV</t>
        </is>
      </c>
      <c r="I259" s="40" t="n">
        <v>18.06</v>
      </c>
      <c r="J259" s="40" t="n">
        <v>0</v>
      </c>
      <c r="K259" s="6">
        <f>I259-J259</f>
        <v/>
      </c>
      <c r="L259" s="6">
        <f>IF(H259="DISTRATO",0,I259)</f>
        <v/>
      </c>
    </row>
    <row r="260">
      <c r="A260" s="38" t="inlineStr">
        <is>
          <t>Conta corrente MFRUGIS06.XLS</t>
        </is>
      </c>
      <c r="B260" s="39" t="n">
        <v>39010</v>
      </c>
      <c r="C260" s="4" t="n">
        <v>38991</v>
      </c>
      <c r="D260" s="5">
        <f>YEAR(C260)</f>
        <v/>
      </c>
      <c r="E260" s="5">
        <f>MONTH(C260)</f>
        <v/>
      </c>
      <c r="F260" s="38" t="inlineStr">
        <is>
          <t>NFV  :TENDA ATACADO LTDA</t>
        </is>
      </c>
      <c r="G260" s="38" t="inlineStr">
        <is>
          <t>MARIO FRUGIS (01.04.01)</t>
        </is>
      </c>
      <c r="H260" s="38" t="inlineStr">
        <is>
          <t>NFV</t>
        </is>
      </c>
      <c r="I260" s="40" t="n">
        <v>93.55</v>
      </c>
      <c r="J260" s="40" t="n">
        <v>0</v>
      </c>
      <c r="K260" s="6">
        <f>I260-J260</f>
        <v/>
      </c>
      <c r="L260" s="6">
        <f>IF(H260="DISTRATO",0,I260)</f>
        <v/>
      </c>
    </row>
    <row r="261">
      <c r="A261" s="38" t="inlineStr">
        <is>
          <t>Conta corrente MFRUGIS06.XLS</t>
        </is>
      </c>
      <c r="B261" s="39" t="n">
        <v>39010</v>
      </c>
      <c r="C261" s="4" t="n">
        <v>38991</v>
      </c>
      <c r="D261" s="5">
        <f>YEAR(C261)</f>
        <v/>
      </c>
      <c r="E261" s="5">
        <f>MONTH(C261)</f>
        <v/>
      </c>
      <c r="F261" s="38" t="inlineStr">
        <is>
          <t>NFV  :TENDA ATACADO LTDA</t>
        </is>
      </c>
      <c r="G261" s="38" t="inlineStr">
        <is>
          <t>MARIO FRUGIS (01.04.01)</t>
        </is>
      </c>
      <c r="H261" s="38" t="inlineStr">
        <is>
          <t>NFV</t>
        </is>
      </c>
      <c r="I261" s="40" t="n">
        <v>13.17</v>
      </c>
      <c r="J261" s="40" t="n">
        <v>0</v>
      </c>
      <c r="K261" s="6">
        <f>I261-J261</f>
        <v/>
      </c>
      <c r="L261" s="6">
        <f>IF(H261="DISTRATO",0,I261)</f>
        <v/>
      </c>
    </row>
    <row r="262">
      <c r="A262" s="38" t="inlineStr">
        <is>
          <t>Conta corrente MFRUGIS06.XLS</t>
        </is>
      </c>
      <c r="B262" s="39" t="n">
        <v>39010</v>
      </c>
      <c r="C262" s="4" t="n">
        <v>38991</v>
      </c>
      <c r="D262" s="5">
        <f>YEAR(C262)</f>
        <v/>
      </c>
      <c r="E262" s="5">
        <f>MONTH(C262)</f>
        <v/>
      </c>
      <c r="F262" s="38" t="inlineStr">
        <is>
          <t>NFV  :TENDA ATACADO LTDA</t>
        </is>
      </c>
      <c r="G262" s="38" t="inlineStr">
        <is>
          <t>MARIO FRUGIS (01.04.01)</t>
        </is>
      </c>
      <c r="H262" s="38" t="inlineStr">
        <is>
          <t>NFV</t>
        </is>
      </c>
      <c r="I262" s="40" t="n">
        <v>23.59</v>
      </c>
      <c r="J262" s="40" t="n">
        <v>0</v>
      </c>
      <c r="K262" s="6">
        <f>I262-J262</f>
        <v/>
      </c>
      <c r="L262" s="6">
        <f>IF(H262="DISTRATO",0,I262)</f>
        <v/>
      </c>
    </row>
    <row r="263">
      <c r="A263" s="38" t="inlineStr">
        <is>
          <t>Conta corrente MFRUGIS06.XLS</t>
        </is>
      </c>
      <c r="B263" s="39" t="n">
        <v>39010</v>
      </c>
      <c r="C263" s="4" t="n">
        <v>38991</v>
      </c>
      <c r="D263" s="5">
        <f>YEAR(C263)</f>
        <v/>
      </c>
      <c r="E263" s="5">
        <f>MONTH(C263)</f>
        <v/>
      </c>
      <c r="F263" s="38" t="inlineStr">
        <is>
          <t>NFV  :TENDA ATACADO LTDA</t>
        </is>
      </c>
      <c r="G263" s="38" t="inlineStr">
        <is>
          <t>MARIO FRUGIS (01.04.01)</t>
        </is>
      </c>
      <c r="H263" s="38" t="inlineStr">
        <is>
          <t>NFV</t>
        </is>
      </c>
      <c r="I263" s="40" t="n">
        <v>75.48</v>
      </c>
      <c r="J263" s="40" t="n">
        <v>0</v>
      </c>
      <c r="K263" s="6">
        <f>I263-J263</f>
        <v/>
      </c>
      <c r="L263" s="6">
        <f>IF(H263="DISTRATO",0,I263)</f>
        <v/>
      </c>
    </row>
    <row r="264">
      <c r="A264" s="38" t="inlineStr">
        <is>
          <t>Conta corrente MFRUGIS06.XLS</t>
        </is>
      </c>
      <c r="B264" s="39" t="n">
        <v>39010</v>
      </c>
      <c r="C264" s="4" t="n">
        <v>38991</v>
      </c>
      <c r="D264" s="5">
        <f>YEAR(C264)</f>
        <v/>
      </c>
      <c r="E264" s="5">
        <f>MONTH(C264)</f>
        <v/>
      </c>
      <c r="F264" s="38" t="inlineStr">
        <is>
          <t>NFV  :TENDA ATACADO LTDA</t>
        </is>
      </c>
      <c r="G264" s="38" t="inlineStr">
        <is>
          <t>MARIO FRUGIS (01.04.01)</t>
        </is>
      </c>
      <c r="H264" s="38" t="inlineStr">
        <is>
          <t>NFV</t>
        </is>
      </c>
      <c r="I264" s="40" t="n">
        <v>34.52</v>
      </c>
      <c r="J264" s="40" t="n">
        <v>0</v>
      </c>
      <c r="K264" s="6">
        <f>I264-J264</f>
        <v/>
      </c>
      <c r="L264" s="6">
        <f>IF(H264="DISTRATO",0,I264)</f>
        <v/>
      </c>
    </row>
    <row r="265">
      <c r="A265" s="38" t="inlineStr">
        <is>
          <t>Conta corrente MFRUGIS06.XLS</t>
        </is>
      </c>
      <c r="B265" s="39" t="n">
        <v>39010</v>
      </c>
      <c r="C265" s="4" t="n">
        <v>38991</v>
      </c>
      <c r="D265" s="5">
        <f>YEAR(C265)</f>
        <v/>
      </c>
      <c r="E265" s="5">
        <f>MONTH(C265)</f>
        <v/>
      </c>
      <c r="F265" s="38" t="inlineStr">
        <is>
          <t>NFV  :TENDA ATACADO LTDA</t>
        </is>
      </c>
      <c r="G265" s="38" t="inlineStr">
        <is>
          <t>MARIO FRUGIS (01.04.01)</t>
        </is>
      </c>
      <c r="H265" s="38" t="inlineStr">
        <is>
          <t>NFV</t>
        </is>
      </c>
      <c r="I265" s="40" t="n">
        <v>20.99</v>
      </c>
      <c r="J265" s="40" t="n">
        <v>0</v>
      </c>
      <c r="K265" s="6">
        <f>I265-J265</f>
        <v/>
      </c>
      <c r="L265" s="6">
        <f>IF(H265="DISTRATO",0,I265)</f>
        <v/>
      </c>
    </row>
    <row r="266">
      <c r="A266" s="38" t="inlineStr">
        <is>
          <t>Conta corrente MFRUGIS06.XLS</t>
        </is>
      </c>
      <c r="B266" s="39" t="n">
        <v>39010</v>
      </c>
      <c r="C266" s="4" t="n">
        <v>38991</v>
      </c>
      <c r="D266" s="5">
        <f>YEAR(C266)</f>
        <v/>
      </c>
      <c r="E266" s="5">
        <f>MONTH(C266)</f>
        <v/>
      </c>
      <c r="F266" s="38" t="inlineStr">
        <is>
          <t>NFV  :TENDA ATACADO LTDA</t>
        </is>
      </c>
      <c r="G266" s="38" t="inlineStr">
        <is>
          <t>MARIO FRUGIS (01.04.01)</t>
        </is>
      </c>
      <c r="H266" s="38" t="inlineStr">
        <is>
          <t>NFV</t>
        </is>
      </c>
      <c r="I266" s="40" t="n">
        <v>96.95999999999999</v>
      </c>
      <c r="J266" s="40" t="n">
        <v>0</v>
      </c>
      <c r="K266" s="6">
        <f>I266-J266</f>
        <v/>
      </c>
      <c r="L266" s="6">
        <f>IF(H266="DISTRATO",0,I266)</f>
        <v/>
      </c>
    </row>
    <row r="267">
      <c r="A267" s="38" t="inlineStr">
        <is>
          <t>Conta corrente MFRUGIS06.XLS</t>
        </is>
      </c>
      <c r="B267" s="39" t="n">
        <v>39010</v>
      </c>
      <c r="C267" s="4" t="n">
        <v>38991</v>
      </c>
      <c r="D267" s="5">
        <f>YEAR(C267)</f>
        <v/>
      </c>
      <c r="E267" s="5">
        <f>MONTH(C267)</f>
        <v/>
      </c>
      <c r="F267" s="38" t="inlineStr">
        <is>
          <t>NFV  :TENDA ATACADO LTDA</t>
        </is>
      </c>
      <c r="G267" s="38" t="inlineStr">
        <is>
          <t>MARIO FRUGIS (01.04.01)</t>
        </is>
      </c>
      <c r="H267" s="38" t="inlineStr">
        <is>
          <t>NFV</t>
        </is>
      </c>
      <c r="I267" s="40" t="n">
        <v>33.88</v>
      </c>
      <c r="J267" s="40" t="n">
        <v>0</v>
      </c>
      <c r="K267" s="6">
        <f>I267-J267</f>
        <v/>
      </c>
      <c r="L267" s="6">
        <f>IF(H267="DISTRATO",0,I267)</f>
        <v/>
      </c>
    </row>
    <row r="268">
      <c r="A268" s="38" t="inlineStr">
        <is>
          <t>Conta corrente MFRUGIS06.XLS</t>
        </is>
      </c>
      <c r="B268" s="39" t="n">
        <v>39010</v>
      </c>
      <c r="C268" s="4" t="n">
        <v>38991</v>
      </c>
      <c r="D268" s="5">
        <f>YEAR(C268)</f>
        <v/>
      </c>
      <c r="E268" s="5">
        <f>MONTH(C268)</f>
        <v/>
      </c>
      <c r="F268" s="38" t="inlineStr">
        <is>
          <t>NFV  :TENDA ATACADO LTDA</t>
        </is>
      </c>
      <c r="G268" s="38" t="inlineStr">
        <is>
          <t>MARIO FRUGIS (01.04.01)</t>
        </is>
      </c>
      <c r="H268" s="38" t="inlineStr">
        <is>
          <t>NFV</t>
        </is>
      </c>
      <c r="I268" s="40" t="n">
        <v>14.11</v>
      </c>
      <c r="J268" s="40" t="n">
        <v>0</v>
      </c>
      <c r="K268" s="6">
        <f>I268-J268</f>
        <v/>
      </c>
      <c r="L268" s="6">
        <f>IF(H268="DISTRATO",0,I268)</f>
        <v/>
      </c>
    </row>
    <row r="269">
      <c r="A269" s="38" t="inlineStr">
        <is>
          <t>Conta corrente MFRUGIS06.XLS</t>
        </is>
      </c>
      <c r="B269" s="39" t="n">
        <v>39013</v>
      </c>
      <c r="C269" s="4" t="n">
        <v>38991</v>
      </c>
      <c r="D269" s="5">
        <f>YEAR(C269)</f>
        <v/>
      </c>
      <c r="E269" s="5">
        <f>MONTH(C269)</f>
        <v/>
      </c>
      <c r="F269" s="38" t="inlineStr">
        <is>
          <t>NFV  :TENDA ATACADO LTDA</t>
        </is>
      </c>
      <c r="G269" s="38" t="inlineStr">
        <is>
          <t>MARIO FRUGIS (01.04.01)</t>
        </is>
      </c>
      <c r="H269" s="38" t="inlineStr">
        <is>
          <t>NFV</t>
        </is>
      </c>
      <c r="I269" s="40" t="n">
        <v>53.97</v>
      </c>
      <c r="J269" s="40" t="n">
        <v>0</v>
      </c>
      <c r="K269" s="6">
        <f>I269-J269</f>
        <v/>
      </c>
      <c r="L269" s="6">
        <f>IF(H269="DISTRATO",0,I269)</f>
        <v/>
      </c>
    </row>
    <row r="270">
      <c r="A270" s="38" t="inlineStr">
        <is>
          <t>Conta corrente MFRUGIS06.XLS</t>
        </is>
      </c>
      <c r="B270" s="39" t="n">
        <v>39014</v>
      </c>
      <c r="C270" s="4" t="n">
        <v>38991</v>
      </c>
      <c r="D270" s="5">
        <f>YEAR(C270)</f>
        <v/>
      </c>
      <c r="E270" s="5">
        <f>MONTH(C270)</f>
        <v/>
      </c>
      <c r="F270" s="38" t="inlineStr">
        <is>
          <t>NFV  :TENDA ATACADO LTDA</t>
        </is>
      </c>
      <c r="G270" s="38" t="inlineStr">
        <is>
          <t>MARIO FRUGIS (01.04.01)</t>
        </is>
      </c>
      <c r="H270" s="38" t="inlineStr">
        <is>
          <t>NFV</t>
        </is>
      </c>
      <c r="I270" s="40" t="n">
        <v>34.52</v>
      </c>
      <c r="J270" s="40" t="n">
        <v>0</v>
      </c>
      <c r="K270" s="6">
        <f>I270-J270</f>
        <v/>
      </c>
      <c r="L270" s="6">
        <f>IF(H270="DISTRATO",0,I270)</f>
        <v/>
      </c>
    </row>
    <row r="271">
      <c r="A271" s="38" t="inlineStr">
        <is>
          <t>Conta corrente MFRUGIS06.XLS</t>
        </is>
      </c>
      <c r="B271" s="39" t="n">
        <v>39015</v>
      </c>
      <c r="C271" s="4" t="n">
        <v>38991</v>
      </c>
      <c r="D271" s="5">
        <f>YEAR(C271)</f>
        <v/>
      </c>
      <c r="E271" s="5">
        <f>MONTH(C271)</f>
        <v/>
      </c>
      <c r="F271" s="38" t="inlineStr">
        <is>
          <t>NFV  :TENDA ATACADO LTDA</t>
        </is>
      </c>
      <c r="G271" s="38" t="inlineStr">
        <is>
          <t>MARIO FRUGIS (01.04.01)</t>
        </is>
      </c>
      <c r="H271" s="38" t="inlineStr">
        <is>
          <t>NFV</t>
        </is>
      </c>
      <c r="I271" s="40" t="n">
        <v>53.58</v>
      </c>
      <c r="J271" s="40" t="n">
        <v>0</v>
      </c>
      <c r="K271" s="6">
        <f>I271-J271</f>
        <v/>
      </c>
      <c r="L271" s="6">
        <f>IF(H271="DISTRATO",0,I271)</f>
        <v/>
      </c>
    </row>
    <row r="272">
      <c r="A272" s="38" t="inlineStr">
        <is>
          <t>Conta corrente MFRUGIS06.XLS</t>
        </is>
      </c>
      <c r="B272" s="39" t="n">
        <v>39016</v>
      </c>
      <c r="C272" s="4" t="n">
        <v>38991</v>
      </c>
      <c r="D272" s="5">
        <f>YEAR(C272)</f>
        <v/>
      </c>
      <c r="E272" s="5">
        <f>MONTH(C272)</f>
        <v/>
      </c>
      <c r="F272" s="38" t="inlineStr">
        <is>
          <t>NFV  :TENDA ATACADO LTDA</t>
        </is>
      </c>
      <c r="G272" s="38" t="inlineStr">
        <is>
          <t>MARIO FRUGIS (01.04.01)</t>
        </is>
      </c>
      <c r="H272" s="38" t="inlineStr">
        <is>
          <t>NFV</t>
        </is>
      </c>
      <c r="I272" s="40" t="n">
        <v>7.71</v>
      </c>
      <c r="J272" s="40" t="n">
        <v>0</v>
      </c>
      <c r="K272" s="6">
        <f>I272-J272</f>
        <v/>
      </c>
      <c r="L272" s="6">
        <f>IF(H272="DISTRATO",0,I272)</f>
        <v/>
      </c>
    </row>
    <row r="273">
      <c r="A273" s="38" t="inlineStr">
        <is>
          <t>Conta corrente MFRUGIS06.XLS</t>
        </is>
      </c>
      <c r="B273" s="39" t="n">
        <v>39016</v>
      </c>
      <c r="C273" s="4" t="n">
        <v>38991</v>
      </c>
      <c r="D273" s="5">
        <f>YEAR(C273)</f>
        <v/>
      </c>
      <c r="E273" s="5">
        <f>MONTH(C273)</f>
        <v/>
      </c>
      <c r="F273" s="38" t="inlineStr">
        <is>
          <t>NFV  :TENDA ATACADO LTDA</t>
        </is>
      </c>
      <c r="G273" s="38" t="inlineStr">
        <is>
          <t>MARIO FRUGIS (01.04.01)</t>
        </is>
      </c>
      <c r="H273" s="38" t="inlineStr">
        <is>
          <t>NFV</t>
        </is>
      </c>
      <c r="I273" s="40" t="n">
        <v>7.71</v>
      </c>
      <c r="J273" s="40" t="n">
        <v>0</v>
      </c>
      <c r="K273" s="6">
        <f>I273-J273</f>
        <v/>
      </c>
      <c r="L273" s="6">
        <f>IF(H273="DISTRATO",0,I273)</f>
        <v/>
      </c>
    </row>
    <row r="274">
      <c r="A274" s="38" t="inlineStr">
        <is>
          <t>Conta corrente MFRUGIS06.XLS</t>
        </is>
      </c>
      <c r="B274" s="39" t="n">
        <v>39016</v>
      </c>
      <c r="C274" s="4" t="n">
        <v>38991</v>
      </c>
      <c r="D274" s="5">
        <f>YEAR(C274)</f>
        <v/>
      </c>
      <c r="E274" s="5">
        <f>MONTH(C274)</f>
        <v/>
      </c>
      <c r="F274" s="38" t="inlineStr">
        <is>
          <t>NFV  :TENDA ATACADO LTDA</t>
        </is>
      </c>
      <c r="G274" s="38" t="inlineStr">
        <is>
          <t>MARIO FRUGIS (01.04.01)</t>
        </is>
      </c>
      <c r="H274" s="38" t="inlineStr">
        <is>
          <t>NFV</t>
        </is>
      </c>
      <c r="I274" s="40" t="n">
        <v>7.71</v>
      </c>
      <c r="J274" s="40" t="n">
        <v>0</v>
      </c>
      <c r="K274" s="6">
        <f>I274-J274</f>
        <v/>
      </c>
      <c r="L274" s="6">
        <f>IF(H274="DISTRATO",0,I274)</f>
        <v/>
      </c>
    </row>
    <row r="275">
      <c r="A275" s="38" t="inlineStr">
        <is>
          <t>Conta corrente MFRUGIS06.XLS</t>
        </is>
      </c>
      <c r="B275" s="39" t="n">
        <v>39016</v>
      </c>
      <c r="C275" s="4" t="n">
        <v>38991</v>
      </c>
      <c r="D275" s="5">
        <f>YEAR(C275)</f>
        <v/>
      </c>
      <c r="E275" s="5">
        <f>MONTH(C275)</f>
        <v/>
      </c>
      <c r="F275" s="38" t="inlineStr">
        <is>
          <t>NFV  :TENDA ATACADO LTDA</t>
        </is>
      </c>
      <c r="G275" s="38" t="inlineStr">
        <is>
          <t>MARIO FRUGIS (01.04.01)</t>
        </is>
      </c>
      <c r="H275" s="38" t="inlineStr">
        <is>
          <t>NFV</t>
        </is>
      </c>
      <c r="I275" s="40" t="n">
        <v>3.85</v>
      </c>
      <c r="J275" s="40" t="n">
        <v>0</v>
      </c>
      <c r="K275" s="6">
        <f>I275-J275</f>
        <v/>
      </c>
      <c r="L275" s="6">
        <f>IF(H275="DISTRATO",0,I275)</f>
        <v/>
      </c>
    </row>
    <row r="276">
      <c r="A276" s="38" t="inlineStr">
        <is>
          <t>Conta corrente MFRUGIS06.XLS</t>
        </is>
      </c>
      <c r="B276" s="39" t="n">
        <v>39016</v>
      </c>
      <c r="C276" s="4" t="n">
        <v>38991</v>
      </c>
      <c r="D276" s="5">
        <f>YEAR(C276)</f>
        <v/>
      </c>
      <c r="E276" s="5">
        <f>MONTH(C276)</f>
        <v/>
      </c>
      <c r="F276" s="38" t="inlineStr">
        <is>
          <t>NFV  :TENDA ATACADO LTDA</t>
        </is>
      </c>
      <c r="G276" s="38" t="inlineStr">
        <is>
          <t>MARIO FRUGIS (01.04.01)</t>
        </is>
      </c>
      <c r="H276" s="38" t="inlineStr">
        <is>
          <t>NFV</t>
        </is>
      </c>
      <c r="I276" s="40" t="n">
        <v>3.85</v>
      </c>
      <c r="J276" s="40" t="n">
        <v>0</v>
      </c>
      <c r="K276" s="6">
        <f>I276-J276</f>
        <v/>
      </c>
      <c r="L276" s="6">
        <f>IF(H276="DISTRATO",0,I276)</f>
        <v/>
      </c>
    </row>
    <row r="277">
      <c r="A277" s="38" t="inlineStr">
        <is>
          <t>Conta corrente MFRUGIS06.XLS</t>
        </is>
      </c>
      <c r="B277" s="39" t="n">
        <v>39016</v>
      </c>
      <c r="C277" s="4" t="n">
        <v>38991</v>
      </c>
      <c r="D277" s="5">
        <f>YEAR(C277)</f>
        <v/>
      </c>
      <c r="E277" s="5">
        <f>MONTH(C277)</f>
        <v/>
      </c>
      <c r="F277" s="38" t="inlineStr">
        <is>
          <t>NFV  :TENDA ATACADO LTDA</t>
        </is>
      </c>
      <c r="G277" s="38" t="inlineStr">
        <is>
          <t>MARIO FRUGIS (01.04.01)</t>
        </is>
      </c>
      <c r="H277" s="38" t="inlineStr">
        <is>
          <t>NFV</t>
        </is>
      </c>
      <c r="I277" s="40" t="n">
        <v>3.85</v>
      </c>
      <c r="J277" s="40" t="n">
        <v>0</v>
      </c>
      <c r="K277" s="6">
        <f>I277-J277</f>
        <v/>
      </c>
      <c r="L277" s="6">
        <f>IF(H277="DISTRATO",0,I277)</f>
        <v/>
      </c>
    </row>
    <row r="278">
      <c r="A278" s="38" t="inlineStr">
        <is>
          <t>Conta corrente MFRUGIS06.XLS</t>
        </is>
      </c>
      <c r="B278" s="39" t="n">
        <v>39017</v>
      </c>
      <c r="C278" s="4" t="n">
        <v>38991</v>
      </c>
      <c r="D278" s="5">
        <f>YEAR(C278)</f>
        <v/>
      </c>
      <c r="E278" s="5">
        <f>MONTH(C278)</f>
        <v/>
      </c>
      <c r="F278" s="38" t="inlineStr">
        <is>
          <t>NFV  :TENDA ATACADO LTDA</t>
        </is>
      </c>
      <c r="G278" s="38" t="inlineStr">
        <is>
          <t>MARIO FRUGIS (01.04.01)</t>
        </is>
      </c>
      <c r="H278" s="38" t="inlineStr">
        <is>
          <t>NFV</t>
        </is>
      </c>
      <c r="I278" s="40" t="n">
        <v>3.85</v>
      </c>
      <c r="J278" s="40" t="n">
        <v>0</v>
      </c>
      <c r="K278" s="6">
        <f>I278-J278</f>
        <v/>
      </c>
      <c r="L278" s="6">
        <f>IF(H278="DISTRATO",0,I278)</f>
        <v/>
      </c>
    </row>
    <row r="279">
      <c r="A279" s="38" t="inlineStr">
        <is>
          <t>Conta corrente MFRUGIS06.XLS</t>
        </is>
      </c>
      <c r="B279" s="39" t="n">
        <v>39029</v>
      </c>
      <c r="C279" s="4" t="n">
        <v>39022</v>
      </c>
      <c r="D279" s="5">
        <f>YEAR(C279)</f>
        <v/>
      </c>
      <c r="E279" s="5">
        <f>MONTH(C279)</f>
        <v/>
      </c>
      <c r="F279" s="38" t="inlineStr">
        <is>
          <t>NFV  :TENDA ATACADO LTDA</t>
        </is>
      </c>
      <c r="G279" s="38" t="inlineStr">
        <is>
          <t>MARIO FRUGIS (01.04.01)</t>
        </is>
      </c>
      <c r="H279" s="38" t="inlineStr">
        <is>
          <t>NFV</t>
        </is>
      </c>
      <c r="I279" s="40" t="n">
        <v>75.15000000000001</v>
      </c>
      <c r="J279" s="40" t="n">
        <v>0</v>
      </c>
      <c r="K279" s="6">
        <f>I279-J279</f>
        <v/>
      </c>
      <c r="L279" s="6">
        <f>IF(H279="DISTRATO",0,I279)</f>
        <v/>
      </c>
    </row>
    <row r="280">
      <c r="A280" s="38" t="inlineStr">
        <is>
          <t>Conta corrente MFRUGIS06.XLS</t>
        </is>
      </c>
      <c r="B280" s="39" t="n">
        <v>39029</v>
      </c>
      <c r="C280" s="4" t="n">
        <v>39022</v>
      </c>
      <c r="D280" s="5">
        <f>YEAR(C280)</f>
        <v/>
      </c>
      <c r="E280" s="5">
        <f>MONTH(C280)</f>
        <v/>
      </c>
      <c r="F280" s="38" t="inlineStr">
        <is>
          <t>NFV  :TENDA ATACADO LTDA</t>
        </is>
      </c>
      <c r="G280" s="38" t="inlineStr">
        <is>
          <t>MARIO FRUGIS (01.04.01)</t>
        </is>
      </c>
      <c r="H280" s="38" t="inlineStr">
        <is>
          <t>NFV</t>
        </is>
      </c>
      <c r="I280" s="40" t="n">
        <v>47.19</v>
      </c>
      <c r="J280" s="40" t="n">
        <v>0</v>
      </c>
      <c r="K280" s="6">
        <f>I280-J280</f>
        <v/>
      </c>
      <c r="L280" s="6">
        <f>IF(H280="DISTRATO",0,I280)</f>
        <v/>
      </c>
    </row>
    <row r="281">
      <c r="A281" s="38" t="inlineStr">
        <is>
          <t>Conta corrente MFRUGIS06.XLS</t>
        </is>
      </c>
      <c r="B281" s="39" t="n">
        <v>39030</v>
      </c>
      <c r="C281" s="4" t="n">
        <v>39022</v>
      </c>
      <c r="D281" s="5">
        <f>YEAR(C281)</f>
        <v/>
      </c>
      <c r="E281" s="5">
        <f>MONTH(C281)</f>
        <v/>
      </c>
      <c r="F281" s="38" t="inlineStr">
        <is>
          <t>NFV  :TENDA ATACADO LTDA</t>
        </is>
      </c>
      <c r="G281" s="38" t="inlineStr">
        <is>
          <t>MARIO FRUGIS (01.04.01)</t>
        </is>
      </c>
      <c r="H281" s="38" t="inlineStr">
        <is>
          <t>NFV</t>
        </is>
      </c>
      <c r="I281" s="40" t="n">
        <v>47.03</v>
      </c>
      <c r="J281" s="40" t="n">
        <v>0</v>
      </c>
      <c r="K281" s="6">
        <f>I281-J281</f>
        <v/>
      </c>
      <c r="L281" s="6">
        <f>IF(H281="DISTRATO",0,I281)</f>
        <v/>
      </c>
    </row>
    <row r="282">
      <c r="A282" s="38" t="inlineStr">
        <is>
          <t>Conta corrente MFRUGIS06.XLS</t>
        </is>
      </c>
      <c r="B282" s="39" t="n">
        <v>39030</v>
      </c>
      <c r="C282" s="4" t="n">
        <v>39022</v>
      </c>
      <c r="D282" s="5">
        <f>YEAR(C282)</f>
        <v/>
      </c>
      <c r="E282" s="5">
        <f>MONTH(C282)</f>
        <v/>
      </c>
      <c r="F282" s="38" t="inlineStr">
        <is>
          <t>NFV  :TENDA ATACADO LTDA</t>
        </is>
      </c>
      <c r="G282" s="38" t="inlineStr">
        <is>
          <t>MARIO FRUGIS (01.04.01)</t>
        </is>
      </c>
      <c r="H282" s="38" t="inlineStr">
        <is>
          <t>NFV</t>
        </is>
      </c>
      <c r="I282" s="40" t="n">
        <v>67.18000000000001</v>
      </c>
      <c r="J282" s="40" t="n">
        <v>0</v>
      </c>
      <c r="K282" s="6">
        <f>I282-J282</f>
        <v/>
      </c>
      <c r="L282" s="6">
        <f>IF(H282="DISTRATO",0,I282)</f>
        <v/>
      </c>
    </row>
    <row r="283">
      <c r="A283" s="38" t="inlineStr">
        <is>
          <t>Conta corrente MFRUGIS06.XLS</t>
        </is>
      </c>
      <c r="B283" s="39" t="n">
        <v>39030</v>
      </c>
      <c r="C283" s="4" t="n">
        <v>39022</v>
      </c>
      <c r="D283" s="5">
        <f>YEAR(C283)</f>
        <v/>
      </c>
      <c r="E283" s="5">
        <f>MONTH(C283)</f>
        <v/>
      </c>
      <c r="F283" s="38" t="inlineStr">
        <is>
          <t>NFV  :TENDA ATACADO LTDA</t>
        </is>
      </c>
      <c r="G283" s="38" t="inlineStr">
        <is>
          <t>MARIO FRUGIS (01.04.01)</t>
        </is>
      </c>
      <c r="H283" s="38" t="inlineStr">
        <is>
          <t>NFV</t>
        </is>
      </c>
      <c r="I283" s="40" t="n">
        <v>112.93</v>
      </c>
      <c r="J283" s="40" t="n">
        <v>0</v>
      </c>
      <c r="K283" s="6">
        <f>I283-J283</f>
        <v/>
      </c>
      <c r="L283" s="6">
        <f>IF(H283="DISTRATO",0,I283)</f>
        <v/>
      </c>
    </row>
    <row r="284">
      <c r="A284" s="38" t="inlineStr">
        <is>
          <t>Conta corrente MFRUGIS06.XLS</t>
        </is>
      </c>
      <c r="B284" s="39" t="n">
        <v>39030</v>
      </c>
      <c r="C284" s="4" t="n">
        <v>39022</v>
      </c>
      <c r="D284" s="5">
        <f>YEAR(C284)</f>
        <v/>
      </c>
      <c r="E284" s="5">
        <f>MONTH(C284)</f>
        <v/>
      </c>
      <c r="F284" s="38" t="inlineStr">
        <is>
          <t>NFV  :TENDA ATACADO LTDA</t>
        </is>
      </c>
      <c r="G284" s="38" t="inlineStr">
        <is>
          <t>MARIO FRUGIS (01.04.01)</t>
        </is>
      </c>
      <c r="H284" s="38" t="inlineStr">
        <is>
          <t>NFV</t>
        </is>
      </c>
      <c r="I284" s="40" t="n">
        <v>46.9</v>
      </c>
      <c r="J284" s="40" t="n">
        <v>0</v>
      </c>
      <c r="K284" s="6">
        <f>I284-J284</f>
        <v/>
      </c>
      <c r="L284" s="6">
        <f>IF(H284="DISTRATO",0,I284)</f>
        <v/>
      </c>
    </row>
    <row r="285">
      <c r="A285" s="38" t="inlineStr">
        <is>
          <t>Conta corrente MFRUGIS06.XLS</t>
        </is>
      </c>
      <c r="B285" s="39" t="n">
        <v>39030</v>
      </c>
      <c r="C285" s="4" t="n">
        <v>39022</v>
      </c>
      <c r="D285" s="5">
        <f>YEAR(C285)</f>
        <v/>
      </c>
      <c r="E285" s="5">
        <f>MONTH(C285)</f>
        <v/>
      </c>
      <c r="F285" s="38" t="inlineStr">
        <is>
          <t>NFV  :TENDA ATACADO LTDA</t>
        </is>
      </c>
      <c r="G285" s="38" t="inlineStr">
        <is>
          <t>MARIO FRUGIS (01.04.01)</t>
        </is>
      </c>
      <c r="H285" s="38" t="inlineStr">
        <is>
          <t>NFV</t>
        </is>
      </c>
      <c r="I285" s="40" t="n">
        <v>127.36</v>
      </c>
      <c r="J285" s="40" t="n">
        <v>0</v>
      </c>
      <c r="K285" s="6">
        <f>I285-J285</f>
        <v/>
      </c>
      <c r="L285" s="6">
        <f>IF(H285="DISTRATO",0,I285)</f>
        <v/>
      </c>
    </row>
    <row r="286">
      <c r="A286" s="38" t="inlineStr">
        <is>
          <t>Conta corrente MFRUGIS06.XLS</t>
        </is>
      </c>
      <c r="B286" s="39" t="n">
        <v>39030</v>
      </c>
      <c r="C286" s="4" t="n">
        <v>39022</v>
      </c>
      <c r="D286" s="5">
        <f>YEAR(C286)</f>
        <v/>
      </c>
      <c r="E286" s="5">
        <f>MONTH(C286)</f>
        <v/>
      </c>
      <c r="F286" s="38" t="inlineStr">
        <is>
          <t>NFV  :TENDA ATACADO LTDA</t>
        </is>
      </c>
      <c r="G286" s="38" t="inlineStr">
        <is>
          <t>MARIO FRUGIS (01.04.01)</t>
        </is>
      </c>
      <c r="H286" s="38" t="inlineStr">
        <is>
          <t>NFV</t>
        </is>
      </c>
      <c r="I286" s="40" t="n">
        <v>5.53</v>
      </c>
      <c r="J286" s="40" t="n">
        <v>0</v>
      </c>
      <c r="K286" s="6">
        <f>I286-J286</f>
        <v/>
      </c>
      <c r="L286" s="6">
        <f>IF(H286="DISTRATO",0,I286)</f>
        <v/>
      </c>
    </row>
    <row r="287">
      <c r="A287" s="38" t="inlineStr">
        <is>
          <t>Conta corrente MFRUGIS06.XLS</t>
        </is>
      </c>
      <c r="B287" s="39" t="n">
        <v>39030</v>
      </c>
      <c r="C287" s="4" t="n">
        <v>39022</v>
      </c>
      <c r="D287" s="5">
        <f>YEAR(C287)</f>
        <v/>
      </c>
      <c r="E287" s="5">
        <f>MONTH(C287)</f>
        <v/>
      </c>
      <c r="F287" s="38" t="inlineStr">
        <is>
          <t>NFV  :TENDA ATACADO LTDA</t>
        </is>
      </c>
      <c r="G287" s="38" t="inlineStr">
        <is>
          <t>MARIO FRUGIS (01.04.01)</t>
        </is>
      </c>
      <c r="H287" s="38" t="inlineStr">
        <is>
          <t>NFV</t>
        </is>
      </c>
      <c r="I287" s="40" t="n">
        <v>72.23</v>
      </c>
      <c r="J287" s="40" t="n">
        <v>0</v>
      </c>
      <c r="K287" s="6">
        <f>I287-J287</f>
        <v/>
      </c>
      <c r="L287" s="6">
        <f>IF(H287="DISTRATO",0,I287)</f>
        <v/>
      </c>
    </row>
    <row r="288">
      <c r="A288" s="38" t="inlineStr">
        <is>
          <t>Conta corrente MFRUGIS06.XLS</t>
        </is>
      </c>
      <c r="B288" s="39" t="n">
        <v>39030</v>
      </c>
      <c r="C288" s="4" t="n">
        <v>39022</v>
      </c>
      <c r="D288" s="5">
        <f>YEAR(C288)</f>
        <v/>
      </c>
      <c r="E288" s="5">
        <f>MONTH(C288)</f>
        <v/>
      </c>
      <c r="F288" s="38" t="inlineStr">
        <is>
          <t>NFV  :TENDA ATACADO LTDA</t>
        </is>
      </c>
      <c r="G288" s="38" t="inlineStr">
        <is>
          <t>MARIO FRUGIS (01.04.01)</t>
        </is>
      </c>
      <c r="H288" s="38" t="inlineStr">
        <is>
          <t>NFV</t>
        </is>
      </c>
      <c r="I288" s="40" t="n">
        <v>36.8</v>
      </c>
      <c r="J288" s="40" t="n">
        <v>0</v>
      </c>
      <c r="K288" s="6">
        <f>I288-J288</f>
        <v/>
      </c>
      <c r="L288" s="6">
        <f>IF(H288="DISTRATO",0,I288)</f>
        <v/>
      </c>
    </row>
    <row r="289">
      <c r="A289" s="38" t="inlineStr">
        <is>
          <t>Conta corrente MFRUGIS06.XLS</t>
        </is>
      </c>
      <c r="B289" s="39" t="n">
        <v>39030</v>
      </c>
      <c r="C289" s="4" t="n">
        <v>39022</v>
      </c>
      <c r="D289" s="5">
        <f>YEAR(C289)</f>
        <v/>
      </c>
      <c r="E289" s="5">
        <f>MONTH(C289)</f>
        <v/>
      </c>
      <c r="F289" s="38" t="inlineStr">
        <is>
          <t>NFV  :TENDA ATACADO LTDA</t>
        </is>
      </c>
      <c r="G289" s="38" t="inlineStr">
        <is>
          <t>MARIO FRUGIS (01.04.01)</t>
        </is>
      </c>
      <c r="H289" s="38" t="inlineStr">
        <is>
          <t>NFV</t>
        </is>
      </c>
      <c r="I289" s="40" t="n">
        <v>26.54</v>
      </c>
      <c r="J289" s="40" t="n">
        <v>0</v>
      </c>
      <c r="K289" s="6">
        <f>I289-J289</f>
        <v/>
      </c>
      <c r="L289" s="6">
        <f>IF(H289="DISTRATO",0,I289)</f>
        <v/>
      </c>
    </row>
    <row r="290">
      <c r="A290" s="38" t="inlineStr">
        <is>
          <t>Conta corrente MFRUGIS06.XLS</t>
        </is>
      </c>
      <c r="B290" s="39" t="n">
        <v>39030</v>
      </c>
      <c r="C290" s="4" t="n">
        <v>39022</v>
      </c>
      <c r="D290" s="5">
        <f>YEAR(C290)</f>
        <v/>
      </c>
      <c r="E290" s="5">
        <f>MONTH(C290)</f>
        <v/>
      </c>
      <c r="F290" s="38" t="inlineStr">
        <is>
          <t>NFV  :TENDA ATACADO LTDA</t>
        </is>
      </c>
      <c r="G290" s="38" t="inlineStr">
        <is>
          <t>MARIO FRUGIS (01.04.01)</t>
        </is>
      </c>
      <c r="H290" s="38" t="inlineStr">
        <is>
          <t>NFV</t>
        </is>
      </c>
      <c r="I290" s="40" t="n">
        <v>52.51</v>
      </c>
      <c r="J290" s="40" t="n">
        <v>0</v>
      </c>
      <c r="K290" s="6">
        <f>I290-J290</f>
        <v/>
      </c>
      <c r="L290" s="6">
        <f>IF(H290="DISTRATO",0,I290)</f>
        <v/>
      </c>
    </row>
    <row r="291">
      <c r="A291" s="38" t="inlineStr">
        <is>
          <t>Conta corrente MFRUGIS06.XLS</t>
        </is>
      </c>
      <c r="B291" s="39" t="n">
        <v>39030</v>
      </c>
      <c r="C291" s="4" t="n">
        <v>39022</v>
      </c>
      <c r="D291" s="5">
        <f>YEAR(C291)</f>
        <v/>
      </c>
      <c r="E291" s="5">
        <f>MONTH(C291)</f>
        <v/>
      </c>
      <c r="F291" s="38" t="inlineStr">
        <is>
          <t>NFV  :TENDA ATACADO LTDA</t>
        </is>
      </c>
      <c r="G291" s="38" t="inlineStr">
        <is>
          <t>MARIO FRUGIS (01.04.01)</t>
        </is>
      </c>
      <c r="H291" s="38" t="inlineStr">
        <is>
          <t>NFV</t>
        </is>
      </c>
      <c r="I291" s="40" t="n">
        <v>16.55</v>
      </c>
      <c r="J291" s="40" t="n">
        <v>0</v>
      </c>
      <c r="K291" s="6">
        <f>I291-J291</f>
        <v/>
      </c>
      <c r="L291" s="6">
        <f>IF(H291="DISTRATO",0,I291)</f>
        <v/>
      </c>
    </row>
    <row r="292">
      <c r="A292" s="38" t="inlineStr">
        <is>
          <t>Conta corrente MFRUGIS06.XLS</t>
        </is>
      </c>
      <c r="B292" s="39" t="n">
        <v>39030</v>
      </c>
      <c r="C292" s="4" t="n">
        <v>39022</v>
      </c>
      <c r="D292" s="5">
        <f>YEAR(C292)</f>
        <v/>
      </c>
      <c r="E292" s="5">
        <f>MONTH(C292)</f>
        <v/>
      </c>
      <c r="F292" s="38" t="inlineStr">
        <is>
          <t>NFV  :TENDA ATACADO LTDA</t>
        </is>
      </c>
      <c r="G292" s="38" t="inlineStr">
        <is>
          <t>MARIO FRUGIS (01.04.01)</t>
        </is>
      </c>
      <c r="H292" s="38" t="inlineStr">
        <is>
          <t>NFV</t>
        </is>
      </c>
      <c r="I292" s="40" t="n">
        <v>28.58</v>
      </c>
      <c r="J292" s="40" t="n">
        <v>0</v>
      </c>
      <c r="K292" s="6">
        <f>I292-J292</f>
        <v/>
      </c>
      <c r="L292" s="6">
        <f>IF(H292="DISTRATO",0,I292)</f>
        <v/>
      </c>
    </row>
    <row r="293">
      <c r="A293" s="38" t="inlineStr">
        <is>
          <t>Conta corrente MFRUGIS06.XLS</t>
        </is>
      </c>
      <c r="B293" s="39" t="n">
        <v>39030</v>
      </c>
      <c r="C293" s="4" t="n">
        <v>39022</v>
      </c>
      <c r="D293" s="5">
        <f>YEAR(C293)</f>
        <v/>
      </c>
      <c r="E293" s="5">
        <f>MONTH(C293)</f>
        <v/>
      </c>
      <c r="F293" s="38" t="inlineStr">
        <is>
          <t>NFV  :TENDA ATACADO LTDA</t>
        </is>
      </c>
      <c r="G293" s="38" t="inlineStr">
        <is>
          <t>MARIO FRUGIS (01.04.01)</t>
        </is>
      </c>
      <c r="H293" s="38" t="inlineStr">
        <is>
          <t>NFV</t>
        </is>
      </c>
      <c r="I293" s="40" t="n">
        <v>51.44</v>
      </c>
      <c r="J293" s="40" t="n">
        <v>0</v>
      </c>
      <c r="K293" s="6">
        <f>I293-J293</f>
        <v/>
      </c>
      <c r="L293" s="6">
        <f>IF(H293="DISTRATO",0,I293)</f>
        <v/>
      </c>
    </row>
    <row r="294">
      <c r="A294" s="38" t="inlineStr">
        <is>
          <t>Conta corrente MFRUGIS06.XLS</t>
        </is>
      </c>
      <c r="B294" s="39" t="n">
        <v>39030</v>
      </c>
      <c r="C294" s="4" t="n">
        <v>39022</v>
      </c>
      <c r="D294" s="5">
        <f>YEAR(C294)</f>
        <v/>
      </c>
      <c r="E294" s="5">
        <f>MONTH(C294)</f>
        <v/>
      </c>
      <c r="F294" s="38" t="inlineStr">
        <is>
          <t>NFV  :TENDA ATACADO LTDA</t>
        </is>
      </c>
      <c r="G294" s="38" t="inlineStr">
        <is>
          <t>MARIO FRUGIS (01.04.01)</t>
        </is>
      </c>
      <c r="H294" s="38" t="inlineStr">
        <is>
          <t>NFV</t>
        </is>
      </c>
      <c r="I294" s="40" t="n">
        <v>17.36</v>
      </c>
      <c r="J294" s="40" t="n">
        <v>0</v>
      </c>
      <c r="K294" s="6">
        <f>I294-J294</f>
        <v/>
      </c>
      <c r="L294" s="6">
        <f>IF(H294="DISTRATO",0,I294)</f>
        <v/>
      </c>
    </row>
    <row r="295">
      <c r="A295" s="38" t="inlineStr">
        <is>
          <t>Conta corrente MFRUGIS06.XLS</t>
        </is>
      </c>
      <c r="B295" s="39" t="n">
        <v>39034</v>
      </c>
      <c r="C295" s="4" t="n">
        <v>39022</v>
      </c>
      <c r="D295" s="5">
        <f>YEAR(C295)</f>
        <v/>
      </c>
      <c r="E295" s="5">
        <f>MONTH(C295)</f>
        <v/>
      </c>
      <c r="F295" s="38" t="inlineStr">
        <is>
          <t>DEV  :TENDA ATACADO LTDA</t>
        </is>
      </c>
      <c r="G295" s="38" t="inlineStr">
        <is>
          <t>MARIO FRUGIS (01.04.01)</t>
        </is>
      </c>
      <c r="H295" s="38" t="inlineStr">
        <is>
          <t>DEVOLUCAO</t>
        </is>
      </c>
      <c r="I295" s="40" t="n">
        <v>-0.39</v>
      </c>
      <c r="J295" s="40" t="n">
        <v>0</v>
      </c>
      <c r="K295" s="6">
        <f>I295-J295</f>
        <v/>
      </c>
      <c r="L295" s="6">
        <f>IF(H295="DISTRATO",0,I295)</f>
        <v/>
      </c>
    </row>
    <row r="296">
      <c r="A296" s="38" t="inlineStr">
        <is>
          <t>Conta corrente MFRUGIS06.XLS</t>
        </is>
      </c>
      <c r="B296" s="39" t="n">
        <v>39038</v>
      </c>
      <c r="C296" s="4" t="n">
        <v>39022</v>
      </c>
      <c r="D296" s="5">
        <f>YEAR(C296)</f>
        <v/>
      </c>
      <c r="E296" s="5">
        <f>MONTH(C296)</f>
        <v/>
      </c>
      <c r="F296" s="38" t="inlineStr">
        <is>
          <t>17757 BONIF:TENDA ATACADO LTDA</t>
        </is>
      </c>
      <c r="G296" s="38" t="inlineStr">
        <is>
          <t>MARIO FRUGIS (01.04.01)</t>
        </is>
      </c>
      <c r="H296" s="38" t="inlineStr">
        <is>
          <t>BONIFICACAO</t>
        </is>
      </c>
      <c r="I296" s="40" t="n">
        <v>-21.24</v>
      </c>
      <c r="J296" s="40" t="n">
        <v>0</v>
      </c>
      <c r="K296" s="6">
        <f>I296-J296</f>
        <v/>
      </c>
      <c r="L296" s="6">
        <f>IF(H296="DISTRATO",0,I296)</f>
        <v/>
      </c>
    </row>
    <row r="297">
      <c r="A297" s="38" t="inlineStr">
        <is>
          <t>Conta corrente MFRUGIS06.XLS</t>
        </is>
      </c>
      <c r="B297" s="39" t="n">
        <v>39038</v>
      </c>
      <c r="C297" s="4" t="n">
        <v>39022</v>
      </c>
      <c r="D297" s="5">
        <f>YEAR(C297)</f>
        <v/>
      </c>
      <c r="E297" s="5">
        <f>MONTH(C297)</f>
        <v/>
      </c>
      <c r="F297" s="38" t="inlineStr">
        <is>
          <t>17758 BONIF:TENDA ATACADO LTDA</t>
        </is>
      </c>
      <c r="G297" s="38" t="inlineStr">
        <is>
          <t>MARIO FRUGIS (01.04.01)</t>
        </is>
      </c>
      <c r="H297" s="38" t="inlineStr">
        <is>
          <t>BONIFICACAO</t>
        </is>
      </c>
      <c r="I297" s="40" t="n">
        <v>-21.24</v>
      </c>
      <c r="J297" s="40" t="n">
        <v>0</v>
      </c>
      <c r="K297" s="6">
        <f>I297-J297</f>
        <v/>
      </c>
      <c r="L297" s="6">
        <f>IF(H297="DISTRATO",0,I297)</f>
        <v/>
      </c>
    </row>
    <row r="298">
      <c r="A298" s="38" t="inlineStr">
        <is>
          <t>Conta corrente MFRUGIS06.XLS</t>
        </is>
      </c>
      <c r="B298" s="39" t="n">
        <v>39038</v>
      </c>
      <c r="C298" s="4" t="n">
        <v>39022</v>
      </c>
      <c r="D298" s="5">
        <f>YEAR(C298)</f>
        <v/>
      </c>
      <c r="E298" s="5">
        <f>MONTH(C298)</f>
        <v/>
      </c>
      <c r="F298" s="38" t="inlineStr">
        <is>
          <t>17759 BONIF:TENDA ATACADO LTDA</t>
        </is>
      </c>
      <c r="G298" s="38" t="inlineStr">
        <is>
          <t>MARIO FRUGIS (01.04.01)</t>
        </is>
      </c>
      <c r="H298" s="38" t="inlineStr">
        <is>
          <t>BONIFICACAO</t>
        </is>
      </c>
      <c r="I298" s="40" t="n">
        <v>-21.39</v>
      </c>
      <c r="J298" s="40" t="n">
        <v>0</v>
      </c>
      <c r="K298" s="6">
        <f>I298-J298</f>
        <v/>
      </c>
      <c r="L298" s="6">
        <f>IF(H298="DISTRATO",0,I298)</f>
        <v/>
      </c>
    </row>
    <row r="299">
      <c r="A299" s="38" t="inlineStr">
        <is>
          <t>Conta corrente MFRUGIS06.XLS</t>
        </is>
      </c>
      <c r="B299" s="39" t="n">
        <v>39048</v>
      </c>
      <c r="C299" s="4" t="n">
        <v>39022</v>
      </c>
      <c r="D299" s="5">
        <f>YEAR(C299)</f>
        <v/>
      </c>
      <c r="E299" s="5">
        <f>MONTH(C299)</f>
        <v/>
      </c>
      <c r="F299" s="38" t="inlineStr">
        <is>
          <t>NFV  :TENDA ATACADO LTDA</t>
        </is>
      </c>
      <c r="G299" s="38" t="inlineStr">
        <is>
          <t>MARIO FRUGIS (01.04.01)</t>
        </is>
      </c>
      <c r="H299" s="38" t="inlineStr">
        <is>
          <t>NFV</t>
        </is>
      </c>
      <c r="I299" s="40" t="n">
        <v>17.28</v>
      </c>
      <c r="J299" s="40" t="n">
        <v>0</v>
      </c>
      <c r="K299" s="6">
        <f>I299-J299</f>
        <v/>
      </c>
      <c r="L299" s="6">
        <f>IF(H299="DISTRATO",0,I299)</f>
        <v/>
      </c>
    </row>
    <row r="300">
      <c r="A300" s="38" t="inlineStr">
        <is>
          <t>Conta corrente MFRUGIS06.XLS</t>
        </is>
      </c>
      <c r="B300" s="39" t="n">
        <v>39048</v>
      </c>
      <c r="C300" s="4" t="n">
        <v>39022</v>
      </c>
      <c r="D300" s="5">
        <f>YEAR(C300)</f>
        <v/>
      </c>
      <c r="E300" s="5">
        <f>MONTH(C300)</f>
        <v/>
      </c>
      <c r="F300" s="38" t="inlineStr">
        <is>
          <t>NFV  :TENDA ATACADO LTDA</t>
        </is>
      </c>
      <c r="G300" s="38" t="inlineStr">
        <is>
          <t>MARIO FRUGIS (01.04.01)</t>
        </is>
      </c>
      <c r="H300" s="38" t="inlineStr">
        <is>
          <t>NFV</t>
        </is>
      </c>
      <c r="I300" s="40" t="n">
        <v>72.79000000000001</v>
      </c>
      <c r="J300" s="40" t="n">
        <v>0</v>
      </c>
      <c r="K300" s="6">
        <f>I300-J300</f>
        <v/>
      </c>
      <c r="L300" s="6">
        <f>IF(H300="DISTRATO",0,I300)</f>
        <v/>
      </c>
    </row>
    <row r="301">
      <c r="A301" s="38" t="inlineStr">
        <is>
          <t>Conta corrente MFRUGIS06.XLS</t>
        </is>
      </c>
      <c r="B301" s="39" t="n">
        <v>39048</v>
      </c>
      <c r="C301" s="4" t="n">
        <v>39022</v>
      </c>
      <c r="D301" s="5">
        <f>YEAR(C301)</f>
        <v/>
      </c>
      <c r="E301" s="5">
        <f>MONTH(C301)</f>
        <v/>
      </c>
      <c r="F301" s="38" t="inlineStr">
        <is>
          <t>NFV  :TENDA ATACADO LTDA</t>
        </is>
      </c>
      <c r="G301" s="38" t="inlineStr">
        <is>
          <t>MARIO FRUGIS (01.04.01)</t>
        </is>
      </c>
      <c r="H301" s="38" t="inlineStr">
        <is>
          <t>NFV</t>
        </is>
      </c>
      <c r="I301" s="40" t="n">
        <v>69.34999999999999</v>
      </c>
      <c r="J301" s="40" t="n">
        <v>0</v>
      </c>
      <c r="K301" s="6">
        <f>I301-J301</f>
        <v/>
      </c>
      <c r="L301" s="6">
        <f>IF(H301="DISTRATO",0,I301)</f>
        <v/>
      </c>
    </row>
    <row r="302">
      <c r="A302" s="38" t="inlineStr">
        <is>
          <t>Conta corrente MFRUGIS06.XLS</t>
        </is>
      </c>
      <c r="B302" s="39" t="n">
        <v>39048</v>
      </c>
      <c r="C302" s="4" t="n">
        <v>39022</v>
      </c>
      <c r="D302" s="5">
        <f>YEAR(C302)</f>
        <v/>
      </c>
      <c r="E302" s="5">
        <f>MONTH(C302)</f>
        <v/>
      </c>
      <c r="F302" s="38" t="inlineStr">
        <is>
          <t>NFV  :TENDA ATACADO LTDA</t>
        </is>
      </c>
      <c r="G302" s="38" t="inlineStr">
        <is>
          <t>MARIO FRUGIS (01.04.01)</t>
        </is>
      </c>
      <c r="H302" s="38" t="inlineStr">
        <is>
          <t>NFV</t>
        </is>
      </c>
      <c r="I302" s="40" t="n">
        <v>104.03</v>
      </c>
      <c r="J302" s="40" t="n">
        <v>0</v>
      </c>
      <c r="K302" s="6">
        <f>I302-J302</f>
        <v/>
      </c>
      <c r="L302" s="6">
        <f>IF(H302="DISTRATO",0,I302)</f>
        <v/>
      </c>
    </row>
    <row r="303">
      <c r="A303" s="38" t="inlineStr">
        <is>
          <t>Conta corrente MFRUGIS06.XLS</t>
        </is>
      </c>
      <c r="B303" s="39" t="n">
        <v>39048</v>
      </c>
      <c r="C303" s="4" t="n">
        <v>39022</v>
      </c>
      <c r="D303" s="5">
        <f>YEAR(C303)</f>
        <v/>
      </c>
      <c r="E303" s="5">
        <f>MONTH(C303)</f>
        <v/>
      </c>
      <c r="F303" s="38" t="inlineStr">
        <is>
          <t>NFV  :TENDA ATACADO LTDA</t>
        </is>
      </c>
      <c r="G303" s="38" t="inlineStr">
        <is>
          <t>MARIO FRUGIS (01.04.01)</t>
        </is>
      </c>
      <c r="H303" s="38" t="inlineStr">
        <is>
          <t>NFV</t>
        </is>
      </c>
      <c r="I303" s="40" t="n">
        <v>86.15000000000001</v>
      </c>
      <c r="J303" s="40" t="n">
        <v>0</v>
      </c>
      <c r="K303" s="6">
        <f>I303-J303</f>
        <v/>
      </c>
      <c r="L303" s="6">
        <f>IF(H303="DISTRATO",0,I303)</f>
        <v/>
      </c>
    </row>
    <row r="304">
      <c r="A304" s="38" t="inlineStr">
        <is>
          <t>Conta corrente MFRUGIS06.XLS</t>
        </is>
      </c>
      <c r="B304" s="39" t="n">
        <v>39048</v>
      </c>
      <c r="C304" s="4" t="n">
        <v>39022</v>
      </c>
      <c r="D304" s="5">
        <f>YEAR(C304)</f>
        <v/>
      </c>
      <c r="E304" s="5">
        <f>MONTH(C304)</f>
        <v/>
      </c>
      <c r="F304" s="38" t="inlineStr">
        <is>
          <t>NFV  :TENDA ATACADO LTDA</t>
        </is>
      </c>
      <c r="G304" s="38" t="inlineStr">
        <is>
          <t>MARIO FRUGIS (01.04.01)</t>
        </is>
      </c>
      <c r="H304" s="38" t="inlineStr">
        <is>
          <t>NFV</t>
        </is>
      </c>
      <c r="I304" s="40" t="n">
        <v>74.52</v>
      </c>
      <c r="J304" s="40" t="n">
        <v>0</v>
      </c>
      <c r="K304" s="6">
        <f>I304-J304</f>
        <v/>
      </c>
      <c r="L304" s="6">
        <f>IF(H304="DISTRATO",0,I304)</f>
        <v/>
      </c>
    </row>
    <row r="305">
      <c r="A305" s="38" t="inlineStr">
        <is>
          <t>Conta corrente MFRUGIS06.XLS</t>
        </is>
      </c>
      <c r="B305" s="39" t="n">
        <v>39048</v>
      </c>
      <c r="C305" s="4" t="n">
        <v>39022</v>
      </c>
      <c r="D305" s="5">
        <f>YEAR(C305)</f>
        <v/>
      </c>
      <c r="E305" s="5">
        <f>MONTH(C305)</f>
        <v/>
      </c>
      <c r="F305" s="38" t="inlineStr">
        <is>
          <t>NFV  :TENDA ATACADO LTDA</t>
        </is>
      </c>
      <c r="G305" s="38" t="inlineStr">
        <is>
          <t>MARIO FRUGIS (01.04.01)</t>
        </is>
      </c>
      <c r="H305" s="38" t="inlineStr">
        <is>
          <t>NFV</t>
        </is>
      </c>
      <c r="I305" s="40" t="n">
        <v>59.44</v>
      </c>
      <c r="J305" s="40" t="n">
        <v>0</v>
      </c>
      <c r="K305" s="6">
        <f>I305-J305</f>
        <v/>
      </c>
      <c r="L305" s="6">
        <f>IF(H305="DISTRATO",0,I305)</f>
        <v/>
      </c>
    </row>
    <row r="306">
      <c r="A306" s="38" t="inlineStr">
        <is>
          <t>Conta corrente MFRUGIS06.XLS</t>
        </is>
      </c>
      <c r="B306" s="39" t="n">
        <v>39050</v>
      </c>
      <c r="C306" s="4" t="n">
        <v>39022</v>
      </c>
      <c r="D306" s="5">
        <f>YEAR(C306)</f>
        <v/>
      </c>
      <c r="E306" s="5">
        <f>MONTH(C306)</f>
        <v/>
      </c>
      <c r="F306" s="38" t="inlineStr">
        <is>
          <t>NFV  :TENDA ATACADO LTDA</t>
        </is>
      </c>
      <c r="G306" s="38" t="inlineStr">
        <is>
          <t>MARIO FRUGIS (01.04.01)</t>
        </is>
      </c>
      <c r="H306" s="38" t="inlineStr">
        <is>
          <t>NFV</t>
        </is>
      </c>
      <c r="I306" s="40" t="n">
        <v>3.95</v>
      </c>
      <c r="J306" s="40" t="n">
        <v>0</v>
      </c>
      <c r="K306" s="6">
        <f>I306-J306</f>
        <v/>
      </c>
      <c r="L306" s="6">
        <f>IF(H306="DISTRATO",0,I306)</f>
        <v/>
      </c>
    </row>
    <row r="307">
      <c r="A307" s="38" t="inlineStr">
        <is>
          <t>Conta corrente MFRUGIS06.XLS</t>
        </is>
      </c>
      <c r="B307" s="39" t="n">
        <v>39050</v>
      </c>
      <c r="C307" s="4" t="n">
        <v>39022</v>
      </c>
      <c r="D307" s="5">
        <f>YEAR(C307)</f>
        <v/>
      </c>
      <c r="E307" s="5">
        <f>MONTH(C307)</f>
        <v/>
      </c>
      <c r="F307" s="38" t="inlineStr">
        <is>
          <t>NFV  :TENDA ATACADO LTDA</t>
        </is>
      </c>
      <c r="G307" s="38" t="inlineStr">
        <is>
          <t>MARIO FRUGIS (01.04.01)</t>
        </is>
      </c>
      <c r="H307" s="38" t="inlineStr">
        <is>
          <t>NFV</t>
        </is>
      </c>
      <c r="I307" s="40" t="n">
        <v>3.95</v>
      </c>
      <c r="J307" s="40" t="n">
        <v>0</v>
      </c>
      <c r="K307" s="6">
        <f>I307-J307</f>
        <v/>
      </c>
      <c r="L307" s="6">
        <f>IF(H307="DISTRATO",0,I307)</f>
        <v/>
      </c>
    </row>
    <row r="308">
      <c r="A308" s="38" t="inlineStr">
        <is>
          <t>Conta corrente MFRUGIS06.XLS</t>
        </is>
      </c>
      <c r="B308" s="39" t="n">
        <v>39051</v>
      </c>
      <c r="C308" s="4" t="n">
        <v>39022</v>
      </c>
      <c r="D308" s="5">
        <f>YEAR(C308)</f>
        <v/>
      </c>
      <c r="E308" s="5">
        <f>MONTH(C308)</f>
        <v/>
      </c>
      <c r="F308" s="38" t="inlineStr">
        <is>
          <t>17763 BONIF:TENDA ATACADO LTDA</t>
        </is>
      </c>
      <c r="G308" s="38" t="inlineStr">
        <is>
          <t>MARIO FRUGIS (01.04.01)</t>
        </is>
      </c>
      <c r="H308" s="38" t="inlineStr">
        <is>
          <t>BONIFICACAO</t>
        </is>
      </c>
      <c r="I308" s="40" t="n">
        <v>-42.56</v>
      </c>
      <c r="J308" s="40" t="n">
        <v>0</v>
      </c>
      <c r="K308" s="6">
        <f>I308-J308</f>
        <v/>
      </c>
      <c r="L308" s="6">
        <f>IF(H308="DISTRATO",0,I308)</f>
        <v/>
      </c>
    </row>
    <row r="309">
      <c r="A309" s="38" t="inlineStr">
        <is>
          <t>Conta corrente MFRUGIS06.XLS</t>
        </is>
      </c>
      <c r="B309" s="39" t="n">
        <v>39051</v>
      </c>
      <c r="C309" s="4" t="n">
        <v>39022</v>
      </c>
      <c r="D309" s="5">
        <f>YEAR(C309)</f>
        <v/>
      </c>
      <c r="E309" s="5">
        <f>MONTH(C309)</f>
        <v/>
      </c>
      <c r="F309" s="38" t="inlineStr">
        <is>
          <t>NFV  :TENDA ATACADO LTDA</t>
        </is>
      </c>
      <c r="G309" s="38" t="inlineStr">
        <is>
          <t>MARIO FRUGIS (01.04.01)</t>
        </is>
      </c>
      <c r="H309" s="38" t="inlineStr">
        <is>
          <t>NFV</t>
        </is>
      </c>
      <c r="I309" s="40" t="n">
        <v>118.05</v>
      </c>
      <c r="J309" s="40" t="n">
        <v>0</v>
      </c>
      <c r="K309" s="6">
        <f>I309-J309</f>
        <v/>
      </c>
      <c r="L309" s="6">
        <f>IF(H309="DISTRATO",0,I309)</f>
        <v/>
      </c>
    </row>
    <row r="310">
      <c r="A310" s="38" t="inlineStr">
        <is>
          <t>Conta corrente MFRUGIS06.XLS</t>
        </is>
      </c>
      <c r="B310" s="39" t="n">
        <v>39051</v>
      </c>
      <c r="C310" s="4" t="n">
        <v>39022</v>
      </c>
      <c r="D310" s="5">
        <f>YEAR(C310)</f>
        <v/>
      </c>
      <c r="E310" s="5">
        <f>MONTH(C310)</f>
        <v/>
      </c>
      <c r="F310" s="38" t="inlineStr">
        <is>
          <t>NFV  :TENDA ATACADO LTDA</t>
        </is>
      </c>
      <c r="G310" s="38" t="inlineStr">
        <is>
          <t>MARIO FRUGIS (01.04.01)</t>
        </is>
      </c>
      <c r="H310" s="38" t="inlineStr">
        <is>
          <t>NFV</t>
        </is>
      </c>
      <c r="I310" s="40" t="n">
        <v>7.92</v>
      </c>
      <c r="J310" s="40" t="n">
        <v>0</v>
      </c>
      <c r="K310" s="6">
        <f>I310-J310</f>
        <v/>
      </c>
      <c r="L310" s="6">
        <f>IF(H310="DISTRATO",0,I310)</f>
        <v/>
      </c>
    </row>
    <row r="311">
      <c r="A311" s="38" t="inlineStr">
        <is>
          <t>Conta corrente MFRUGIS06.XLS</t>
        </is>
      </c>
      <c r="B311" s="39" t="n">
        <v>39051</v>
      </c>
      <c r="C311" s="4" t="n">
        <v>39022</v>
      </c>
      <c r="D311" s="5">
        <f>YEAR(C311)</f>
        <v/>
      </c>
      <c r="E311" s="5">
        <f>MONTH(C311)</f>
        <v/>
      </c>
      <c r="F311" s="38" t="inlineStr">
        <is>
          <t>NFV  :TENDA ATACADO LTDA</t>
        </is>
      </c>
      <c r="G311" s="38" t="inlineStr">
        <is>
          <t>MARIO FRUGIS (01.04.01)</t>
        </is>
      </c>
      <c r="H311" s="38" t="inlineStr">
        <is>
          <t>NFV</t>
        </is>
      </c>
      <c r="I311" s="40" t="n">
        <v>15.84</v>
      </c>
      <c r="J311" s="40" t="n">
        <v>0</v>
      </c>
      <c r="K311" s="6">
        <f>I311-J311</f>
        <v/>
      </c>
      <c r="L311" s="6">
        <f>IF(H311="DISTRATO",0,I311)</f>
        <v/>
      </c>
    </row>
    <row r="312">
      <c r="A312" s="38" t="inlineStr">
        <is>
          <t>Conta corrente MFRUGIS06.XLS</t>
        </is>
      </c>
      <c r="B312" s="39" t="n">
        <v>39051</v>
      </c>
      <c r="C312" s="4" t="n">
        <v>39022</v>
      </c>
      <c r="D312" s="5">
        <f>YEAR(C312)</f>
        <v/>
      </c>
      <c r="E312" s="5">
        <f>MONTH(C312)</f>
        <v/>
      </c>
      <c r="F312" s="38" t="inlineStr">
        <is>
          <t>NFV  :TENDA ATACADO LTDA</t>
        </is>
      </c>
      <c r="G312" s="38" t="inlineStr">
        <is>
          <t>MARIO FRUGIS (01.04.01)</t>
        </is>
      </c>
      <c r="H312" s="38" t="inlineStr">
        <is>
          <t>NFV</t>
        </is>
      </c>
      <c r="I312" s="40" t="n">
        <v>18.88</v>
      </c>
      <c r="J312" s="40" t="n">
        <v>0</v>
      </c>
      <c r="K312" s="6">
        <f>I312-J312</f>
        <v/>
      </c>
      <c r="L312" s="6">
        <f>IF(H312="DISTRATO",0,I312)</f>
        <v/>
      </c>
    </row>
    <row r="313">
      <c r="A313" s="38" t="inlineStr">
        <is>
          <t>Conta corrente MFRUGIS06.XLS</t>
        </is>
      </c>
      <c r="B313" s="39" t="n">
        <v>39066</v>
      </c>
      <c r="C313" s="4" t="n">
        <v>39052</v>
      </c>
      <c r="D313" s="5">
        <f>YEAR(C313)</f>
        <v/>
      </c>
      <c r="E313" s="5">
        <f>MONTH(C313)</f>
        <v/>
      </c>
      <c r="F313" s="38" t="inlineStr">
        <is>
          <t>NFV  :TENDA ATACADO LTDA</t>
        </is>
      </c>
      <c r="G313" s="38" t="inlineStr">
        <is>
          <t>MARIO FRUGIS (01.04.01)</t>
        </is>
      </c>
      <c r="H313" s="38" t="inlineStr">
        <is>
          <t>NFV</t>
        </is>
      </c>
      <c r="I313" s="40" t="n">
        <v>5.25</v>
      </c>
      <c r="J313" s="40" t="n">
        <v>0</v>
      </c>
      <c r="K313" s="6">
        <f>I313-J313</f>
        <v/>
      </c>
      <c r="L313" s="6">
        <f>IF(H313="DISTRATO",0,I313)</f>
        <v/>
      </c>
    </row>
    <row r="314">
      <c r="A314" s="38" t="inlineStr">
        <is>
          <t>Conta corrente MFRUGIS06.XLS</t>
        </is>
      </c>
      <c r="B314" s="39" t="n">
        <v>39066</v>
      </c>
      <c r="C314" s="4" t="n">
        <v>39052</v>
      </c>
      <c r="D314" s="5">
        <f>YEAR(C314)</f>
        <v/>
      </c>
      <c r="E314" s="5">
        <f>MONTH(C314)</f>
        <v/>
      </c>
      <c r="F314" s="38" t="inlineStr">
        <is>
          <t>NFV  :TENDA ATACADO LTDA</t>
        </is>
      </c>
      <c r="G314" s="38" t="inlineStr">
        <is>
          <t>MARIO FRUGIS (01.04.01)</t>
        </is>
      </c>
      <c r="H314" s="38" t="inlineStr">
        <is>
          <t>NFV</t>
        </is>
      </c>
      <c r="I314" s="40" t="n">
        <v>10.96</v>
      </c>
      <c r="J314" s="40" t="n">
        <v>0</v>
      </c>
      <c r="K314" s="6">
        <f>I314-J314</f>
        <v/>
      </c>
      <c r="L314" s="6">
        <f>IF(H314="DISTRATO",0,I314)</f>
        <v/>
      </c>
    </row>
    <row r="315">
      <c r="A315" s="38" t="inlineStr">
        <is>
          <t>Conta corrente MFRUGIS06.XLS</t>
        </is>
      </c>
      <c r="B315" s="39" t="n">
        <v>39066</v>
      </c>
      <c r="C315" s="4" t="n">
        <v>39052</v>
      </c>
      <c r="D315" s="5">
        <f>YEAR(C315)</f>
        <v/>
      </c>
      <c r="E315" s="5">
        <f>MONTH(C315)</f>
        <v/>
      </c>
      <c r="F315" s="38" t="inlineStr">
        <is>
          <t>NFV  :TENDA ATACADO LTDA</t>
        </is>
      </c>
      <c r="G315" s="38" t="inlineStr">
        <is>
          <t>MARIO FRUGIS (01.04.01)</t>
        </is>
      </c>
      <c r="H315" s="38" t="inlineStr">
        <is>
          <t>NFV</t>
        </is>
      </c>
      <c r="I315" s="40" t="n">
        <v>22.7</v>
      </c>
      <c r="J315" s="40" t="n">
        <v>0</v>
      </c>
      <c r="K315" s="6">
        <f>I315-J315</f>
        <v/>
      </c>
      <c r="L315" s="6">
        <f>IF(H315="DISTRATO",0,I315)</f>
        <v/>
      </c>
    </row>
    <row r="316">
      <c r="A316" s="38" t="inlineStr">
        <is>
          <t>Conta corrente MFRUGIS06.XLS</t>
        </is>
      </c>
      <c r="B316" s="39" t="n">
        <v>39066</v>
      </c>
      <c r="C316" s="4" t="n">
        <v>39052</v>
      </c>
      <c r="D316" s="5">
        <f>YEAR(C316)</f>
        <v/>
      </c>
      <c r="E316" s="5">
        <f>MONTH(C316)</f>
        <v/>
      </c>
      <c r="F316" s="38" t="inlineStr">
        <is>
          <t>NFV  :TENDA ATACADO LTDA</t>
        </is>
      </c>
      <c r="G316" s="38" t="inlineStr">
        <is>
          <t>MARIO FRUGIS (01.04.01)</t>
        </is>
      </c>
      <c r="H316" s="38" t="inlineStr">
        <is>
          <t>NFV</t>
        </is>
      </c>
      <c r="I316" s="40" t="n">
        <v>32.71</v>
      </c>
      <c r="J316" s="40" t="n">
        <v>0</v>
      </c>
      <c r="K316" s="6">
        <f>I316-J316</f>
        <v/>
      </c>
      <c r="L316" s="6">
        <f>IF(H316="DISTRATO",0,I316)</f>
        <v/>
      </c>
    </row>
    <row r="317">
      <c r="A317" s="38" t="inlineStr">
        <is>
          <t>Conta corrente MFRUGIS06.XLS</t>
        </is>
      </c>
      <c r="B317" s="39" t="n">
        <v>39066</v>
      </c>
      <c r="C317" s="4" t="n">
        <v>39052</v>
      </c>
      <c r="D317" s="5">
        <f>YEAR(C317)</f>
        <v/>
      </c>
      <c r="E317" s="5">
        <f>MONTH(C317)</f>
        <v/>
      </c>
      <c r="F317" s="38" t="inlineStr">
        <is>
          <t>NFV  :TENDA ATACADO LTDA</t>
        </is>
      </c>
      <c r="G317" s="38" t="inlineStr">
        <is>
          <t>MARIO FRUGIS (01.04.01)</t>
        </is>
      </c>
      <c r="H317" s="38" t="inlineStr">
        <is>
          <t>NFV</t>
        </is>
      </c>
      <c r="I317" s="40" t="n">
        <v>26.01</v>
      </c>
      <c r="J317" s="40" t="n">
        <v>0</v>
      </c>
      <c r="K317" s="6">
        <f>I317-J317</f>
        <v/>
      </c>
      <c r="L317" s="6">
        <f>IF(H317="DISTRATO",0,I317)</f>
        <v/>
      </c>
    </row>
    <row r="318">
      <c r="A318" s="38" t="inlineStr">
        <is>
          <t>Conta corrente MFRUGIS06.XLS</t>
        </is>
      </c>
      <c r="B318" s="39" t="n">
        <v>39066</v>
      </c>
      <c r="C318" s="4" t="n">
        <v>39052</v>
      </c>
      <c r="D318" s="5">
        <f>YEAR(C318)</f>
        <v/>
      </c>
      <c r="E318" s="5">
        <f>MONTH(C318)</f>
        <v/>
      </c>
      <c r="F318" s="38" t="inlineStr">
        <is>
          <t>NFV  :TENDA ATACADO LTDA</t>
        </is>
      </c>
      <c r="G318" s="38" t="inlineStr">
        <is>
          <t>MARIO FRUGIS (01.04.01)</t>
        </is>
      </c>
      <c r="H318" s="38" t="inlineStr">
        <is>
          <t>NFV</t>
        </is>
      </c>
      <c r="I318" s="40" t="n">
        <v>26.93</v>
      </c>
      <c r="J318" s="40" t="n">
        <v>0</v>
      </c>
      <c r="K318" s="6">
        <f>I318-J318</f>
        <v/>
      </c>
      <c r="L318" s="6">
        <f>IF(H318="DISTRATO",0,I318)</f>
        <v/>
      </c>
    </row>
    <row r="319">
      <c r="A319" s="38" t="inlineStr">
        <is>
          <t>Conta corrente MFRUGIS06.XLS</t>
        </is>
      </c>
      <c r="B319" s="39" t="n">
        <v>39066</v>
      </c>
      <c r="C319" s="4" t="n">
        <v>39052</v>
      </c>
      <c r="D319" s="5">
        <f>YEAR(C319)</f>
        <v/>
      </c>
      <c r="E319" s="5">
        <f>MONTH(C319)</f>
        <v/>
      </c>
      <c r="F319" s="38" t="inlineStr">
        <is>
          <t>NFV  :TENDA ATACADO LTDA</t>
        </is>
      </c>
      <c r="G319" s="38" t="inlineStr">
        <is>
          <t>MARIO FRUGIS (01.04.01)</t>
        </is>
      </c>
      <c r="H319" s="38" t="inlineStr">
        <is>
          <t>NFV</t>
        </is>
      </c>
      <c r="I319" s="40" t="n">
        <v>23.88</v>
      </c>
      <c r="J319" s="40" t="n">
        <v>0</v>
      </c>
      <c r="K319" s="6">
        <f>I319-J319</f>
        <v/>
      </c>
      <c r="L319" s="6">
        <f>IF(H319="DISTRATO",0,I319)</f>
        <v/>
      </c>
    </row>
    <row r="320">
      <c r="A320" s="38" t="inlineStr">
        <is>
          <t>Conta corrente MFRUGIS06.XLS</t>
        </is>
      </c>
      <c r="B320" s="39" t="n">
        <v>39066</v>
      </c>
      <c r="C320" s="4" t="n">
        <v>39052</v>
      </c>
      <c r="D320" s="5">
        <f>YEAR(C320)</f>
        <v/>
      </c>
      <c r="E320" s="5">
        <f>MONTH(C320)</f>
        <v/>
      </c>
      <c r="F320" s="38" t="inlineStr">
        <is>
          <t>NFV  :TENDA ATACADO LTDA</t>
        </is>
      </c>
      <c r="G320" s="38" t="inlineStr">
        <is>
          <t>MARIO FRUGIS (01.04.01)</t>
        </is>
      </c>
      <c r="H320" s="38" t="inlineStr">
        <is>
          <t>NFV</t>
        </is>
      </c>
      <c r="I320" s="40" t="n">
        <v>23.33</v>
      </c>
      <c r="J320" s="40" t="n">
        <v>0</v>
      </c>
      <c r="K320" s="6">
        <f>I320-J320</f>
        <v/>
      </c>
      <c r="L320" s="6">
        <f>IF(H320="DISTRATO",0,I320)</f>
        <v/>
      </c>
    </row>
    <row r="321">
      <c r="A321" s="38" t="inlineStr">
        <is>
          <t>Conta corrente MFRUGIS06.XLS</t>
        </is>
      </c>
      <c r="B321" s="39" t="n">
        <v>39066</v>
      </c>
      <c r="C321" s="4" t="n">
        <v>39052</v>
      </c>
      <c r="D321" s="5">
        <f>YEAR(C321)</f>
        <v/>
      </c>
      <c r="E321" s="5">
        <f>MONTH(C321)</f>
        <v/>
      </c>
      <c r="F321" s="38" t="inlineStr">
        <is>
          <t>NFV  :TENDA ATACADO LTDA</t>
        </is>
      </c>
      <c r="G321" s="38" t="inlineStr">
        <is>
          <t>MARIO FRUGIS (01.04.01)</t>
        </is>
      </c>
      <c r="H321" s="38" t="inlineStr">
        <is>
          <t>NFV</t>
        </is>
      </c>
      <c r="I321" s="40" t="n">
        <v>23.58</v>
      </c>
      <c r="J321" s="40" t="n">
        <v>0</v>
      </c>
      <c r="K321" s="6">
        <f>I321-J321</f>
        <v/>
      </c>
      <c r="L321" s="6">
        <f>IF(H321="DISTRATO",0,I321)</f>
        <v/>
      </c>
    </row>
    <row r="322">
      <c r="A322" s="38" t="inlineStr">
        <is>
          <t>Conta corrente MFRUGIS06.XLS</t>
        </is>
      </c>
      <c r="B322" s="39" t="n">
        <v>39069</v>
      </c>
      <c r="C322" s="4" t="n">
        <v>39052</v>
      </c>
      <c r="D322" s="5">
        <f>YEAR(C322)</f>
        <v/>
      </c>
      <c r="E322" s="5">
        <f>MONTH(C322)</f>
        <v/>
      </c>
      <c r="F322" s="38" t="inlineStr">
        <is>
          <t>NFV  :TENDA ATACADO LTDA</t>
        </is>
      </c>
      <c r="G322" s="38" t="inlineStr">
        <is>
          <t>MARIO FRUGIS (01.04.01)</t>
        </is>
      </c>
      <c r="H322" s="38" t="inlineStr">
        <is>
          <t>NFV</t>
        </is>
      </c>
      <c r="I322" s="40" t="n">
        <v>105.05</v>
      </c>
      <c r="J322" s="40" t="n">
        <v>0</v>
      </c>
      <c r="K322" s="6">
        <f>I322-J322</f>
        <v/>
      </c>
      <c r="L322" s="6">
        <f>IF(H322="DISTRATO",0,I322)</f>
        <v/>
      </c>
    </row>
    <row r="323">
      <c r="A323" s="38" t="inlineStr">
        <is>
          <t>Conta corrente MFRUGIS06.XLS</t>
        </is>
      </c>
      <c r="B323" s="39" t="n">
        <v>39069</v>
      </c>
      <c r="C323" s="4" t="n">
        <v>39052</v>
      </c>
      <c r="D323" s="5">
        <f>YEAR(C323)</f>
        <v/>
      </c>
      <c r="E323" s="5">
        <f>MONTH(C323)</f>
        <v/>
      </c>
      <c r="F323" s="38" t="inlineStr">
        <is>
          <t>NFV  :TENDA ATACADO LTDA</t>
        </is>
      </c>
      <c r="G323" s="38" t="inlineStr">
        <is>
          <t>MARIO FRUGIS (01.04.01)</t>
        </is>
      </c>
      <c r="H323" s="38" t="inlineStr">
        <is>
          <t>NFV</t>
        </is>
      </c>
      <c r="I323" s="40" t="n">
        <v>79.36</v>
      </c>
      <c r="J323" s="40" t="n">
        <v>0</v>
      </c>
      <c r="K323" s="6">
        <f>I323-J323</f>
        <v/>
      </c>
      <c r="L323" s="6">
        <f>IF(H323="DISTRATO",0,I323)</f>
        <v/>
      </c>
    </row>
    <row r="324">
      <c r="A324" s="38" t="inlineStr">
        <is>
          <t>Conta corrente MFRUGIS06.XLS</t>
        </is>
      </c>
      <c r="B324" s="39" t="n">
        <v>39069</v>
      </c>
      <c r="C324" s="4" t="n">
        <v>39052</v>
      </c>
      <c r="D324" s="5">
        <f>YEAR(C324)</f>
        <v/>
      </c>
      <c r="E324" s="5">
        <f>MONTH(C324)</f>
        <v/>
      </c>
      <c r="F324" s="38" t="inlineStr">
        <is>
          <t>NFV  :TENDA ATACADO LTDA</t>
        </is>
      </c>
      <c r="G324" s="38" t="inlineStr">
        <is>
          <t>MARIO FRUGIS (01.04.01)</t>
        </is>
      </c>
      <c r="H324" s="38" t="inlineStr">
        <is>
          <t>NFV</t>
        </is>
      </c>
      <c r="I324" s="40" t="n">
        <v>103.35</v>
      </c>
      <c r="J324" s="40" t="n">
        <v>0</v>
      </c>
      <c r="K324" s="6">
        <f>I324-J324</f>
        <v/>
      </c>
      <c r="L324" s="6">
        <f>IF(H324="DISTRATO",0,I324)</f>
        <v/>
      </c>
    </row>
    <row r="325">
      <c r="A325" s="38" t="inlineStr">
        <is>
          <t>Conta corrente MFRUGIS06.XLS</t>
        </is>
      </c>
      <c r="B325" s="39" t="n">
        <v>39069</v>
      </c>
      <c r="C325" s="4" t="n">
        <v>39052</v>
      </c>
      <c r="D325" s="5">
        <f>YEAR(C325)</f>
        <v/>
      </c>
      <c r="E325" s="5">
        <f>MONTH(C325)</f>
        <v/>
      </c>
      <c r="F325" s="38" t="inlineStr">
        <is>
          <t>NFV  :TENDA ATACADO LTDA</t>
        </is>
      </c>
      <c r="G325" s="38" t="inlineStr">
        <is>
          <t>MARIO FRUGIS (01.04.01)</t>
        </is>
      </c>
      <c r="H325" s="38" t="inlineStr">
        <is>
          <t>NFV</t>
        </is>
      </c>
      <c r="I325" s="40" t="n">
        <v>42.67</v>
      </c>
      <c r="J325" s="40" t="n">
        <v>0</v>
      </c>
      <c r="K325" s="6">
        <f>I325-J325</f>
        <v/>
      </c>
      <c r="L325" s="6">
        <f>IF(H325="DISTRATO",0,I325)</f>
        <v/>
      </c>
    </row>
    <row r="326">
      <c r="A326" s="38" t="inlineStr">
        <is>
          <t>Conta corrente MFRUGIS06.XLS</t>
        </is>
      </c>
      <c r="B326" s="39" t="n">
        <v>39069</v>
      </c>
      <c r="C326" s="4" t="n">
        <v>39052</v>
      </c>
      <c r="D326" s="5">
        <f>YEAR(C326)</f>
        <v/>
      </c>
      <c r="E326" s="5">
        <f>MONTH(C326)</f>
        <v/>
      </c>
      <c r="F326" s="38" t="inlineStr">
        <is>
          <t>NFV  :TENDA ATACADO LTDA</t>
        </is>
      </c>
      <c r="G326" s="38" t="inlineStr">
        <is>
          <t>MARIO FRUGIS (01.04.01)</t>
        </is>
      </c>
      <c r="H326" s="38" t="inlineStr">
        <is>
          <t>NFV</t>
        </is>
      </c>
      <c r="I326" s="40" t="n">
        <v>90.33</v>
      </c>
      <c r="J326" s="40" t="n">
        <v>0</v>
      </c>
      <c r="K326" s="6">
        <f>I326-J326</f>
        <v/>
      </c>
      <c r="L326" s="6">
        <f>IF(H326="DISTRATO",0,I326)</f>
        <v/>
      </c>
    </row>
    <row r="327">
      <c r="A327" s="38" t="inlineStr">
        <is>
          <t>Conta corrente MFRUGIS06.XLS</t>
        </is>
      </c>
      <c r="B327" s="39" t="n">
        <v>39069</v>
      </c>
      <c r="C327" s="4" t="n">
        <v>39052</v>
      </c>
      <c r="D327" s="5">
        <f>YEAR(C327)</f>
        <v/>
      </c>
      <c r="E327" s="5">
        <f>MONTH(C327)</f>
        <v/>
      </c>
      <c r="F327" s="38" t="inlineStr">
        <is>
          <t>NFV  :TENDA ATACADO LTDA</t>
        </is>
      </c>
      <c r="G327" s="38" t="inlineStr">
        <is>
          <t>MARIO FRUGIS (01.04.01)</t>
        </is>
      </c>
      <c r="H327" s="38" t="inlineStr">
        <is>
          <t>NFV</t>
        </is>
      </c>
      <c r="I327" s="40" t="n">
        <v>33.69</v>
      </c>
      <c r="J327" s="40" t="n">
        <v>0</v>
      </c>
      <c r="K327" s="6">
        <f>I327-J327</f>
        <v/>
      </c>
      <c r="L327" s="6">
        <f>IF(H327="DISTRATO",0,I327)</f>
        <v/>
      </c>
    </row>
    <row r="328">
      <c r="A328" s="38" t="inlineStr">
        <is>
          <t>Conta corrente MFRUGIS06.XLS</t>
        </is>
      </c>
      <c r="B328" s="39" t="n">
        <v>39070</v>
      </c>
      <c r="C328" s="4" t="n">
        <v>39052</v>
      </c>
      <c r="D328" s="5">
        <f>YEAR(C328)</f>
        <v/>
      </c>
      <c r="E328" s="5">
        <f>MONTH(C328)</f>
        <v/>
      </c>
      <c r="F328" s="38" t="inlineStr">
        <is>
          <t>37247 BONIF:TENDA ATACADO LTDA</t>
        </is>
      </c>
      <c r="G328" s="38" t="inlineStr">
        <is>
          <t>MARIO FRUGIS (01.04.01)</t>
        </is>
      </c>
      <c r="H328" s="38" t="inlineStr">
        <is>
          <t>BONIFICACAO</t>
        </is>
      </c>
      <c r="I328" s="40" t="n">
        <v>-22.18</v>
      </c>
      <c r="J328" s="40" t="n">
        <v>0</v>
      </c>
      <c r="K328" s="6">
        <f>I328-J328</f>
        <v/>
      </c>
      <c r="L328" s="6">
        <f>IF(H328="DISTRATO",0,I328)</f>
        <v/>
      </c>
    </row>
    <row r="329">
      <c r="A329" s="38" t="inlineStr">
        <is>
          <t>Conta corrente MFRUGIS06.XLS</t>
        </is>
      </c>
      <c r="B329" s="39" t="n">
        <v>39070</v>
      </c>
      <c r="C329" s="4" t="n">
        <v>39052</v>
      </c>
      <c r="D329" s="5">
        <f>YEAR(C329)</f>
        <v/>
      </c>
      <c r="E329" s="5">
        <f>MONTH(C329)</f>
        <v/>
      </c>
      <c r="F329" s="38" t="inlineStr">
        <is>
          <t>BONIF:TENDA ATACADO LTDA</t>
        </is>
      </c>
      <c r="G329" s="38" t="inlineStr">
        <is>
          <t>MARIO FRUGIS (01.04.01)</t>
        </is>
      </c>
      <c r="H329" s="38" t="inlineStr">
        <is>
          <t>BONIFICACAO</t>
        </is>
      </c>
      <c r="I329" s="40" t="n">
        <v>-22.4</v>
      </c>
      <c r="J329" s="40" t="n">
        <v>0</v>
      </c>
      <c r="K329" s="6">
        <f>I329-J329</f>
        <v/>
      </c>
      <c r="L329" s="6">
        <f>IF(H329="DISTRATO",0,I329)</f>
        <v/>
      </c>
    </row>
    <row r="330">
      <c r="A330" s="38" t="inlineStr">
        <is>
          <t>Conta corrente MFRUGIS06.XLS</t>
        </is>
      </c>
      <c r="B330" s="39" t="n">
        <v>39070</v>
      </c>
      <c r="C330" s="4" t="n">
        <v>39052</v>
      </c>
      <c r="D330" s="5">
        <f>YEAR(C330)</f>
        <v/>
      </c>
      <c r="E330" s="5">
        <f>MONTH(C330)</f>
        <v/>
      </c>
      <c r="F330" s="38" t="inlineStr">
        <is>
          <t>BONIF:TENDA ATACADO LTDA</t>
        </is>
      </c>
      <c r="G330" s="38" t="inlineStr">
        <is>
          <t>MARIO FRUGIS (01.04.01)</t>
        </is>
      </c>
      <c r="H330" s="38" t="inlineStr">
        <is>
          <t>BONIFICACAO</t>
        </is>
      </c>
      <c r="I330" s="40" t="n">
        <v>-22.4</v>
      </c>
      <c r="J330" s="40" t="n">
        <v>0</v>
      </c>
      <c r="K330" s="6">
        <f>I330-J330</f>
        <v/>
      </c>
      <c r="L330" s="6">
        <f>IF(H330="DISTRATO",0,I330)</f>
        <v/>
      </c>
    </row>
    <row r="331">
      <c r="A331" s="38" t="inlineStr">
        <is>
          <t>Conta corrente MFRUGIS06.XLS</t>
        </is>
      </c>
      <c r="B331" s="39" t="n">
        <v>39071</v>
      </c>
      <c r="C331" s="4" t="n">
        <v>39052</v>
      </c>
      <c r="D331" s="5">
        <f>YEAR(C331)</f>
        <v/>
      </c>
      <c r="E331" s="5">
        <f>MONTH(C331)</f>
        <v/>
      </c>
      <c r="F331" s="38" t="inlineStr">
        <is>
          <t>NFV  :TENDA ATACADO LTDA</t>
        </is>
      </c>
      <c r="G331" s="38" t="inlineStr">
        <is>
          <t>MARIO FRUGIS (01.04.01)</t>
        </is>
      </c>
      <c r="H331" s="38" t="inlineStr">
        <is>
          <t>NFV</t>
        </is>
      </c>
      <c r="I331" s="40" t="n">
        <v>24.53</v>
      </c>
      <c r="J331" s="40" t="n">
        <v>0</v>
      </c>
      <c r="K331" s="6">
        <f>I331-J331</f>
        <v/>
      </c>
      <c r="L331" s="6">
        <f>IF(H331="DISTRATO",0,I331)</f>
        <v/>
      </c>
    </row>
    <row r="332">
      <c r="A332" s="38" t="inlineStr">
        <is>
          <t>Conta corrente MFRUGIS06.XLS</t>
        </is>
      </c>
      <c r="B332" s="39" t="n">
        <v>39072</v>
      </c>
      <c r="C332" s="4" t="n">
        <v>39052</v>
      </c>
      <c r="D332" s="5">
        <f>YEAR(C332)</f>
        <v/>
      </c>
      <c r="E332" s="5">
        <f>MONTH(C332)</f>
        <v/>
      </c>
      <c r="F332" s="38" t="inlineStr">
        <is>
          <t>NFV  :TENDA ATACADO LTDA</t>
        </is>
      </c>
      <c r="G332" s="38" t="inlineStr">
        <is>
          <t>MARIO FRUGIS (01.04.01)</t>
        </is>
      </c>
      <c r="H332" s="38" t="inlineStr">
        <is>
          <t>NFV</t>
        </is>
      </c>
      <c r="I332" s="40" t="n">
        <v>137.34</v>
      </c>
      <c r="J332" s="40" t="n">
        <v>0</v>
      </c>
      <c r="K332" s="6">
        <f>I332-J332</f>
        <v/>
      </c>
      <c r="L332" s="6">
        <f>IF(H332="DISTRATO",0,I332)</f>
        <v/>
      </c>
    </row>
    <row r="333">
      <c r="A333" s="38" t="inlineStr">
        <is>
          <t>Conta corrente MFRUGIS06.XLS</t>
        </is>
      </c>
      <c r="B333" s="39" t="n">
        <v>39072</v>
      </c>
      <c r="C333" s="4" t="n">
        <v>39052</v>
      </c>
      <c r="D333" s="5">
        <f>YEAR(C333)</f>
        <v/>
      </c>
      <c r="E333" s="5">
        <f>MONTH(C333)</f>
        <v/>
      </c>
      <c r="F333" s="38" t="inlineStr">
        <is>
          <t>NFV  :TENDA ATACADO LTDA</t>
        </is>
      </c>
      <c r="G333" s="38" t="inlineStr">
        <is>
          <t>MARIO FRUGIS (01.04.01)</t>
        </is>
      </c>
      <c r="H333" s="38" t="inlineStr">
        <is>
          <t>NFV</t>
        </is>
      </c>
      <c r="I333" s="40" t="n">
        <v>119.6</v>
      </c>
      <c r="J333" s="40" t="n">
        <v>0</v>
      </c>
      <c r="K333" s="6">
        <f>I333-J333</f>
        <v/>
      </c>
      <c r="L333" s="6">
        <f>IF(H333="DISTRATO",0,I333)</f>
        <v/>
      </c>
    </row>
    <row r="334">
      <c r="A334" s="38" t="inlineStr">
        <is>
          <t>Conta corrente MFRUGIS06.XLS</t>
        </is>
      </c>
      <c r="B334" s="39" t="n">
        <v>39072</v>
      </c>
      <c r="C334" s="4" t="n">
        <v>39052</v>
      </c>
      <c r="D334" s="5">
        <f>YEAR(C334)</f>
        <v/>
      </c>
      <c r="E334" s="5">
        <f>MONTH(C334)</f>
        <v/>
      </c>
      <c r="F334" s="38" t="inlineStr">
        <is>
          <t>NFV  :TENDA ATACADO LTDA</t>
        </is>
      </c>
      <c r="G334" s="38" t="inlineStr">
        <is>
          <t>MARIO FRUGIS (01.04.01)</t>
        </is>
      </c>
      <c r="H334" s="38" t="inlineStr">
        <is>
          <t>NFV</t>
        </is>
      </c>
      <c r="I334" s="40" t="n">
        <v>71.56999999999999</v>
      </c>
      <c r="J334" s="40" t="n">
        <v>0</v>
      </c>
      <c r="K334" s="6">
        <f>I334-J334</f>
        <v/>
      </c>
      <c r="L334" s="6">
        <f>IF(H334="DISTRATO",0,I334)</f>
        <v/>
      </c>
    </row>
    <row r="335">
      <c r="A335" s="38" t="inlineStr">
        <is>
          <t>Conta corrente MFRUGIS06.XLS</t>
        </is>
      </c>
      <c r="B335" s="39" t="n">
        <v>39073</v>
      </c>
      <c r="C335" s="4" t="n">
        <v>39052</v>
      </c>
      <c r="D335" s="5">
        <f>YEAR(C335)</f>
        <v/>
      </c>
      <c r="E335" s="5">
        <f>MONTH(C335)</f>
        <v/>
      </c>
      <c r="F335" s="38" t="inlineStr">
        <is>
          <t>DEV  :TENDA ATACADO LTDA</t>
        </is>
      </c>
      <c r="G335" s="38" t="inlineStr">
        <is>
          <t>MARIO FRUGIS (01.04.01)</t>
        </is>
      </c>
      <c r="H335" s="38" t="inlineStr">
        <is>
          <t>DEVOLUCAO</t>
        </is>
      </c>
      <c r="I335" s="40" t="n">
        <v>-0.28</v>
      </c>
      <c r="J335" s="40" t="n">
        <v>0</v>
      </c>
      <c r="K335" s="6">
        <f>I335-J335</f>
        <v/>
      </c>
      <c r="L335" s="6">
        <f>IF(H335="DISTRATO",0,I335)</f>
        <v/>
      </c>
    </row>
    <row r="336">
      <c r="A336" s="38" t="inlineStr">
        <is>
          <t>Conta corrente MFRUGIS06.XLS</t>
        </is>
      </c>
      <c r="B336" s="39" t="n">
        <v>39078</v>
      </c>
      <c r="C336" s="4" t="n">
        <v>39052</v>
      </c>
      <c r="D336" s="5">
        <f>YEAR(C336)</f>
        <v/>
      </c>
      <c r="E336" s="5">
        <f>MONTH(C336)</f>
        <v/>
      </c>
      <c r="F336" s="38" t="inlineStr">
        <is>
          <t>NFV  :TENDA ATACADO LTDA</t>
        </is>
      </c>
      <c r="G336" s="38" t="inlineStr">
        <is>
          <t>MARIO FRUGIS (01.04.01)</t>
        </is>
      </c>
      <c r="H336" s="38" t="inlineStr">
        <is>
          <t>NFV</t>
        </is>
      </c>
      <c r="I336" s="40" t="n">
        <v>103.35</v>
      </c>
      <c r="J336" s="40" t="n">
        <v>0</v>
      </c>
      <c r="K336" s="6">
        <f>I336-J336</f>
        <v/>
      </c>
      <c r="L336" s="6">
        <f>IF(H336="DISTRATO",0,I336)</f>
        <v/>
      </c>
    </row>
    <row r="337">
      <c r="A337" s="38" t="inlineStr">
        <is>
          <t>Conta corrente MFRUGIS08.XLS</t>
        </is>
      </c>
      <c r="B337" s="39" t="n">
        <v>39451</v>
      </c>
      <c r="C337" s="4" t="n">
        <v>39448</v>
      </c>
      <c r="D337" s="5">
        <f>YEAR(C337)</f>
        <v/>
      </c>
      <c r="E337" s="5">
        <f>MONTH(C337)</f>
        <v/>
      </c>
      <c r="F337" s="38" t="inlineStr">
        <is>
          <t>DEV  :TENDA ATACADO LTDA</t>
        </is>
      </c>
      <c r="G337" s="38" t="inlineStr">
        <is>
          <t>MARIO FRUGIS (01.04.01)</t>
        </is>
      </c>
      <c r="H337" s="38" t="inlineStr">
        <is>
          <t>DEVOLUCAO</t>
        </is>
      </c>
      <c r="I337" s="40" t="n">
        <v>-2.79</v>
      </c>
      <c r="J337" s="40" t="n">
        <v>0</v>
      </c>
      <c r="K337" s="6">
        <f>I337-J337</f>
        <v/>
      </c>
      <c r="L337" s="6">
        <f>IF(H337="DISTRATO",0,I337)</f>
        <v/>
      </c>
    </row>
    <row r="338">
      <c r="A338" s="38" t="inlineStr">
        <is>
          <t>Conta corrente MFRUGIS08.XLS</t>
        </is>
      </c>
      <c r="B338" s="39" t="n">
        <v>39457</v>
      </c>
      <c r="C338" s="4" t="n">
        <v>39448</v>
      </c>
      <c r="D338" s="5">
        <f>YEAR(C338)</f>
        <v/>
      </c>
      <c r="E338" s="5">
        <f>MONTH(C338)</f>
        <v/>
      </c>
      <c r="F338" s="38" t="inlineStr">
        <is>
          <t>NFV  :TENDA ATACADO LTDA</t>
        </is>
      </c>
      <c r="G338" s="38" t="inlineStr">
        <is>
          <t>MARIO FRUGIS (01.04.01)</t>
        </is>
      </c>
      <c r="H338" s="38" t="inlineStr">
        <is>
          <t>NFV</t>
        </is>
      </c>
      <c r="I338" s="40" t="n">
        <v>131.35</v>
      </c>
      <c r="J338" s="40" t="n">
        <v>0</v>
      </c>
      <c r="K338" s="6">
        <f>I338-J338</f>
        <v/>
      </c>
      <c r="L338" s="6">
        <f>IF(H338="DISTRATO",0,I338)</f>
        <v/>
      </c>
    </row>
    <row r="339">
      <c r="A339" s="38" t="inlineStr">
        <is>
          <t>Conta corrente MFRUGIS08.XLS</t>
        </is>
      </c>
      <c r="B339" s="39" t="n">
        <v>39457</v>
      </c>
      <c r="C339" s="4" t="n">
        <v>39448</v>
      </c>
      <c r="D339" s="5">
        <f>YEAR(C339)</f>
        <v/>
      </c>
      <c r="E339" s="5">
        <f>MONTH(C339)</f>
        <v/>
      </c>
      <c r="F339" s="38" t="inlineStr">
        <is>
          <t>NFV  :TENDA ATACADO LTDA</t>
        </is>
      </c>
      <c r="G339" s="38" t="inlineStr">
        <is>
          <t>MARIO FRUGIS (01.04.01)</t>
        </is>
      </c>
      <c r="H339" s="38" t="inlineStr">
        <is>
          <t>NFV</t>
        </is>
      </c>
      <c r="I339" s="40" t="n">
        <v>70.77</v>
      </c>
      <c r="J339" s="40" t="n">
        <v>0</v>
      </c>
      <c r="K339" s="6">
        <f>I339-J339</f>
        <v/>
      </c>
      <c r="L339" s="6">
        <f>IF(H339="DISTRATO",0,I339)</f>
        <v/>
      </c>
    </row>
    <row r="340">
      <c r="A340" s="38" t="inlineStr">
        <is>
          <t>Conta corrente MFRUGIS08.XLS</t>
        </is>
      </c>
      <c r="B340" s="39" t="n">
        <v>39457</v>
      </c>
      <c r="C340" s="4" t="n">
        <v>39448</v>
      </c>
      <c r="D340" s="5">
        <f>YEAR(C340)</f>
        <v/>
      </c>
      <c r="E340" s="5">
        <f>MONTH(C340)</f>
        <v/>
      </c>
      <c r="F340" s="38" t="inlineStr">
        <is>
          <t>NFV  :TENDA ATACADO LTDA</t>
        </is>
      </c>
      <c r="G340" s="38" t="inlineStr">
        <is>
          <t>MARIO FRUGIS (01.04.01)</t>
        </is>
      </c>
      <c r="H340" s="38" t="inlineStr">
        <is>
          <t>NFV</t>
        </is>
      </c>
      <c r="I340" s="40" t="n">
        <v>35.59</v>
      </c>
      <c r="J340" s="40" t="n">
        <v>0</v>
      </c>
      <c r="K340" s="6">
        <f>I340-J340</f>
        <v/>
      </c>
      <c r="L340" s="6">
        <f>IF(H340="DISTRATO",0,I340)</f>
        <v/>
      </c>
    </row>
    <row r="341">
      <c r="A341" s="38" t="inlineStr">
        <is>
          <t>Conta corrente MFRUGIS08.XLS</t>
        </is>
      </c>
      <c r="B341" s="39" t="n">
        <v>39457</v>
      </c>
      <c r="C341" s="4" t="n">
        <v>39448</v>
      </c>
      <c r="D341" s="5">
        <f>YEAR(C341)</f>
        <v/>
      </c>
      <c r="E341" s="5">
        <f>MONTH(C341)</f>
        <v/>
      </c>
      <c r="F341" s="38" t="inlineStr">
        <is>
          <t>NFV  :TENDA ATACADO LTDA</t>
        </is>
      </c>
      <c r="G341" s="38" t="inlineStr">
        <is>
          <t>MARIO FRUGIS (01.04.01)</t>
        </is>
      </c>
      <c r="H341" s="38" t="inlineStr">
        <is>
          <t>NFV</t>
        </is>
      </c>
      <c r="I341" s="40" t="n">
        <v>58.81</v>
      </c>
      <c r="J341" s="40" t="n">
        <v>0</v>
      </c>
      <c r="K341" s="6">
        <f>I341-J341</f>
        <v/>
      </c>
      <c r="L341" s="6">
        <f>IF(H341="DISTRATO",0,I341)</f>
        <v/>
      </c>
    </row>
    <row r="342">
      <c r="A342" s="38" t="inlineStr">
        <is>
          <t>Conta corrente MFRUGIS08.XLS</t>
        </is>
      </c>
      <c r="B342" s="39" t="n">
        <v>39457</v>
      </c>
      <c r="C342" s="4" t="n">
        <v>39448</v>
      </c>
      <c r="D342" s="5">
        <f>YEAR(C342)</f>
        <v/>
      </c>
      <c r="E342" s="5">
        <f>MONTH(C342)</f>
        <v/>
      </c>
      <c r="F342" s="38" t="inlineStr">
        <is>
          <t>NFV  :TENDA ATACADO LTDA</t>
        </is>
      </c>
      <c r="G342" s="38" t="inlineStr">
        <is>
          <t>MARIO FRUGIS (01.04.01)</t>
        </is>
      </c>
      <c r="H342" s="38" t="inlineStr">
        <is>
          <t>NFV</t>
        </is>
      </c>
      <c r="I342" s="40" t="n">
        <v>39.7</v>
      </c>
      <c r="J342" s="40" t="n">
        <v>0</v>
      </c>
      <c r="K342" s="6">
        <f>I342-J342</f>
        <v/>
      </c>
      <c r="L342" s="6">
        <f>IF(H342="DISTRATO",0,I342)</f>
        <v/>
      </c>
    </row>
    <row r="343">
      <c r="A343" s="38" t="inlineStr">
        <is>
          <t>Conta corrente MFRUGIS08.XLS</t>
        </is>
      </c>
      <c r="B343" s="39" t="n">
        <v>39457</v>
      </c>
      <c r="C343" s="4" t="n">
        <v>39448</v>
      </c>
      <c r="D343" s="5">
        <f>YEAR(C343)</f>
        <v/>
      </c>
      <c r="E343" s="5">
        <f>MONTH(C343)</f>
        <v/>
      </c>
      <c r="F343" s="38" t="inlineStr">
        <is>
          <t>NFV  :TENDA ATACADO LTDA</t>
        </is>
      </c>
      <c r="G343" s="38" t="inlineStr">
        <is>
          <t>MARIO FRUGIS (01.04.01)</t>
        </is>
      </c>
      <c r="H343" s="38" t="inlineStr">
        <is>
          <t>NFV</t>
        </is>
      </c>
      <c r="I343" s="40" t="n">
        <v>94.48999999999999</v>
      </c>
      <c r="J343" s="40" t="n">
        <v>0</v>
      </c>
      <c r="K343" s="6">
        <f>I343-J343</f>
        <v/>
      </c>
      <c r="L343" s="6">
        <f>IF(H343="DISTRATO",0,I343)</f>
        <v/>
      </c>
    </row>
    <row r="344">
      <c r="A344" s="38" t="inlineStr">
        <is>
          <t>Conta corrente MFRUGIS08.XLS</t>
        </is>
      </c>
      <c r="B344" s="39" t="n">
        <v>39457</v>
      </c>
      <c r="C344" s="4" t="n">
        <v>39448</v>
      </c>
      <c r="D344" s="5">
        <f>YEAR(C344)</f>
        <v/>
      </c>
      <c r="E344" s="5">
        <f>MONTH(C344)</f>
        <v/>
      </c>
      <c r="F344" s="38" t="inlineStr">
        <is>
          <t>NFV  :TENDA ATACADO LTDA</t>
        </is>
      </c>
      <c r="G344" s="38" t="inlineStr">
        <is>
          <t>MARIO FRUGIS (01.04.01)</t>
        </is>
      </c>
      <c r="H344" s="38" t="inlineStr">
        <is>
          <t>NFV</t>
        </is>
      </c>
      <c r="I344" s="40" t="n">
        <v>96.93000000000001</v>
      </c>
      <c r="J344" s="40" t="n">
        <v>0</v>
      </c>
      <c r="K344" s="6">
        <f>I344-J344</f>
        <v/>
      </c>
      <c r="L344" s="6">
        <f>IF(H344="DISTRATO",0,I344)</f>
        <v/>
      </c>
    </row>
    <row r="345">
      <c r="A345" s="38" t="inlineStr">
        <is>
          <t>Conta corrente MFRUGIS08.XLS</t>
        </is>
      </c>
      <c r="B345" s="39" t="n">
        <v>39457</v>
      </c>
      <c r="C345" s="4" t="n">
        <v>39448</v>
      </c>
      <c r="D345" s="5">
        <f>YEAR(C345)</f>
        <v/>
      </c>
      <c r="E345" s="5">
        <f>MONTH(C345)</f>
        <v/>
      </c>
      <c r="F345" s="38" t="inlineStr">
        <is>
          <t>NFV  :TENDA ATACADO LTDA</t>
        </is>
      </c>
      <c r="G345" s="38" t="inlineStr">
        <is>
          <t>MARIO FRUGIS (01.04.01)</t>
        </is>
      </c>
      <c r="H345" s="38" t="inlineStr">
        <is>
          <t>NFV</t>
        </is>
      </c>
      <c r="I345" s="40" t="n">
        <v>46.44</v>
      </c>
      <c r="J345" s="40" t="n">
        <v>0</v>
      </c>
      <c r="K345" s="6">
        <f>I345-J345</f>
        <v/>
      </c>
      <c r="L345" s="6">
        <f>IF(H345="DISTRATO",0,I345)</f>
        <v/>
      </c>
    </row>
    <row r="346">
      <c r="A346" s="38" t="inlineStr">
        <is>
          <t>Conta corrente MFRUGIS08.XLS</t>
        </is>
      </c>
      <c r="B346" s="39" t="n">
        <v>39458</v>
      </c>
      <c r="C346" s="4" t="n">
        <v>39448</v>
      </c>
      <c r="D346" s="5">
        <f>YEAR(C346)</f>
        <v/>
      </c>
      <c r="E346" s="5">
        <f>MONTH(C346)</f>
        <v/>
      </c>
      <c r="F346" s="38" t="inlineStr">
        <is>
          <t>NFV  :TENDA ATACADO LTDA</t>
        </is>
      </c>
      <c r="G346" s="38" t="inlineStr">
        <is>
          <t>MARIO FRUGIS (01.04.01)</t>
        </is>
      </c>
      <c r="H346" s="38" t="inlineStr">
        <is>
          <t>NFV</t>
        </is>
      </c>
      <c r="I346" s="40" t="n">
        <v>71.13</v>
      </c>
      <c r="J346" s="40" t="n">
        <v>0</v>
      </c>
      <c r="K346" s="6">
        <f>I346-J346</f>
        <v/>
      </c>
      <c r="L346" s="6">
        <f>IF(H346="DISTRATO",0,I346)</f>
        <v/>
      </c>
    </row>
    <row r="347">
      <c r="A347" s="38" t="inlineStr">
        <is>
          <t>Conta corrente MFRUGIS08.XLS</t>
        </is>
      </c>
      <c r="B347" s="39" t="n">
        <v>39464</v>
      </c>
      <c r="C347" s="4" t="n">
        <v>39448</v>
      </c>
      <c r="D347" s="5">
        <f>YEAR(C347)</f>
        <v/>
      </c>
      <c r="E347" s="5">
        <f>MONTH(C347)</f>
        <v/>
      </c>
      <c r="F347" s="38" t="inlineStr">
        <is>
          <t>DEV  :TENDA ATACADO LTDA</t>
        </is>
      </c>
      <c r="G347" s="38" t="inlineStr">
        <is>
          <t>MARIO FRUGIS (01.04.01)</t>
        </is>
      </c>
      <c r="H347" s="38" t="inlineStr">
        <is>
          <t>DEVOLUCAO</t>
        </is>
      </c>
      <c r="I347" s="40" t="n">
        <v>-1.84</v>
      </c>
      <c r="J347" s="40" t="n">
        <v>0</v>
      </c>
      <c r="K347" s="6">
        <f>I347-J347</f>
        <v/>
      </c>
      <c r="L347" s="6">
        <f>IF(H347="DISTRATO",0,I347)</f>
        <v/>
      </c>
    </row>
    <row r="348">
      <c r="A348" s="38" t="inlineStr">
        <is>
          <t>Conta corrente MFRUGIS08.XLS</t>
        </is>
      </c>
      <c r="B348" s="39" t="n">
        <v>39464</v>
      </c>
      <c r="C348" s="4" t="n">
        <v>39448</v>
      </c>
      <c r="D348" s="5">
        <f>YEAR(C348)</f>
        <v/>
      </c>
      <c r="E348" s="5">
        <f>MONTH(C348)</f>
        <v/>
      </c>
      <c r="F348" s="38" t="inlineStr">
        <is>
          <t>DEV  :TENDA ATACADO LTDA</t>
        </is>
      </c>
      <c r="G348" s="38" t="inlineStr">
        <is>
          <t>MARIO FRUGIS (01.04.01)</t>
        </is>
      </c>
      <c r="H348" s="38" t="inlineStr">
        <is>
          <t>DEVOLUCAO</t>
        </is>
      </c>
      <c r="I348" s="40" t="n">
        <v>-0.46</v>
      </c>
      <c r="J348" s="40" t="n">
        <v>0</v>
      </c>
      <c r="K348" s="6">
        <f>I348-J348</f>
        <v/>
      </c>
      <c r="L348" s="6">
        <f>IF(H348="DISTRATO",0,I348)</f>
        <v/>
      </c>
    </row>
    <row r="349">
      <c r="A349" s="38" t="inlineStr">
        <is>
          <t>Conta corrente MFRUGIS08.XLS</t>
        </is>
      </c>
      <c r="B349" s="39" t="n">
        <v>39464</v>
      </c>
      <c r="C349" s="4" t="n">
        <v>39448</v>
      </c>
      <c r="D349" s="5">
        <f>YEAR(C349)</f>
        <v/>
      </c>
      <c r="E349" s="5">
        <f>MONTH(C349)</f>
        <v/>
      </c>
      <c r="F349" s="38" t="inlineStr">
        <is>
          <t>DEV  :TENDA ATACADO LTDA</t>
        </is>
      </c>
      <c r="G349" s="38" t="inlineStr">
        <is>
          <t>MARIO FRUGIS (01.04.01)</t>
        </is>
      </c>
      <c r="H349" s="38" t="inlineStr">
        <is>
          <t>DEVOLUCAO</t>
        </is>
      </c>
      <c r="I349" s="40" t="n">
        <v>-27.84</v>
      </c>
      <c r="J349" s="40" t="n">
        <v>0</v>
      </c>
      <c r="K349" s="6">
        <f>I349-J349</f>
        <v/>
      </c>
      <c r="L349" s="6">
        <f>IF(H349="DISTRATO",0,I349)</f>
        <v/>
      </c>
    </row>
    <row r="350">
      <c r="A350" s="38" t="inlineStr">
        <is>
          <t>Conta corrente MFRUGIS08.XLS</t>
        </is>
      </c>
      <c r="B350" s="39" t="n">
        <v>39475</v>
      </c>
      <c r="C350" s="4" t="n">
        <v>39448</v>
      </c>
      <c r="D350" s="5">
        <f>YEAR(C350)</f>
        <v/>
      </c>
      <c r="E350" s="5">
        <f>MONTH(C350)</f>
        <v/>
      </c>
      <c r="F350" s="38" t="inlineStr">
        <is>
          <t>49204 BONIF:TENDA ATACADO LTDA</t>
        </is>
      </c>
      <c r="G350" s="38" t="inlineStr">
        <is>
          <t>MARIO FRUGIS (01.04.01)</t>
        </is>
      </c>
      <c r="H350" s="38" t="inlineStr">
        <is>
          <t>BONIFICACAO</t>
        </is>
      </c>
      <c r="I350" s="40" t="n">
        <v>-54.84</v>
      </c>
      <c r="J350" s="40" t="n">
        <v>0</v>
      </c>
      <c r="K350" s="6">
        <f>I350-J350</f>
        <v/>
      </c>
      <c r="L350" s="6">
        <f>IF(H350="DISTRATO",0,I350)</f>
        <v/>
      </c>
    </row>
    <row r="351">
      <c r="A351" s="38" t="inlineStr">
        <is>
          <t>Conta corrente MFRUGIS08.XLS</t>
        </is>
      </c>
      <c r="B351" s="39" t="n">
        <v>39475</v>
      </c>
      <c r="C351" s="4" t="n">
        <v>39448</v>
      </c>
      <c r="D351" s="5">
        <f>YEAR(C351)</f>
        <v/>
      </c>
      <c r="E351" s="5">
        <f>MONTH(C351)</f>
        <v/>
      </c>
      <c r="F351" s="38" t="inlineStr">
        <is>
          <t>NFV  :TENDA ATACADO LTDA</t>
        </is>
      </c>
      <c r="G351" s="38" t="inlineStr">
        <is>
          <t>MARIO FRUGIS (01.04.01)</t>
        </is>
      </c>
      <c r="H351" s="38" t="inlineStr">
        <is>
          <t>NFV</t>
        </is>
      </c>
      <c r="I351" s="40" t="n">
        <v>29.58</v>
      </c>
      <c r="J351" s="40" t="n">
        <v>0</v>
      </c>
      <c r="K351" s="6">
        <f>I351-J351</f>
        <v/>
      </c>
      <c r="L351" s="6">
        <f>IF(H351="DISTRATO",0,I351)</f>
        <v/>
      </c>
    </row>
    <row r="352">
      <c r="A352" s="38" t="inlineStr">
        <is>
          <t>Conta corrente MFRUGIS08.XLS</t>
        </is>
      </c>
      <c r="B352" s="39" t="n">
        <v>39475</v>
      </c>
      <c r="C352" s="4" t="n">
        <v>39448</v>
      </c>
      <c r="D352" s="5">
        <f>YEAR(C352)</f>
        <v/>
      </c>
      <c r="E352" s="5">
        <f>MONTH(C352)</f>
        <v/>
      </c>
      <c r="F352" s="38" t="inlineStr">
        <is>
          <t>NFV  :TENDA ATACADO LTDA</t>
        </is>
      </c>
      <c r="G352" s="38" t="inlineStr">
        <is>
          <t>MARIO FRUGIS (01.04.01)</t>
        </is>
      </c>
      <c r="H352" s="38" t="inlineStr">
        <is>
          <t>NFV</t>
        </is>
      </c>
      <c r="I352" s="40" t="n">
        <v>45.81</v>
      </c>
      <c r="J352" s="40" t="n">
        <v>0</v>
      </c>
      <c r="K352" s="6">
        <f>I352-J352</f>
        <v/>
      </c>
      <c r="L352" s="6">
        <f>IF(H352="DISTRATO",0,I352)</f>
        <v/>
      </c>
    </row>
    <row r="353">
      <c r="A353" s="38" t="inlineStr">
        <is>
          <t>Conta corrente MFRUGIS08.XLS</t>
        </is>
      </c>
      <c r="B353" s="39" t="n">
        <v>39475</v>
      </c>
      <c r="C353" s="4" t="n">
        <v>39448</v>
      </c>
      <c r="D353" s="5">
        <f>YEAR(C353)</f>
        <v/>
      </c>
      <c r="E353" s="5">
        <f>MONTH(C353)</f>
        <v/>
      </c>
      <c r="F353" s="38" t="inlineStr">
        <is>
          <t>NFV  :TENDA ATACADO LTDA</t>
        </is>
      </c>
      <c r="G353" s="38" t="inlineStr">
        <is>
          <t>MARIO FRUGIS (01.04.01)</t>
        </is>
      </c>
      <c r="H353" s="38" t="inlineStr">
        <is>
          <t>NFV</t>
        </is>
      </c>
      <c r="I353" s="40" t="n">
        <v>15.64</v>
      </c>
      <c r="J353" s="40" t="n">
        <v>0</v>
      </c>
      <c r="K353" s="6">
        <f>I353-J353</f>
        <v/>
      </c>
      <c r="L353" s="6">
        <f>IF(H353="DISTRATO",0,I353)</f>
        <v/>
      </c>
    </row>
    <row r="354">
      <c r="A354" s="38" t="inlineStr">
        <is>
          <t>Conta corrente MFRUGIS08.XLS</t>
        </is>
      </c>
      <c r="B354" s="39" t="n">
        <v>39475</v>
      </c>
      <c r="C354" s="4" t="n">
        <v>39448</v>
      </c>
      <c r="D354" s="5">
        <f>YEAR(C354)</f>
        <v/>
      </c>
      <c r="E354" s="5">
        <f>MONTH(C354)</f>
        <v/>
      </c>
      <c r="F354" s="38" t="inlineStr">
        <is>
          <t>NFV  :TENDA ATACADO LTDA</t>
        </is>
      </c>
      <c r="G354" s="38" t="inlineStr">
        <is>
          <t>MARIO FRUGIS (01.04.01)</t>
        </is>
      </c>
      <c r="H354" s="38" t="inlineStr">
        <is>
          <t>NFV</t>
        </is>
      </c>
      <c r="I354" s="40" t="n">
        <v>24.06</v>
      </c>
      <c r="J354" s="40" t="n">
        <v>0</v>
      </c>
      <c r="K354" s="6">
        <f>I354-J354</f>
        <v/>
      </c>
      <c r="L354" s="6">
        <f>IF(H354="DISTRATO",0,I354)</f>
        <v/>
      </c>
    </row>
    <row r="355">
      <c r="A355" s="38" t="inlineStr">
        <is>
          <t>Conta corrente MFRUGIS08.XLS</t>
        </is>
      </c>
      <c r="B355" s="39" t="n">
        <v>39475</v>
      </c>
      <c r="C355" s="4" t="n">
        <v>39448</v>
      </c>
      <c r="D355" s="5">
        <f>YEAR(C355)</f>
        <v/>
      </c>
      <c r="E355" s="5">
        <f>MONTH(C355)</f>
        <v/>
      </c>
      <c r="F355" s="38" t="inlineStr">
        <is>
          <t>NFV  :TENDA ATACADO LTDA</t>
        </is>
      </c>
      <c r="G355" s="38" t="inlineStr">
        <is>
          <t>MARIO FRUGIS (01.04.01)</t>
        </is>
      </c>
      <c r="H355" s="38" t="inlineStr">
        <is>
          <t>NFV</t>
        </is>
      </c>
      <c r="I355" s="40" t="n">
        <v>132.33</v>
      </c>
      <c r="J355" s="40" t="n">
        <v>0</v>
      </c>
      <c r="K355" s="6">
        <f>I355-J355</f>
        <v/>
      </c>
      <c r="L355" s="6">
        <f>IF(H355="DISTRATO",0,I355)</f>
        <v/>
      </c>
    </row>
    <row r="356">
      <c r="A356" s="38" t="inlineStr">
        <is>
          <t>Conta corrente MFRUGIS08.XLS</t>
        </is>
      </c>
      <c r="B356" s="39" t="n">
        <v>39475</v>
      </c>
      <c r="C356" s="4" t="n">
        <v>39448</v>
      </c>
      <c r="D356" s="5">
        <f>YEAR(C356)</f>
        <v/>
      </c>
      <c r="E356" s="5">
        <f>MONTH(C356)</f>
        <v/>
      </c>
      <c r="F356" s="38" t="inlineStr">
        <is>
          <t>NFV  :TENDA ATACADO LTDA</t>
        </is>
      </c>
      <c r="G356" s="38" t="inlineStr">
        <is>
          <t>MARIO FRUGIS (01.04.01)</t>
        </is>
      </c>
      <c r="H356" s="38" t="inlineStr">
        <is>
          <t>NFV</t>
        </is>
      </c>
      <c r="I356" s="40" t="n">
        <v>112.53</v>
      </c>
      <c r="J356" s="40" t="n">
        <v>0</v>
      </c>
      <c r="K356" s="6">
        <f>I356-J356</f>
        <v/>
      </c>
      <c r="L356" s="6">
        <f>IF(H356="DISTRATO",0,I356)</f>
        <v/>
      </c>
    </row>
    <row r="357">
      <c r="A357" s="38" t="inlineStr">
        <is>
          <t>Conta corrente MFRUGIS08.XLS</t>
        </is>
      </c>
      <c r="B357" s="39" t="n">
        <v>39475</v>
      </c>
      <c r="C357" s="4" t="n">
        <v>39448</v>
      </c>
      <c r="D357" s="5">
        <f>YEAR(C357)</f>
        <v/>
      </c>
      <c r="E357" s="5">
        <f>MONTH(C357)</f>
        <v/>
      </c>
      <c r="F357" s="38" t="inlineStr">
        <is>
          <t>NFV  :TENDA ATACADO LTDA</t>
        </is>
      </c>
      <c r="G357" s="38" t="inlineStr">
        <is>
          <t>MARIO FRUGIS (01.04.01)</t>
        </is>
      </c>
      <c r="H357" s="38" t="inlineStr">
        <is>
          <t>NFV</t>
        </is>
      </c>
      <c r="I357" s="40" t="n">
        <v>17.99</v>
      </c>
      <c r="J357" s="40" t="n">
        <v>0</v>
      </c>
      <c r="K357" s="6">
        <f>I357-J357</f>
        <v/>
      </c>
      <c r="L357" s="6">
        <f>IF(H357="DISTRATO",0,I357)</f>
        <v/>
      </c>
    </row>
    <row r="358">
      <c r="A358" s="38" t="inlineStr">
        <is>
          <t>Conta corrente MFRUGIS08.XLS</t>
        </is>
      </c>
      <c r="B358" s="39" t="n">
        <v>39475</v>
      </c>
      <c r="C358" s="4" t="n">
        <v>39448</v>
      </c>
      <c r="D358" s="5">
        <f>YEAR(C358)</f>
        <v/>
      </c>
      <c r="E358" s="5">
        <f>MONTH(C358)</f>
        <v/>
      </c>
      <c r="F358" s="38" t="inlineStr">
        <is>
          <t>NFV  :TENDA ATACADO LTDA</t>
        </is>
      </c>
      <c r="G358" s="38" t="inlineStr">
        <is>
          <t>MARIO FRUGIS (01.04.01)</t>
        </is>
      </c>
      <c r="H358" s="38" t="inlineStr">
        <is>
          <t>NFV</t>
        </is>
      </c>
      <c r="I358" s="40" t="n">
        <v>55.82</v>
      </c>
      <c r="J358" s="40" t="n">
        <v>0</v>
      </c>
      <c r="K358" s="6">
        <f>I358-J358</f>
        <v/>
      </c>
      <c r="L358" s="6">
        <f>IF(H358="DISTRATO",0,I358)</f>
        <v/>
      </c>
    </row>
    <row r="359">
      <c r="A359" s="38" t="inlineStr">
        <is>
          <t>Conta corrente MFRUGIS08.XLS</t>
        </is>
      </c>
      <c r="B359" s="39" t="n">
        <v>39475</v>
      </c>
      <c r="C359" s="4" t="n">
        <v>39448</v>
      </c>
      <c r="D359" s="5">
        <f>YEAR(C359)</f>
        <v/>
      </c>
      <c r="E359" s="5">
        <f>MONTH(C359)</f>
        <v/>
      </c>
      <c r="F359" s="38" t="inlineStr">
        <is>
          <t>NFV  :TENDA ATACADO LTDA</t>
        </is>
      </c>
      <c r="G359" s="38" t="inlineStr">
        <is>
          <t>MARIO FRUGIS (01.04.01)</t>
        </is>
      </c>
      <c r="H359" s="38" t="inlineStr">
        <is>
          <t>NFV</t>
        </is>
      </c>
      <c r="I359" s="40" t="n">
        <v>90.02</v>
      </c>
      <c r="J359" s="40" t="n">
        <v>0</v>
      </c>
      <c r="K359" s="6">
        <f>I359-J359</f>
        <v/>
      </c>
      <c r="L359" s="6">
        <f>IF(H359="DISTRATO",0,I359)</f>
        <v/>
      </c>
    </row>
    <row r="360">
      <c r="A360" s="38" t="inlineStr">
        <is>
          <t>Conta corrente MFRUGIS08.XLS</t>
        </is>
      </c>
      <c r="B360" s="39" t="n">
        <v>39475</v>
      </c>
      <c r="C360" s="4" t="n">
        <v>39448</v>
      </c>
      <c r="D360" s="5">
        <f>YEAR(C360)</f>
        <v/>
      </c>
      <c r="E360" s="5">
        <f>MONTH(C360)</f>
        <v/>
      </c>
      <c r="F360" s="38" t="inlineStr">
        <is>
          <t>NFV  :TENDA ATACADO LTDA</t>
        </is>
      </c>
      <c r="G360" s="38" t="inlineStr">
        <is>
          <t>MARIO FRUGIS (01.04.01)</t>
        </is>
      </c>
      <c r="H360" s="38" t="inlineStr">
        <is>
          <t>NFV</t>
        </is>
      </c>
      <c r="I360" s="40" t="n">
        <v>13.36</v>
      </c>
      <c r="J360" s="40" t="n">
        <v>0</v>
      </c>
      <c r="K360" s="6">
        <f>I360-J360</f>
        <v/>
      </c>
      <c r="L360" s="6">
        <f>IF(H360="DISTRATO",0,I360)</f>
        <v/>
      </c>
    </row>
    <row r="361">
      <c r="A361" s="38" t="inlineStr">
        <is>
          <t>Conta corrente MFRUGIS08.XLS</t>
        </is>
      </c>
      <c r="B361" s="39" t="n">
        <v>39475</v>
      </c>
      <c r="C361" s="4" t="n">
        <v>39448</v>
      </c>
      <c r="D361" s="5">
        <f>YEAR(C361)</f>
        <v/>
      </c>
      <c r="E361" s="5">
        <f>MONTH(C361)</f>
        <v/>
      </c>
      <c r="F361" s="38" t="inlineStr">
        <is>
          <t>NFV  :TENDA ATACADO LTDA</t>
        </is>
      </c>
      <c r="G361" s="38" t="inlineStr">
        <is>
          <t>MARIO FRUGIS (01.04.01)</t>
        </is>
      </c>
      <c r="H361" s="38" t="inlineStr">
        <is>
          <t>NFV</t>
        </is>
      </c>
      <c r="I361" s="40" t="n">
        <v>5.53</v>
      </c>
      <c r="J361" s="40" t="n">
        <v>0</v>
      </c>
      <c r="K361" s="6">
        <f>I361-J361</f>
        <v/>
      </c>
      <c r="L361" s="6">
        <f>IF(H361="DISTRATO",0,I361)</f>
        <v/>
      </c>
    </row>
    <row r="362">
      <c r="A362" s="38" t="inlineStr">
        <is>
          <t>Conta corrente MFRUGIS08.XLS</t>
        </is>
      </c>
      <c r="B362" s="39" t="n">
        <v>39475</v>
      </c>
      <c r="C362" s="4" t="n">
        <v>39448</v>
      </c>
      <c r="D362" s="5">
        <f>YEAR(C362)</f>
        <v/>
      </c>
      <c r="E362" s="5">
        <f>MONTH(C362)</f>
        <v/>
      </c>
      <c r="F362" s="38" t="inlineStr">
        <is>
          <t>NFV  :TENDA ATACADO LTDA</t>
        </is>
      </c>
      <c r="G362" s="38" t="inlineStr">
        <is>
          <t>MARIO FRUGIS (01.04.01)</t>
        </is>
      </c>
      <c r="H362" s="38" t="inlineStr">
        <is>
          <t>NFV</t>
        </is>
      </c>
      <c r="I362" s="40" t="n">
        <v>6.36</v>
      </c>
      <c r="J362" s="40" t="n">
        <v>0</v>
      </c>
      <c r="K362" s="6">
        <f>I362-J362</f>
        <v/>
      </c>
      <c r="L362" s="6">
        <f>IF(H362="DISTRATO",0,I362)</f>
        <v/>
      </c>
    </row>
    <row r="363">
      <c r="A363" s="38" t="inlineStr">
        <is>
          <t>Conta corrente MFRUGIS08.XLS</t>
        </is>
      </c>
      <c r="B363" s="39" t="n">
        <v>39475</v>
      </c>
      <c r="C363" s="4" t="n">
        <v>39448</v>
      </c>
      <c r="D363" s="5">
        <f>YEAR(C363)</f>
        <v/>
      </c>
      <c r="E363" s="5">
        <f>MONTH(C363)</f>
        <v/>
      </c>
      <c r="F363" s="38" t="inlineStr">
        <is>
          <t>NFV  :TENDA ATACADO LTDA</t>
        </is>
      </c>
      <c r="G363" s="38" t="inlineStr">
        <is>
          <t>MARIO FRUGIS (01.04.01)</t>
        </is>
      </c>
      <c r="H363" s="38" t="inlineStr">
        <is>
          <t>NFV</t>
        </is>
      </c>
      <c r="I363" s="40" t="n">
        <v>72.48</v>
      </c>
      <c r="J363" s="40" t="n">
        <v>0</v>
      </c>
      <c r="K363" s="6">
        <f>I363-J363</f>
        <v/>
      </c>
      <c r="L363" s="6">
        <f>IF(H363="DISTRATO",0,I363)</f>
        <v/>
      </c>
    </row>
    <row r="364">
      <c r="A364" s="38" t="inlineStr">
        <is>
          <t>Conta corrente MFRUGIS08.XLS</t>
        </is>
      </c>
      <c r="B364" s="39" t="n">
        <v>39475</v>
      </c>
      <c r="C364" s="4" t="n">
        <v>39448</v>
      </c>
      <c r="D364" s="5">
        <f>YEAR(C364)</f>
        <v/>
      </c>
      <c r="E364" s="5">
        <f>MONTH(C364)</f>
        <v/>
      </c>
      <c r="F364" s="38" t="inlineStr">
        <is>
          <t>NFV  :TENDA ATACADO LTDA</t>
        </is>
      </c>
      <c r="G364" s="38" t="inlineStr">
        <is>
          <t>MARIO FRUGIS (01.04.01)</t>
        </is>
      </c>
      <c r="H364" s="38" t="inlineStr">
        <is>
          <t>NFV</t>
        </is>
      </c>
      <c r="I364" s="40" t="n">
        <v>11.87</v>
      </c>
      <c r="J364" s="40" t="n">
        <v>0</v>
      </c>
      <c r="K364" s="6">
        <f>I364-J364</f>
        <v/>
      </c>
      <c r="L364" s="6">
        <f>IF(H364="DISTRATO",0,I364)</f>
        <v/>
      </c>
    </row>
    <row r="365">
      <c r="A365" s="38" t="inlineStr">
        <is>
          <t>Conta corrente MFRUGIS08.XLS</t>
        </is>
      </c>
      <c r="B365" s="39" t="n">
        <v>39475</v>
      </c>
      <c r="C365" s="4" t="n">
        <v>39448</v>
      </c>
      <c r="D365" s="5">
        <f>YEAR(C365)</f>
        <v/>
      </c>
      <c r="E365" s="5">
        <f>MONTH(C365)</f>
        <v/>
      </c>
      <c r="F365" s="38" t="inlineStr">
        <is>
          <t>NFV  :TENDA ATACADO LTDA</t>
        </is>
      </c>
      <c r="G365" s="38" t="inlineStr">
        <is>
          <t>MARIO FRUGIS (01.04.01)</t>
        </is>
      </c>
      <c r="H365" s="38" t="inlineStr">
        <is>
          <t>NFV</t>
        </is>
      </c>
      <c r="I365" s="40" t="n">
        <v>9.41</v>
      </c>
      <c r="J365" s="40" t="n">
        <v>0</v>
      </c>
      <c r="K365" s="6">
        <f>I365-J365</f>
        <v/>
      </c>
      <c r="L365" s="6">
        <f>IF(H365="DISTRATO",0,I365)</f>
        <v/>
      </c>
    </row>
    <row r="366">
      <c r="A366" s="38" t="inlineStr">
        <is>
          <t>Conta corrente MFRUGIS08.XLS</t>
        </is>
      </c>
      <c r="B366" s="39" t="n">
        <v>39475</v>
      </c>
      <c r="C366" s="4" t="n">
        <v>39448</v>
      </c>
      <c r="D366" s="5">
        <f>YEAR(C366)</f>
        <v/>
      </c>
      <c r="E366" s="5">
        <f>MONTH(C366)</f>
        <v/>
      </c>
      <c r="F366" s="38" t="inlineStr">
        <is>
          <t>NFV  :TENDA ATACADO LTDA</t>
        </is>
      </c>
      <c r="G366" s="38" t="inlineStr">
        <is>
          <t>MARIO FRUGIS (01.04.01)</t>
        </is>
      </c>
      <c r="H366" s="38" t="inlineStr">
        <is>
          <t>NFV</t>
        </is>
      </c>
      <c r="I366" s="40" t="n">
        <v>5.53</v>
      </c>
      <c r="J366" s="40" t="n">
        <v>0</v>
      </c>
      <c r="K366" s="6">
        <f>I366-J366</f>
        <v/>
      </c>
      <c r="L366" s="6">
        <f>IF(H366="DISTRATO",0,I366)</f>
        <v/>
      </c>
    </row>
    <row r="367">
      <c r="A367" s="38" t="inlineStr">
        <is>
          <t>Conta corrente MFRUGIS08.XLS</t>
        </is>
      </c>
      <c r="B367" s="39" t="n">
        <v>39475</v>
      </c>
      <c r="C367" s="4" t="n">
        <v>39448</v>
      </c>
      <c r="D367" s="5">
        <f>YEAR(C367)</f>
        <v/>
      </c>
      <c r="E367" s="5">
        <f>MONTH(C367)</f>
        <v/>
      </c>
      <c r="F367" s="38" t="inlineStr">
        <is>
          <t>NFV  :TENDA ATACADO LTDA</t>
        </is>
      </c>
      <c r="G367" s="38" t="inlineStr">
        <is>
          <t>MARIO FRUGIS (01.04.01)</t>
        </is>
      </c>
      <c r="H367" s="38" t="inlineStr">
        <is>
          <t>NFV</t>
        </is>
      </c>
      <c r="I367" s="40" t="n">
        <v>16.95</v>
      </c>
      <c r="J367" s="40" t="n">
        <v>0</v>
      </c>
      <c r="K367" s="6">
        <f>I367-J367</f>
        <v/>
      </c>
      <c r="L367" s="6">
        <f>IF(H367="DISTRATO",0,I367)</f>
        <v/>
      </c>
    </row>
    <row r="368">
      <c r="A368" s="38" t="inlineStr">
        <is>
          <t>Conta corrente MFRUGIS08.XLS</t>
        </is>
      </c>
      <c r="B368" s="39" t="n">
        <v>39475</v>
      </c>
      <c r="C368" s="4" t="n">
        <v>39448</v>
      </c>
      <c r="D368" s="5">
        <f>YEAR(C368)</f>
        <v/>
      </c>
      <c r="E368" s="5">
        <f>MONTH(C368)</f>
        <v/>
      </c>
      <c r="F368" s="38" t="inlineStr">
        <is>
          <t>NFV  :TENDA ATACADO LTDA</t>
        </is>
      </c>
      <c r="G368" s="38" t="inlineStr">
        <is>
          <t>MARIO FRUGIS (01.04.01)</t>
        </is>
      </c>
      <c r="H368" s="38" t="inlineStr">
        <is>
          <t>NFV</t>
        </is>
      </c>
      <c r="I368" s="40" t="n">
        <v>60.25</v>
      </c>
      <c r="J368" s="40" t="n">
        <v>0</v>
      </c>
      <c r="K368" s="6">
        <f>I368-J368</f>
        <v/>
      </c>
      <c r="L368" s="6">
        <f>IF(H368="DISTRATO",0,I368)</f>
        <v/>
      </c>
    </row>
    <row r="369">
      <c r="A369" s="38" t="inlineStr">
        <is>
          <t>Conta corrente MFRUGIS08.XLS</t>
        </is>
      </c>
      <c r="B369" s="39" t="n">
        <v>39477</v>
      </c>
      <c r="C369" s="4" t="n">
        <v>39448</v>
      </c>
      <c r="D369" s="5">
        <f>YEAR(C369)</f>
        <v/>
      </c>
      <c r="E369" s="5">
        <f>MONTH(C369)</f>
        <v/>
      </c>
      <c r="F369" s="38" t="inlineStr">
        <is>
          <t>DEV  :TENDA ATACADO LTDA</t>
        </is>
      </c>
      <c r="G369" s="38" t="inlineStr">
        <is>
          <t>MARIO FRUGIS (01.04.01)</t>
        </is>
      </c>
      <c r="H369" s="38" t="inlineStr">
        <is>
          <t>DEVOLUCAO</t>
        </is>
      </c>
      <c r="I369" s="40" t="n">
        <v>-1.39</v>
      </c>
      <c r="J369" s="40" t="n">
        <v>0</v>
      </c>
      <c r="K369" s="6">
        <f>I369-J369</f>
        <v/>
      </c>
      <c r="L369" s="6">
        <f>IF(H369="DISTRATO",0,I369)</f>
        <v/>
      </c>
    </row>
    <row r="370">
      <c r="A370" s="38" t="inlineStr">
        <is>
          <t>Conta corrente MFRUGIS08.XLS</t>
        </is>
      </c>
      <c r="B370" s="39" t="n">
        <v>39478</v>
      </c>
      <c r="C370" s="4" t="n">
        <v>39448</v>
      </c>
      <c r="D370" s="5">
        <f>YEAR(C370)</f>
        <v/>
      </c>
      <c r="E370" s="5">
        <f>MONTH(C370)</f>
        <v/>
      </c>
      <c r="F370" s="38" t="inlineStr">
        <is>
          <t>DIF PERCNETUAL                        1. (ajuste de % do Tenda)</t>
        </is>
      </c>
      <c r="G370" s="38" t="inlineStr">
        <is>
          <t>MARIO FRUGIS (01.04.01)</t>
        </is>
      </c>
      <c r="H370" s="38" t="inlineStr">
        <is>
          <t>AJUSTE % TENDA</t>
        </is>
      </c>
      <c r="I370" s="40" t="n">
        <v>1059.84</v>
      </c>
      <c r="J370" s="40" t="n">
        <v>0</v>
      </c>
      <c r="K370" s="6">
        <f>I370-J370</f>
        <v/>
      </c>
      <c r="L370" s="6">
        <f>IF(H370="DISTRATO",0,I370)</f>
        <v/>
      </c>
    </row>
    <row r="371">
      <c r="A371" s="38" t="inlineStr">
        <is>
          <t>Conta corrente MFRUGIS08.XLS</t>
        </is>
      </c>
      <c r="B371" s="39" t="n">
        <v>39492</v>
      </c>
      <c r="C371" s="4" t="n">
        <v>39479</v>
      </c>
      <c r="D371" s="5">
        <f>YEAR(C371)</f>
        <v/>
      </c>
      <c r="E371" s="5">
        <f>MONTH(C371)</f>
        <v/>
      </c>
      <c r="F371" s="38" t="inlineStr">
        <is>
          <t>NFV  :TENDA ATACADO LTDA</t>
        </is>
      </c>
      <c r="G371" s="38" t="inlineStr">
        <is>
          <t>MARIO FRUGIS (01.04.01)</t>
        </is>
      </c>
      <c r="H371" s="38" t="inlineStr">
        <is>
          <t>NFV</t>
        </is>
      </c>
      <c r="I371" s="40" t="n">
        <v>120.65</v>
      </c>
      <c r="J371" s="40" t="n">
        <v>0</v>
      </c>
      <c r="K371" s="6">
        <f>I371-J371</f>
        <v/>
      </c>
      <c r="L371" s="6">
        <f>IF(H371="DISTRATO",0,I371)</f>
        <v/>
      </c>
    </row>
    <row r="372">
      <c r="A372" s="38" t="inlineStr">
        <is>
          <t>Conta corrente MFRUGIS08.XLS</t>
        </is>
      </c>
      <c r="B372" s="39" t="n">
        <v>39492</v>
      </c>
      <c r="C372" s="4" t="n">
        <v>39479</v>
      </c>
      <c r="D372" s="5">
        <f>YEAR(C372)</f>
        <v/>
      </c>
      <c r="E372" s="5">
        <f>MONTH(C372)</f>
        <v/>
      </c>
      <c r="F372" s="38" t="inlineStr">
        <is>
          <t>NFV  :TENDA ATACADO LTDA</t>
        </is>
      </c>
      <c r="G372" s="38" t="inlineStr">
        <is>
          <t>MARIO FRUGIS (01.04.01)</t>
        </is>
      </c>
      <c r="H372" s="38" t="inlineStr">
        <is>
          <t>NFV</t>
        </is>
      </c>
      <c r="I372" s="40" t="n">
        <v>73.16</v>
      </c>
      <c r="J372" s="40" t="n">
        <v>0</v>
      </c>
      <c r="K372" s="6">
        <f>I372-J372</f>
        <v/>
      </c>
      <c r="L372" s="6">
        <f>IF(H372="DISTRATO",0,I372)</f>
        <v/>
      </c>
    </row>
    <row r="373">
      <c r="A373" s="38" t="inlineStr">
        <is>
          <t>Conta corrente MFRUGIS08.XLS</t>
        </is>
      </c>
      <c r="B373" s="39" t="n">
        <v>39492</v>
      </c>
      <c r="C373" s="4" t="n">
        <v>39479</v>
      </c>
      <c r="D373" s="5">
        <f>YEAR(C373)</f>
        <v/>
      </c>
      <c r="E373" s="5">
        <f>MONTH(C373)</f>
        <v/>
      </c>
      <c r="F373" s="38" t="inlineStr">
        <is>
          <t>NFV  :TENDA ATACADO LTDA</t>
        </is>
      </c>
      <c r="G373" s="38" t="inlineStr">
        <is>
          <t>MARIO FRUGIS (01.04.01)</t>
        </is>
      </c>
      <c r="H373" s="38" t="inlineStr">
        <is>
          <t>NFV</t>
        </is>
      </c>
      <c r="I373" s="40" t="n">
        <v>79</v>
      </c>
      <c r="J373" s="40" t="n">
        <v>0</v>
      </c>
      <c r="K373" s="6">
        <f>I373-J373</f>
        <v/>
      </c>
      <c r="L373" s="6">
        <f>IF(H373="DISTRATO",0,I373)</f>
        <v/>
      </c>
    </row>
    <row r="374">
      <c r="A374" s="38" t="inlineStr">
        <is>
          <t>Conta corrente MFRUGIS08.XLS</t>
        </is>
      </c>
      <c r="B374" s="39" t="n">
        <v>39492</v>
      </c>
      <c r="C374" s="4" t="n">
        <v>39479</v>
      </c>
      <c r="D374" s="5">
        <f>YEAR(C374)</f>
        <v/>
      </c>
      <c r="E374" s="5">
        <f>MONTH(C374)</f>
        <v/>
      </c>
      <c r="F374" s="38" t="inlineStr">
        <is>
          <t>NFV  :TENDA ATACADO LTDA</t>
        </is>
      </c>
      <c r="G374" s="38" t="inlineStr">
        <is>
          <t>MARIO FRUGIS (01.04.01)</t>
        </is>
      </c>
      <c r="H374" s="38" t="inlineStr">
        <is>
          <t>NFV</t>
        </is>
      </c>
      <c r="I374" s="40" t="n">
        <v>162.69</v>
      </c>
      <c r="J374" s="40" t="n">
        <v>0</v>
      </c>
      <c r="K374" s="6">
        <f>I374-J374</f>
        <v/>
      </c>
      <c r="L374" s="6">
        <f>IF(H374="DISTRATO",0,I374)</f>
        <v/>
      </c>
    </row>
    <row r="375">
      <c r="A375" s="38" t="inlineStr">
        <is>
          <t>Conta corrente MFRUGIS08.XLS</t>
        </is>
      </c>
      <c r="B375" s="39" t="n">
        <v>39492</v>
      </c>
      <c r="C375" s="4" t="n">
        <v>39479</v>
      </c>
      <c r="D375" s="5">
        <f>YEAR(C375)</f>
        <v/>
      </c>
      <c r="E375" s="5">
        <f>MONTH(C375)</f>
        <v/>
      </c>
      <c r="F375" s="38" t="inlineStr">
        <is>
          <t>NFV  :TENDA ATACADO LTDA</t>
        </is>
      </c>
      <c r="G375" s="38" t="inlineStr">
        <is>
          <t>MARIO FRUGIS (01.04.01)</t>
        </is>
      </c>
      <c r="H375" s="38" t="inlineStr">
        <is>
          <t>NFV</t>
        </is>
      </c>
      <c r="I375" s="40" t="n">
        <v>45.81</v>
      </c>
      <c r="J375" s="40" t="n">
        <v>0</v>
      </c>
      <c r="K375" s="6">
        <f>I375-J375</f>
        <v/>
      </c>
      <c r="L375" s="6">
        <f>IF(H375="DISTRATO",0,I375)</f>
        <v/>
      </c>
    </row>
    <row r="376">
      <c r="A376" s="38" t="inlineStr">
        <is>
          <t>Conta corrente MFRUGIS08.XLS</t>
        </is>
      </c>
      <c r="B376" s="39" t="n">
        <v>39492</v>
      </c>
      <c r="C376" s="4" t="n">
        <v>39479</v>
      </c>
      <c r="D376" s="5">
        <f>YEAR(C376)</f>
        <v/>
      </c>
      <c r="E376" s="5">
        <f>MONTH(C376)</f>
        <v/>
      </c>
      <c r="F376" s="38" t="inlineStr">
        <is>
          <t>NFV  :TENDA ATACADO LTDA</t>
        </is>
      </c>
      <c r="G376" s="38" t="inlineStr">
        <is>
          <t>MARIO FRUGIS (01.04.01)</t>
        </is>
      </c>
      <c r="H376" s="38" t="inlineStr">
        <is>
          <t>NFV</t>
        </is>
      </c>
      <c r="I376" s="40" t="n">
        <v>70.79000000000001</v>
      </c>
      <c r="J376" s="40" t="n">
        <v>0</v>
      </c>
      <c r="K376" s="6">
        <f>I376-J376</f>
        <v/>
      </c>
      <c r="L376" s="6">
        <f>IF(H376="DISTRATO",0,I376)</f>
        <v/>
      </c>
    </row>
    <row r="377">
      <c r="A377" s="38" t="inlineStr">
        <is>
          <t>Conta corrente MFRUGIS08.XLS</t>
        </is>
      </c>
      <c r="B377" s="39" t="n">
        <v>39492</v>
      </c>
      <c r="C377" s="4" t="n">
        <v>39479</v>
      </c>
      <c r="D377" s="5">
        <f>YEAR(C377)</f>
        <v/>
      </c>
      <c r="E377" s="5">
        <f>MONTH(C377)</f>
        <v/>
      </c>
      <c r="F377" s="38" t="inlineStr">
        <is>
          <t>NFV  :TENDA ATACADO LTDA</t>
        </is>
      </c>
      <c r="G377" s="38" t="inlineStr">
        <is>
          <t>MARIO FRUGIS (01.04.01)</t>
        </is>
      </c>
      <c r="H377" s="38" t="inlineStr">
        <is>
          <t>NFV</t>
        </is>
      </c>
      <c r="I377" s="40" t="n">
        <v>77.53</v>
      </c>
      <c r="J377" s="40" t="n">
        <v>0</v>
      </c>
      <c r="K377" s="6">
        <f>I377-J377</f>
        <v/>
      </c>
      <c r="L377" s="6">
        <f>IF(H377="DISTRATO",0,I377)</f>
        <v/>
      </c>
    </row>
    <row r="378">
      <c r="A378" s="38" t="inlineStr">
        <is>
          <t>Conta corrente MFRUGIS08.XLS</t>
        </is>
      </c>
      <c r="B378" s="39" t="n">
        <v>39492</v>
      </c>
      <c r="C378" s="4" t="n">
        <v>39479</v>
      </c>
      <c r="D378" s="5">
        <f>YEAR(C378)</f>
        <v/>
      </c>
      <c r="E378" s="5">
        <f>MONTH(C378)</f>
        <v/>
      </c>
      <c r="F378" s="38" t="inlineStr">
        <is>
          <t>NFV  :TENDA ATACADO LTDA</t>
        </is>
      </c>
      <c r="G378" s="38" t="inlineStr">
        <is>
          <t>MARIO FRUGIS (01.04.01)</t>
        </is>
      </c>
      <c r="H378" s="38" t="inlineStr">
        <is>
          <t>NFV</t>
        </is>
      </c>
      <c r="I378" s="40" t="n">
        <v>101.03</v>
      </c>
      <c r="J378" s="40" t="n">
        <v>0</v>
      </c>
      <c r="K378" s="6">
        <f>I378-J378</f>
        <v/>
      </c>
      <c r="L378" s="6">
        <f>IF(H378="DISTRATO",0,I378)</f>
        <v/>
      </c>
    </row>
    <row r="379">
      <c r="A379" s="38" t="inlineStr">
        <is>
          <t>Conta corrente MFRUGIS08.XLS</t>
        </is>
      </c>
      <c r="B379" s="39" t="n">
        <v>39492</v>
      </c>
      <c r="C379" s="4" t="n">
        <v>39479</v>
      </c>
      <c r="D379" s="5">
        <f>YEAR(C379)</f>
        <v/>
      </c>
      <c r="E379" s="5">
        <f>MONTH(C379)</f>
        <v/>
      </c>
      <c r="F379" s="38" t="inlineStr">
        <is>
          <t>NFV  :TENDA ATACADO LTDA</t>
        </is>
      </c>
      <c r="G379" s="38" t="inlineStr">
        <is>
          <t>MARIO FRUGIS (01.04.01)</t>
        </is>
      </c>
      <c r="H379" s="38" t="inlineStr">
        <is>
          <t>NFV</t>
        </is>
      </c>
      <c r="I379" s="40" t="n">
        <v>41.44</v>
      </c>
      <c r="J379" s="40" t="n">
        <v>0</v>
      </c>
      <c r="K379" s="6">
        <f>I379-J379</f>
        <v/>
      </c>
      <c r="L379" s="6">
        <f>IF(H379="DISTRATO",0,I379)</f>
        <v/>
      </c>
    </row>
    <row r="380">
      <c r="A380" s="38" t="inlineStr">
        <is>
          <t>Conta corrente MFRUGIS08.XLS</t>
        </is>
      </c>
      <c r="B380" s="39" t="n">
        <v>39496</v>
      </c>
      <c r="C380" s="4" t="n">
        <v>39479</v>
      </c>
      <c r="D380" s="5">
        <f>YEAR(C380)</f>
        <v/>
      </c>
      <c r="E380" s="5">
        <f>MONTH(C380)</f>
        <v/>
      </c>
      <c r="F380" s="38" t="inlineStr">
        <is>
          <t>DEV  :TENDA ATACADO LTDA</t>
        </is>
      </c>
      <c r="G380" s="38" t="inlineStr">
        <is>
          <t>MARIO FRUGIS (01.04.01)</t>
        </is>
      </c>
      <c r="H380" s="38" t="inlineStr">
        <is>
          <t>DEVOLUCAO</t>
        </is>
      </c>
      <c r="I380" s="40" t="n">
        <v>-4.09</v>
      </c>
      <c r="J380" s="40" t="n">
        <v>0</v>
      </c>
      <c r="K380" s="6">
        <f>I380-J380</f>
        <v/>
      </c>
      <c r="L380" s="6">
        <f>IF(H380="DISTRATO",0,I380)</f>
        <v/>
      </c>
    </row>
    <row r="381">
      <c r="A381" s="38" t="inlineStr">
        <is>
          <t>Conta corrente MFRUGIS08.XLS</t>
        </is>
      </c>
      <c r="B381" s="39" t="n">
        <v>39507</v>
      </c>
      <c r="C381" s="4" t="n">
        <v>39479</v>
      </c>
      <c r="D381" s="5">
        <f>YEAR(C381)</f>
        <v/>
      </c>
      <c r="E381" s="5">
        <f>MONTH(C381)</f>
        <v/>
      </c>
      <c r="F381" s="38" t="inlineStr">
        <is>
          <t>DIF PERCENTUAL (ajuste de % do Tenda)</t>
        </is>
      </c>
      <c r="G381" s="38" t="inlineStr">
        <is>
          <t>MARIO FRUGIS (01.04.01)</t>
        </is>
      </c>
      <c r="H381" s="38" t="inlineStr">
        <is>
          <t>AJUSTE % TENDA</t>
        </is>
      </c>
      <c r="I381" s="40" t="n">
        <v>828.61</v>
      </c>
      <c r="J381" s="40" t="n">
        <v>0</v>
      </c>
      <c r="K381" s="6">
        <f>I381-J381</f>
        <v/>
      </c>
      <c r="L381" s="6">
        <f>IF(H381="DISTRATO",0,I381)</f>
        <v/>
      </c>
    </row>
    <row r="382">
      <c r="A382" s="38" t="inlineStr">
        <is>
          <t>Conta corrente MFRUGIS08.XLS</t>
        </is>
      </c>
      <c r="B382" s="39" t="n">
        <v>39507</v>
      </c>
      <c r="C382" s="4" t="n">
        <v>39479</v>
      </c>
      <c r="D382" s="5">
        <f>YEAR(C382)</f>
        <v/>
      </c>
      <c r="E382" s="5">
        <f>MONTH(C382)</f>
        <v/>
      </c>
      <c r="F382" s="38" t="inlineStr">
        <is>
          <t>NFV  :TENDA ATACADO LTDA</t>
        </is>
      </c>
      <c r="G382" s="38" t="inlineStr">
        <is>
          <t>MARIO FRUGIS (01.04.01)</t>
        </is>
      </c>
      <c r="H382" s="38" t="inlineStr">
        <is>
          <t>NFV</t>
        </is>
      </c>
      <c r="I382" s="40" t="n">
        <v>240.92</v>
      </c>
      <c r="J382" s="40" t="n">
        <v>0</v>
      </c>
      <c r="K382" s="6">
        <f>I382-J382</f>
        <v/>
      </c>
      <c r="L382" s="6">
        <f>IF(H382="DISTRATO",0,I382)</f>
        <v/>
      </c>
    </row>
    <row r="383">
      <c r="A383" s="38" t="inlineStr">
        <is>
          <t>Conta corrente MFRUGIS08.XLS</t>
        </is>
      </c>
      <c r="B383" s="39" t="n">
        <v>39512</v>
      </c>
      <c r="C383" s="4" t="n">
        <v>39508</v>
      </c>
      <c r="D383" s="5">
        <f>YEAR(C383)</f>
        <v/>
      </c>
      <c r="E383" s="5">
        <f>MONTH(C383)</f>
        <v/>
      </c>
      <c r="F383" s="38" t="inlineStr">
        <is>
          <t>NFV  :TENDA ATACADO LTDA</t>
        </is>
      </c>
      <c r="G383" s="38" t="inlineStr">
        <is>
          <t>MARIO FRUGIS (01.04.01)</t>
        </is>
      </c>
      <c r="H383" s="38" t="inlineStr">
        <is>
          <t>NFV</t>
        </is>
      </c>
      <c r="I383" s="40" t="n">
        <v>6.21</v>
      </c>
      <c r="J383" s="40" t="n">
        <v>0</v>
      </c>
      <c r="K383" s="6">
        <f>I383-J383</f>
        <v/>
      </c>
      <c r="L383" s="6">
        <f>IF(H383="DISTRATO",0,I383)</f>
        <v/>
      </c>
    </row>
    <row r="384">
      <c r="A384" s="38" t="inlineStr">
        <is>
          <t>Conta corrente MFRUGIS08.XLS</t>
        </is>
      </c>
      <c r="B384" s="39" t="n">
        <v>39512</v>
      </c>
      <c r="C384" s="4" t="n">
        <v>39508</v>
      </c>
      <c r="D384" s="5">
        <f>YEAR(C384)</f>
        <v/>
      </c>
      <c r="E384" s="5">
        <f>MONTH(C384)</f>
        <v/>
      </c>
      <c r="F384" s="38" t="inlineStr">
        <is>
          <t>NFV  :TENDA ATACADO LTDA</t>
        </is>
      </c>
      <c r="G384" s="38" t="inlineStr">
        <is>
          <t>MARIO FRUGIS (01.04.01)</t>
        </is>
      </c>
      <c r="H384" s="38" t="inlineStr">
        <is>
          <t>NFV</t>
        </is>
      </c>
      <c r="I384" s="40" t="n">
        <v>89.73</v>
      </c>
      <c r="J384" s="40" t="n">
        <v>0</v>
      </c>
      <c r="K384" s="6">
        <f>I384-J384</f>
        <v/>
      </c>
      <c r="L384" s="6">
        <f>IF(H384="DISTRATO",0,I384)</f>
        <v/>
      </c>
    </row>
    <row r="385">
      <c r="A385" s="38" t="inlineStr">
        <is>
          <t>Conta corrente MFRUGIS08.XLS</t>
        </is>
      </c>
      <c r="B385" s="39" t="n">
        <v>39512</v>
      </c>
      <c r="C385" s="4" t="n">
        <v>39508</v>
      </c>
      <c r="D385" s="5">
        <f>YEAR(C385)</f>
        <v/>
      </c>
      <c r="E385" s="5">
        <f>MONTH(C385)</f>
        <v/>
      </c>
      <c r="F385" s="38" t="inlineStr">
        <is>
          <t>NFV  :TENDA ATACADO LTDA</t>
        </is>
      </c>
      <c r="G385" s="38" t="inlineStr">
        <is>
          <t>MARIO FRUGIS (01.04.01)</t>
        </is>
      </c>
      <c r="H385" s="38" t="inlineStr">
        <is>
          <t>NFV</t>
        </is>
      </c>
      <c r="I385" s="40" t="n">
        <v>15.84</v>
      </c>
      <c r="J385" s="40" t="n">
        <v>0</v>
      </c>
      <c r="K385" s="6">
        <f>I385-J385</f>
        <v/>
      </c>
      <c r="L385" s="6">
        <f>IF(H385="DISTRATO",0,I385)</f>
        <v/>
      </c>
    </row>
    <row r="386">
      <c r="A386" s="38" t="inlineStr">
        <is>
          <t>Conta corrente MFRUGIS08.XLS</t>
        </is>
      </c>
      <c r="B386" s="39" t="n">
        <v>39512</v>
      </c>
      <c r="C386" s="4" t="n">
        <v>39508</v>
      </c>
      <c r="D386" s="5">
        <f>YEAR(C386)</f>
        <v/>
      </c>
      <c r="E386" s="5">
        <f>MONTH(C386)</f>
        <v/>
      </c>
      <c r="F386" s="38" t="inlineStr">
        <is>
          <t>NFV  :TENDA ATACADO LTDA</t>
        </is>
      </c>
      <c r="G386" s="38" t="inlineStr">
        <is>
          <t>MARIO FRUGIS (01.04.01)</t>
        </is>
      </c>
      <c r="H386" s="38" t="inlineStr">
        <is>
          <t>NFV</t>
        </is>
      </c>
      <c r="I386" s="40" t="n">
        <v>84.31999999999999</v>
      </c>
      <c r="J386" s="40" t="n">
        <v>0</v>
      </c>
      <c r="K386" s="6">
        <f>I386-J386</f>
        <v/>
      </c>
      <c r="L386" s="6">
        <f>IF(H386="DISTRATO",0,I386)</f>
        <v/>
      </c>
    </row>
    <row r="387">
      <c r="A387" s="38" t="inlineStr">
        <is>
          <t>Conta corrente MFRUGIS08.XLS</t>
        </is>
      </c>
      <c r="B387" s="39" t="n">
        <v>39512</v>
      </c>
      <c r="C387" s="4" t="n">
        <v>39508</v>
      </c>
      <c r="D387" s="5">
        <f>YEAR(C387)</f>
        <v/>
      </c>
      <c r="E387" s="5">
        <f>MONTH(C387)</f>
        <v/>
      </c>
      <c r="F387" s="38" t="inlineStr">
        <is>
          <t>NFV  :TENDA ATACADO LTDA</t>
        </is>
      </c>
      <c r="G387" s="38" t="inlineStr">
        <is>
          <t>MARIO FRUGIS (01.04.01)</t>
        </is>
      </c>
      <c r="H387" s="38" t="inlineStr">
        <is>
          <t>NFV</t>
        </is>
      </c>
      <c r="I387" s="40" t="n">
        <v>55.36</v>
      </c>
      <c r="J387" s="40" t="n">
        <v>0</v>
      </c>
      <c r="K387" s="6">
        <f>I387-J387</f>
        <v/>
      </c>
      <c r="L387" s="6">
        <f>IF(H387="DISTRATO",0,I387)</f>
        <v/>
      </c>
    </row>
    <row r="388">
      <c r="A388" s="38" t="inlineStr">
        <is>
          <t>Conta corrente MFRUGIS08.XLS</t>
        </is>
      </c>
      <c r="B388" s="39" t="n">
        <v>39512</v>
      </c>
      <c r="C388" s="4" t="n">
        <v>39508</v>
      </c>
      <c r="D388" s="5">
        <f>YEAR(C388)</f>
        <v/>
      </c>
      <c r="E388" s="5">
        <f>MONTH(C388)</f>
        <v/>
      </c>
      <c r="F388" s="38" t="inlineStr">
        <is>
          <t>NFV  :TENDA ATACADO LTDA</t>
        </is>
      </c>
      <c r="G388" s="38" t="inlineStr">
        <is>
          <t>MARIO FRUGIS (01.04.01)</t>
        </is>
      </c>
      <c r="H388" s="38" t="inlineStr">
        <is>
          <t>NFV</t>
        </is>
      </c>
      <c r="I388" s="40" t="n">
        <v>7.9</v>
      </c>
      <c r="J388" s="40" t="n">
        <v>0</v>
      </c>
      <c r="K388" s="6">
        <f>I388-J388</f>
        <v/>
      </c>
      <c r="L388" s="6">
        <f>IF(H388="DISTRATO",0,I388)</f>
        <v/>
      </c>
    </row>
    <row r="389">
      <c r="A389" s="38" t="inlineStr">
        <is>
          <t>Conta corrente MFRUGIS08.XLS</t>
        </is>
      </c>
      <c r="B389" s="39" t="n">
        <v>39512</v>
      </c>
      <c r="C389" s="4" t="n">
        <v>39508</v>
      </c>
      <c r="D389" s="5">
        <f>YEAR(C389)</f>
        <v/>
      </c>
      <c r="E389" s="5">
        <f>MONTH(C389)</f>
        <v/>
      </c>
      <c r="F389" s="38" t="inlineStr">
        <is>
          <t>NFV  :TENDA ATACADO LTDA</t>
        </is>
      </c>
      <c r="G389" s="38" t="inlineStr">
        <is>
          <t>MARIO FRUGIS (01.04.01)</t>
        </is>
      </c>
      <c r="H389" s="38" t="inlineStr">
        <is>
          <t>NFV</t>
        </is>
      </c>
      <c r="I389" s="40" t="n">
        <v>157.21</v>
      </c>
      <c r="J389" s="40" t="n">
        <v>0</v>
      </c>
      <c r="K389" s="6">
        <f>I389-J389</f>
        <v/>
      </c>
      <c r="L389" s="6">
        <f>IF(H389="DISTRATO",0,I389)</f>
        <v/>
      </c>
    </row>
    <row r="390">
      <c r="A390" s="38" t="inlineStr">
        <is>
          <t>Conta corrente MFRUGIS08.XLS</t>
        </is>
      </c>
      <c r="B390" s="39" t="n">
        <v>39512</v>
      </c>
      <c r="C390" s="4" t="n">
        <v>39508</v>
      </c>
      <c r="D390" s="5">
        <f>YEAR(C390)</f>
        <v/>
      </c>
      <c r="E390" s="5">
        <f>MONTH(C390)</f>
        <v/>
      </c>
      <c r="F390" s="38" t="inlineStr">
        <is>
          <t>NFV  :TENDA ATACADO LTDA</t>
        </is>
      </c>
      <c r="G390" s="38" t="inlineStr">
        <is>
          <t>MARIO FRUGIS (01.04.01)</t>
        </is>
      </c>
      <c r="H390" s="38" t="inlineStr">
        <is>
          <t>NFV</t>
        </is>
      </c>
      <c r="I390" s="40" t="n">
        <v>136.88</v>
      </c>
      <c r="J390" s="40" t="n">
        <v>0</v>
      </c>
      <c r="K390" s="6">
        <f>I390-J390</f>
        <v/>
      </c>
      <c r="L390" s="6">
        <f>IF(H390="DISTRATO",0,I390)</f>
        <v/>
      </c>
    </row>
    <row r="391">
      <c r="A391" s="38" t="inlineStr">
        <is>
          <t>Conta corrente MFRUGIS08.XLS</t>
        </is>
      </c>
      <c r="B391" s="39" t="n">
        <v>39512</v>
      </c>
      <c r="C391" s="4" t="n">
        <v>39508</v>
      </c>
      <c r="D391" s="5">
        <f>YEAR(C391)</f>
        <v/>
      </c>
      <c r="E391" s="5">
        <f>MONTH(C391)</f>
        <v/>
      </c>
      <c r="F391" s="38" t="inlineStr">
        <is>
          <t>NFV  :TENDA ATACADO LTDA</t>
        </is>
      </c>
      <c r="G391" s="38" t="inlineStr">
        <is>
          <t>MARIO FRUGIS (01.04.01)</t>
        </is>
      </c>
      <c r="H391" s="38" t="inlineStr">
        <is>
          <t>NFV</t>
        </is>
      </c>
      <c r="I391" s="40" t="n">
        <v>11.87</v>
      </c>
      <c r="J391" s="40" t="n">
        <v>0</v>
      </c>
      <c r="K391" s="6">
        <f>I391-J391</f>
        <v/>
      </c>
      <c r="L391" s="6">
        <f>IF(H391="DISTRATO",0,I391)</f>
        <v/>
      </c>
    </row>
    <row r="392">
      <c r="A392" s="38" t="inlineStr">
        <is>
          <t>Conta corrente MFRUGIS08.XLS</t>
        </is>
      </c>
      <c r="B392" s="39" t="n">
        <v>39513</v>
      </c>
      <c r="C392" s="4" t="n">
        <v>39508</v>
      </c>
      <c r="D392" s="5">
        <f>YEAR(C392)</f>
        <v/>
      </c>
      <c r="E392" s="5">
        <f>MONTH(C392)</f>
        <v/>
      </c>
      <c r="F392" s="38" t="inlineStr">
        <is>
          <t>NFV  :TENDA ATACADO LTDA</t>
        </is>
      </c>
      <c r="G392" s="38" t="inlineStr">
        <is>
          <t>MARIO FRUGIS (01.04.01)</t>
        </is>
      </c>
      <c r="H392" s="38" t="inlineStr">
        <is>
          <t>NFV</t>
        </is>
      </c>
      <c r="I392" s="40" t="n">
        <v>125.95</v>
      </c>
      <c r="J392" s="40" t="n">
        <v>0</v>
      </c>
      <c r="K392" s="6">
        <f>I392-J392</f>
        <v/>
      </c>
      <c r="L392" s="6">
        <f>IF(H392="DISTRATO",0,I392)</f>
        <v/>
      </c>
    </row>
    <row r="393">
      <c r="A393" s="38" t="inlineStr">
        <is>
          <t>Conta corrente MFRUGIS08.XLS</t>
        </is>
      </c>
      <c r="B393" s="39" t="n">
        <v>39513</v>
      </c>
      <c r="C393" s="4" t="n">
        <v>39508</v>
      </c>
      <c r="D393" s="5">
        <f>YEAR(C393)</f>
        <v/>
      </c>
      <c r="E393" s="5">
        <f>MONTH(C393)</f>
        <v/>
      </c>
      <c r="F393" s="38" t="inlineStr">
        <is>
          <t>NFV  :TENDA ATACADO LTDA</t>
        </is>
      </c>
      <c r="G393" s="38" t="inlineStr">
        <is>
          <t>MARIO FRUGIS (01.04.01)</t>
        </is>
      </c>
      <c r="H393" s="38" t="inlineStr">
        <is>
          <t>NFV</t>
        </is>
      </c>
      <c r="I393" s="40" t="n">
        <v>7.9</v>
      </c>
      <c r="J393" s="40" t="n">
        <v>0</v>
      </c>
      <c r="K393" s="6">
        <f>I393-J393</f>
        <v/>
      </c>
      <c r="L393" s="6">
        <f>IF(H393="DISTRATO",0,I393)</f>
        <v/>
      </c>
    </row>
    <row r="394">
      <c r="A394" s="38" t="inlineStr">
        <is>
          <t>Conta corrente MFRUGIS08.XLS</t>
        </is>
      </c>
      <c r="B394" s="39" t="n">
        <v>39513</v>
      </c>
      <c r="C394" s="4" t="n">
        <v>39508</v>
      </c>
      <c r="D394" s="5">
        <f>YEAR(C394)</f>
        <v/>
      </c>
      <c r="E394" s="5">
        <f>MONTH(C394)</f>
        <v/>
      </c>
      <c r="F394" s="38" t="inlineStr">
        <is>
          <t>NFV  :TENDA ATACADO LTDA</t>
        </is>
      </c>
      <c r="G394" s="38" t="inlineStr">
        <is>
          <t>MARIO FRUGIS (01.04.01)</t>
        </is>
      </c>
      <c r="H394" s="38" t="inlineStr">
        <is>
          <t>NFV</t>
        </is>
      </c>
      <c r="I394" s="40" t="n">
        <v>186.11</v>
      </c>
      <c r="J394" s="40" t="n">
        <v>0</v>
      </c>
      <c r="K394" s="6">
        <f>I394-J394</f>
        <v/>
      </c>
      <c r="L394" s="6">
        <f>IF(H394="DISTRATO",0,I394)</f>
        <v/>
      </c>
    </row>
    <row r="395">
      <c r="A395" s="38" t="inlineStr">
        <is>
          <t>Conta corrente MFRUGIS08.XLS</t>
        </is>
      </c>
      <c r="B395" s="39" t="n">
        <v>39513</v>
      </c>
      <c r="C395" s="4" t="n">
        <v>39508</v>
      </c>
      <c r="D395" s="5">
        <f>YEAR(C395)</f>
        <v/>
      </c>
      <c r="E395" s="5">
        <f>MONTH(C395)</f>
        <v/>
      </c>
      <c r="F395" s="38" t="inlineStr">
        <is>
          <t>NFV  :TENDA ATACADO LTDA</t>
        </is>
      </c>
      <c r="G395" s="38" t="inlineStr">
        <is>
          <t>MARIO FRUGIS (01.04.01)</t>
        </is>
      </c>
      <c r="H395" s="38" t="inlineStr">
        <is>
          <t>NFV</t>
        </is>
      </c>
      <c r="I395" s="40" t="n">
        <v>15.84</v>
      </c>
      <c r="J395" s="40" t="n">
        <v>0</v>
      </c>
      <c r="K395" s="6">
        <f>I395-J395</f>
        <v/>
      </c>
      <c r="L395" s="6">
        <f>IF(H395="DISTRATO",0,I395)</f>
        <v/>
      </c>
    </row>
    <row r="396">
      <c r="A396" s="38" t="inlineStr">
        <is>
          <t>Conta corrente MFRUGIS08.XLS</t>
        </is>
      </c>
      <c r="B396" s="39" t="n">
        <v>39513</v>
      </c>
      <c r="C396" s="4" t="n">
        <v>39508</v>
      </c>
      <c r="D396" s="5">
        <f>YEAR(C396)</f>
        <v/>
      </c>
      <c r="E396" s="5">
        <f>MONTH(C396)</f>
        <v/>
      </c>
      <c r="F396" s="38" t="inlineStr">
        <is>
          <t>NFV  :TENDA ATACADO LTDA</t>
        </is>
      </c>
      <c r="G396" s="38" t="inlineStr">
        <is>
          <t>MARIO FRUGIS (01.04.01)</t>
        </is>
      </c>
      <c r="H396" s="38" t="inlineStr">
        <is>
          <t>NFV</t>
        </is>
      </c>
      <c r="I396" s="40" t="n">
        <v>96.39</v>
      </c>
      <c r="J396" s="40" t="n">
        <v>0</v>
      </c>
      <c r="K396" s="6">
        <f>I396-J396</f>
        <v/>
      </c>
      <c r="L396" s="6">
        <f>IF(H396="DISTRATO",0,I396)</f>
        <v/>
      </c>
    </row>
    <row r="397">
      <c r="A397" s="38" t="inlineStr">
        <is>
          <t>Conta corrente MFRUGIS08.XLS</t>
        </is>
      </c>
      <c r="B397" s="39" t="n">
        <v>39513</v>
      </c>
      <c r="C397" s="4" t="n">
        <v>39508</v>
      </c>
      <c r="D397" s="5">
        <f>YEAR(C397)</f>
        <v/>
      </c>
      <c r="E397" s="5">
        <f>MONTH(C397)</f>
        <v/>
      </c>
      <c r="F397" s="38" t="inlineStr">
        <is>
          <t>NFV  :TENDA ATACADO LTDA</t>
        </is>
      </c>
      <c r="G397" s="38" t="inlineStr">
        <is>
          <t>MARIO FRUGIS (01.04.01)</t>
        </is>
      </c>
      <c r="H397" s="38" t="inlineStr">
        <is>
          <t>NFV</t>
        </is>
      </c>
      <c r="I397" s="40" t="n">
        <v>11.69</v>
      </c>
      <c r="J397" s="40" t="n">
        <v>0</v>
      </c>
      <c r="K397" s="6">
        <f>I397-J397</f>
        <v/>
      </c>
      <c r="L397" s="6">
        <f>IF(H397="DISTRATO",0,I397)</f>
        <v/>
      </c>
    </row>
    <row r="398">
      <c r="A398" s="38" t="inlineStr">
        <is>
          <t>Conta corrente MFRUGIS08.XLS</t>
        </is>
      </c>
      <c r="B398" s="39" t="n">
        <v>39518</v>
      </c>
      <c r="C398" s="4" t="n">
        <v>39508</v>
      </c>
      <c r="D398" s="5">
        <f>YEAR(C398)</f>
        <v/>
      </c>
      <c r="E398" s="5">
        <f>MONTH(C398)</f>
        <v/>
      </c>
      <c r="F398" s="38" t="inlineStr">
        <is>
          <t>DEV  :TENDA ATACADO LTDA</t>
        </is>
      </c>
      <c r="G398" s="38" t="inlineStr">
        <is>
          <t>MARIO FRUGIS (01.04.01)</t>
        </is>
      </c>
      <c r="H398" s="38" t="inlineStr">
        <is>
          <t>DEVOLUCAO</t>
        </is>
      </c>
      <c r="I398" s="40" t="n">
        <v>-0.74</v>
      </c>
      <c r="J398" s="40" t="n">
        <v>0</v>
      </c>
      <c r="K398" s="6">
        <f>I398-J398</f>
        <v/>
      </c>
      <c r="L398" s="6">
        <f>IF(H398="DISTRATO",0,I398)</f>
        <v/>
      </c>
    </row>
    <row r="399">
      <c r="A399" s="38" t="inlineStr">
        <is>
          <t>Conta corrente MFRUGIS08.XLS</t>
        </is>
      </c>
      <c r="B399" s="39" t="n">
        <v>39531</v>
      </c>
      <c r="C399" s="4" t="n">
        <v>39508</v>
      </c>
      <c r="D399" s="5">
        <f>YEAR(C399)</f>
        <v/>
      </c>
      <c r="E399" s="5">
        <f>MONTH(C399)</f>
        <v/>
      </c>
      <c r="F399" s="38" t="inlineStr">
        <is>
          <t>NFV  :TENDA ATACADO LTDA</t>
        </is>
      </c>
      <c r="G399" s="38" t="inlineStr">
        <is>
          <t>MARIO FRUGIS (01.04.01)</t>
        </is>
      </c>
      <c r="H399" s="38" t="inlineStr">
        <is>
          <t>NFV</t>
        </is>
      </c>
      <c r="I399" s="40" t="n">
        <v>55.58</v>
      </c>
      <c r="J399" s="40" t="n">
        <v>0</v>
      </c>
      <c r="K399" s="6">
        <f>I399-J399</f>
        <v/>
      </c>
      <c r="L399" s="6">
        <f>IF(H399="DISTRATO",0,I399)</f>
        <v/>
      </c>
    </row>
    <row r="400">
      <c r="A400" s="38" t="inlineStr">
        <is>
          <t>Conta corrente MFRUGIS08.XLS</t>
        </is>
      </c>
      <c r="B400" s="39" t="n">
        <v>39531</v>
      </c>
      <c r="C400" s="4" t="n">
        <v>39508</v>
      </c>
      <c r="D400" s="5">
        <f>YEAR(C400)</f>
        <v/>
      </c>
      <c r="E400" s="5">
        <f>MONTH(C400)</f>
        <v/>
      </c>
      <c r="F400" s="38" t="inlineStr">
        <is>
          <t>NFV  :TENDA ATACADO LTDA</t>
        </is>
      </c>
      <c r="G400" s="38" t="inlineStr">
        <is>
          <t>MARIO FRUGIS (01.04.01)</t>
        </is>
      </c>
      <c r="H400" s="38" t="inlineStr">
        <is>
          <t>NFV</t>
        </is>
      </c>
      <c r="I400" s="40" t="n">
        <v>63.27</v>
      </c>
      <c r="J400" s="40" t="n">
        <v>0</v>
      </c>
      <c r="K400" s="6">
        <f>I400-J400</f>
        <v/>
      </c>
      <c r="L400" s="6">
        <f>IF(H400="DISTRATO",0,I400)</f>
        <v/>
      </c>
    </row>
    <row r="401">
      <c r="A401" s="38" t="inlineStr">
        <is>
          <t>Conta corrente MFRUGIS08.XLS</t>
        </is>
      </c>
      <c r="B401" s="39" t="n">
        <v>39531</v>
      </c>
      <c r="C401" s="4" t="n">
        <v>39508</v>
      </c>
      <c r="D401" s="5">
        <f>YEAR(C401)</f>
        <v/>
      </c>
      <c r="E401" s="5">
        <f>MONTH(C401)</f>
        <v/>
      </c>
      <c r="F401" s="38" t="inlineStr">
        <is>
          <t>NFV  :TENDA ATACADO LTDA</t>
        </is>
      </c>
      <c r="G401" s="38" t="inlineStr">
        <is>
          <t>MARIO FRUGIS (01.04.01)</t>
        </is>
      </c>
      <c r="H401" s="38" t="inlineStr">
        <is>
          <t>NFV</t>
        </is>
      </c>
      <c r="I401" s="40" t="n">
        <v>61.15</v>
      </c>
      <c r="J401" s="40" t="n">
        <v>0</v>
      </c>
      <c r="K401" s="6">
        <f>I401-J401</f>
        <v/>
      </c>
      <c r="L401" s="6">
        <f>IF(H401="DISTRATO",0,I401)</f>
        <v/>
      </c>
    </row>
    <row r="402">
      <c r="A402" s="38" t="inlineStr">
        <is>
          <t>Conta corrente MFRUGIS08.XLS</t>
        </is>
      </c>
      <c r="B402" s="39" t="n">
        <v>39531</v>
      </c>
      <c r="C402" s="4" t="n">
        <v>39508</v>
      </c>
      <c r="D402" s="5">
        <f>YEAR(C402)</f>
        <v/>
      </c>
      <c r="E402" s="5">
        <f>MONTH(C402)</f>
        <v/>
      </c>
      <c r="F402" s="38" t="inlineStr">
        <is>
          <t>NFV  :TENDA ATACADO LTDA</t>
        </is>
      </c>
      <c r="G402" s="38" t="inlineStr">
        <is>
          <t>MARIO FRUGIS (01.04.01)</t>
        </is>
      </c>
      <c r="H402" s="38" t="inlineStr">
        <is>
          <t>NFV</t>
        </is>
      </c>
      <c r="I402" s="40" t="n">
        <v>29.57</v>
      </c>
      <c r="J402" s="40" t="n">
        <v>0</v>
      </c>
      <c r="K402" s="6">
        <f>I402-J402</f>
        <v/>
      </c>
      <c r="L402" s="6">
        <f>IF(H402="DISTRATO",0,I402)</f>
        <v/>
      </c>
    </row>
    <row r="403">
      <c r="A403" s="38" t="inlineStr">
        <is>
          <t>Conta corrente MFRUGIS08.XLS</t>
        </is>
      </c>
      <c r="B403" s="39" t="n">
        <v>39531</v>
      </c>
      <c r="C403" s="4" t="n">
        <v>39508</v>
      </c>
      <c r="D403" s="5">
        <f>YEAR(C403)</f>
        <v/>
      </c>
      <c r="E403" s="5">
        <f>MONTH(C403)</f>
        <v/>
      </c>
      <c r="F403" s="38" t="inlineStr">
        <is>
          <t>NFV  :TENDA ATACADO LTDA</t>
        </is>
      </c>
      <c r="G403" s="38" t="inlineStr">
        <is>
          <t>MARIO FRUGIS (01.04.01)</t>
        </is>
      </c>
      <c r="H403" s="38" t="inlineStr">
        <is>
          <t>NFV</t>
        </is>
      </c>
      <c r="I403" s="40" t="n">
        <v>23.44</v>
      </c>
      <c r="J403" s="40" t="n">
        <v>0</v>
      </c>
      <c r="K403" s="6">
        <f>I403-J403</f>
        <v/>
      </c>
      <c r="L403" s="6">
        <f>IF(H403="DISTRATO",0,I403)</f>
        <v/>
      </c>
    </row>
    <row r="404">
      <c r="A404" s="38" t="inlineStr">
        <is>
          <t>Conta corrente MFRUGIS08.XLS</t>
        </is>
      </c>
      <c r="B404" s="39" t="n">
        <v>39531</v>
      </c>
      <c r="C404" s="4" t="n">
        <v>39508</v>
      </c>
      <c r="D404" s="5">
        <f>YEAR(C404)</f>
        <v/>
      </c>
      <c r="E404" s="5">
        <f>MONTH(C404)</f>
        <v/>
      </c>
      <c r="F404" s="38" t="inlineStr">
        <is>
          <t>NFV  :TENDA ATACADO LTDA</t>
        </is>
      </c>
      <c r="G404" s="38" t="inlineStr">
        <is>
          <t>MARIO FRUGIS (01.04.01)</t>
        </is>
      </c>
      <c r="H404" s="38" t="inlineStr">
        <is>
          <t>NFV</t>
        </is>
      </c>
      <c r="I404" s="40" t="n">
        <v>45.9</v>
      </c>
      <c r="J404" s="40" t="n">
        <v>0</v>
      </c>
      <c r="K404" s="6">
        <f>I404-J404</f>
        <v/>
      </c>
      <c r="L404" s="6">
        <f>IF(H404="DISTRATO",0,I404)</f>
        <v/>
      </c>
    </row>
    <row r="405">
      <c r="A405" s="38" t="inlineStr">
        <is>
          <t>Conta corrente MFRUGIS08.XLS</t>
        </is>
      </c>
      <c r="B405" s="39" t="n">
        <v>39531</v>
      </c>
      <c r="C405" s="4" t="n">
        <v>39508</v>
      </c>
      <c r="D405" s="5">
        <f>YEAR(C405)</f>
        <v/>
      </c>
      <c r="E405" s="5">
        <f>MONTH(C405)</f>
        <v/>
      </c>
      <c r="F405" s="38" t="inlineStr">
        <is>
          <t>NFV  :TENDA ATACADO LTDA</t>
        </is>
      </c>
      <c r="G405" s="38" t="inlineStr">
        <is>
          <t>MARIO FRUGIS (01.04.01)</t>
        </is>
      </c>
      <c r="H405" s="38" t="inlineStr">
        <is>
          <t>NFV</t>
        </is>
      </c>
      <c r="I405" s="40" t="n">
        <v>13.96</v>
      </c>
      <c r="J405" s="40" t="n">
        <v>0</v>
      </c>
      <c r="K405" s="6">
        <f>I405-J405</f>
        <v/>
      </c>
      <c r="L405" s="6">
        <f>IF(H405="DISTRATO",0,I405)</f>
        <v/>
      </c>
    </row>
    <row r="406">
      <c r="A406" s="38" t="inlineStr">
        <is>
          <t>Conta corrente MFRUGIS08.XLS</t>
        </is>
      </c>
      <c r="B406" s="39" t="n">
        <v>39531</v>
      </c>
      <c r="C406" s="4" t="n">
        <v>39508</v>
      </c>
      <c r="D406" s="5">
        <f>YEAR(C406)</f>
        <v/>
      </c>
      <c r="E406" s="5">
        <f>MONTH(C406)</f>
        <v/>
      </c>
      <c r="F406" s="38" t="inlineStr">
        <is>
          <t>NFV  :TENDA ATACADO LTDA</t>
        </is>
      </c>
      <c r="G406" s="38" t="inlineStr">
        <is>
          <t>MARIO FRUGIS (01.04.01)</t>
        </is>
      </c>
      <c r="H406" s="38" t="inlineStr">
        <is>
          <t>NFV</t>
        </is>
      </c>
      <c r="I406" s="40" t="n">
        <v>60.34</v>
      </c>
      <c r="J406" s="40" t="n">
        <v>0</v>
      </c>
      <c r="K406" s="6">
        <f>I406-J406</f>
        <v/>
      </c>
      <c r="L406" s="6">
        <f>IF(H406="DISTRATO",0,I406)</f>
        <v/>
      </c>
    </row>
    <row r="407">
      <c r="A407" s="38" t="inlineStr">
        <is>
          <t>Conta corrente MFRUGIS08.XLS</t>
        </is>
      </c>
      <c r="B407" s="39" t="n">
        <v>39531</v>
      </c>
      <c r="C407" s="4" t="n">
        <v>39508</v>
      </c>
      <c r="D407" s="5">
        <f>YEAR(C407)</f>
        <v/>
      </c>
      <c r="E407" s="5">
        <f>MONTH(C407)</f>
        <v/>
      </c>
      <c r="F407" s="38" t="inlineStr">
        <is>
          <t>NFV  :TENDA ATACADO LTDA</t>
        </is>
      </c>
      <c r="G407" s="38" t="inlineStr">
        <is>
          <t>MARIO FRUGIS (01.04.01)</t>
        </is>
      </c>
      <c r="H407" s="38" t="inlineStr">
        <is>
          <t>NFV</t>
        </is>
      </c>
      <c r="I407" s="40" t="n">
        <v>23.01</v>
      </c>
      <c r="J407" s="40" t="n">
        <v>0</v>
      </c>
      <c r="K407" s="6">
        <f>I407-J407</f>
        <v/>
      </c>
      <c r="L407" s="6">
        <f>IF(H407="DISTRATO",0,I407)</f>
        <v/>
      </c>
    </row>
    <row r="408">
      <c r="A408" s="38" t="inlineStr">
        <is>
          <t>Conta corrente MFRUGIS08.XLS</t>
        </is>
      </c>
      <c r="B408" s="39" t="n">
        <v>39538</v>
      </c>
      <c r="C408" s="4" t="n">
        <v>39508</v>
      </c>
      <c r="D408" s="5">
        <f>YEAR(C408)</f>
        <v/>
      </c>
      <c r="E408" s="5">
        <f>MONTH(C408)</f>
        <v/>
      </c>
      <c r="F408" s="38" t="inlineStr">
        <is>
          <t>DIF PERCENTUAL (ajuste de % do Tenda)</t>
        </is>
      </c>
      <c r="G408" s="38" t="inlineStr">
        <is>
          <t>MARIO FRUGIS (01.04.01)</t>
        </is>
      </c>
      <c r="H408" s="38" t="inlineStr">
        <is>
          <t>AJUSTE % TENDA</t>
        </is>
      </c>
      <c r="I408" s="40" t="n">
        <v>431.43</v>
      </c>
      <c r="J408" s="40" t="n">
        <v>0</v>
      </c>
      <c r="K408" s="6">
        <f>I408-J408</f>
        <v/>
      </c>
      <c r="L408" s="6">
        <f>IF(H408="DISTRATO",0,I408)</f>
        <v/>
      </c>
    </row>
    <row r="409">
      <c r="A409" s="38" t="inlineStr">
        <is>
          <t>Conta corrente MFRUGIS08.XLS</t>
        </is>
      </c>
      <c r="B409" s="39" t="n">
        <v>39548</v>
      </c>
      <c r="C409" s="4" t="n">
        <v>39539</v>
      </c>
      <c r="D409" s="5">
        <f>YEAR(C409)</f>
        <v/>
      </c>
      <c r="E409" s="5">
        <f>MONTH(C409)</f>
        <v/>
      </c>
      <c r="F409" s="38" t="inlineStr">
        <is>
          <t>NFV  :TENDA ATACADO LTDA</t>
        </is>
      </c>
      <c r="G409" s="38" t="inlineStr">
        <is>
          <t>MARIO FRUGIS (01.04.01)</t>
        </is>
      </c>
      <c r="H409" s="38" t="inlineStr">
        <is>
          <t>NFV</t>
        </is>
      </c>
      <c r="I409" s="40" t="n">
        <v>85.67</v>
      </c>
      <c r="J409" s="40" t="n">
        <v>0</v>
      </c>
      <c r="K409" s="6">
        <f>I409-J409</f>
        <v/>
      </c>
      <c r="L409" s="6">
        <f>IF(H409="DISTRATO",0,I409)</f>
        <v/>
      </c>
    </row>
    <row r="410">
      <c r="A410" s="38" t="inlineStr">
        <is>
          <t>Conta corrente MFRUGIS08.XLS</t>
        </is>
      </c>
      <c r="B410" s="39" t="n">
        <v>39548</v>
      </c>
      <c r="C410" s="4" t="n">
        <v>39539</v>
      </c>
      <c r="D410" s="5">
        <f>YEAR(C410)</f>
        <v/>
      </c>
      <c r="E410" s="5">
        <f>MONTH(C410)</f>
        <v/>
      </c>
      <c r="F410" s="38" t="inlineStr">
        <is>
          <t>NFV  :TENDA ATACADO LTDA</t>
        </is>
      </c>
      <c r="G410" s="38" t="inlineStr">
        <is>
          <t>MARIO FRUGIS (01.04.01)</t>
        </is>
      </c>
      <c r="H410" s="38" t="inlineStr">
        <is>
          <t>NFV</t>
        </is>
      </c>
      <c r="I410" s="40" t="n">
        <v>150.14</v>
      </c>
      <c r="J410" s="40" t="n">
        <v>0</v>
      </c>
      <c r="K410" s="6">
        <f>I410-J410</f>
        <v/>
      </c>
      <c r="L410" s="6">
        <f>IF(H410="DISTRATO",0,I410)</f>
        <v/>
      </c>
    </row>
    <row r="411">
      <c r="A411" s="38" t="inlineStr">
        <is>
          <t>Conta corrente MFRUGIS08.XLS</t>
        </is>
      </c>
      <c r="B411" s="39" t="n">
        <v>39548</v>
      </c>
      <c r="C411" s="4" t="n">
        <v>39539</v>
      </c>
      <c r="D411" s="5">
        <f>YEAR(C411)</f>
        <v/>
      </c>
      <c r="E411" s="5">
        <f>MONTH(C411)</f>
        <v/>
      </c>
      <c r="F411" s="38" t="inlineStr">
        <is>
          <t>NFV  :TENDA ATACADO LTDA</t>
        </is>
      </c>
      <c r="G411" s="38" t="inlineStr">
        <is>
          <t>MARIO FRUGIS (01.04.01)</t>
        </is>
      </c>
      <c r="H411" s="38" t="inlineStr">
        <is>
          <t>NFV</t>
        </is>
      </c>
      <c r="I411" s="40" t="n">
        <v>60.24</v>
      </c>
      <c r="J411" s="40" t="n">
        <v>0</v>
      </c>
      <c r="K411" s="6">
        <f>I411-J411</f>
        <v/>
      </c>
      <c r="L411" s="6">
        <f>IF(H411="DISTRATO",0,I411)</f>
        <v/>
      </c>
    </row>
    <row r="412">
      <c r="A412" s="38" t="inlineStr">
        <is>
          <t>Conta corrente MFRUGIS08.XLS</t>
        </is>
      </c>
      <c r="B412" s="39" t="n">
        <v>39548</v>
      </c>
      <c r="C412" s="4" t="n">
        <v>39539</v>
      </c>
      <c r="D412" s="5">
        <f>YEAR(C412)</f>
        <v/>
      </c>
      <c r="E412" s="5">
        <f>MONTH(C412)</f>
        <v/>
      </c>
      <c r="F412" s="38" t="inlineStr">
        <is>
          <t>NFV  :TENDA ATACADO LTDA</t>
        </is>
      </c>
      <c r="G412" s="38" t="inlineStr">
        <is>
          <t>MARIO FRUGIS (01.04.01)</t>
        </is>
      </c>
      <c r="H412" s="38" t="inlineStr">
        <is>
          <t>NFV</t>
        </is>
      </c>
      <c r="I412" s="40" t="n">
        <v>75.86</v>
      </c>
      <c r="J412" s="40" t="n">
        <v>0</v>
      </c>
      <c r="K412" s="6">
        <f>I412-J412</f>
        <v/>
      </c>
      <c r="L412" s="6">
        <f>IF(H412="DISTRATO",0,I412)</f>
        <v/>
      </c>
    </row>
    <row r="413">
      <c r="A413" s="38" t="inlineStr">
        <is>
          <t>Conta corrente MFRUGIS08.XLS</t>
        </is>
      </c>
      <c r="B413" s="39" t="n">
        <v>39548</v>
      </c>
      <c r="C413" s="4" t="n">
        <v>39539</v>
      </c>
      <c r="D413" s="5">
        <f>YEAR(C413)</f>
        <v/>
      </c>
      <c r="E413" s="5">
        <f>MONTH(C413)</f>
        <v/>
      </c>
      <c r="F413" s="38" t="inlineStr">
        <is>
          <t>NFV  :TENDA ATACADO LTDA</t>
        </is>
      </c>
      <c r="G413" s="38" t="inlineStr">
        <is>
          <t>MARIO FRUGIS (01.04.01)</t>
        </is>
      </c>
      <c r="H413" s="38" t="inlineStr">
        <is>
          <t>NFV</t>
        </is>
      </c>
      <c r="I413" s="40" t="n">
        <v>104.85</v>
      </c>
      <c r="J413" s="40" t="n">
        <v>0</v>
      </c>
      <c r="K413" s="6">
        <f>I413-J413</f>
        <v/>
      </c>
      <c r="L413" s="6">
        <f>IF(H413="DISTRATO",0,I413)</f>
        <v/>
      </c>
    </row>
    <row r="414">
      <c r="A414" s="38" t="inlineStr">
        <is>
          <t>Conta corrente MFRUGIS08.XLS</t>
        </is>
      </c>
      <c r="B414" s="39" t="n">
        <v>39548</v>
      </c>
      <c r="C414" s="4" t="n">
        <v>39539</v>
      </c>
      <c r="D414" s="5">
        <f>YEAR(C414)</f>
        <v/>
      </c>
      <c r="E414" s="5">
        <f>MONTH(C414)</f>
        <v/>
      </c>
      <c r="F414" s="38" t="inlineStr">
        <is>
          <t>NFV  :TENDA ATACADO LTDA</t>
        </is>
      </c>
      <c r="G414" s="38" t="inlineStr">
        <is>
          <t>MARIO FRUGIS (01.04.01)</t>
        </is>
      </c>
      <c r="H414" s="38" t="inlineStr">
        <is>
          <t>NFV</t>
        </is>
      </c>
      <c r="I414" s="40" t="n">
        <v>115.08</v>
      </c>
      <c r="J414" s="40" t="n">
        <v>0</v>
      </c>
      <c r="K414" s="6">
        <f>I414-J414</f>
        <v/>
      </c>
      <c r="L414" s="6">
        <f>IF(H414="DISTRATO",0,I414)</f>
        <v/>
      </c>
    </row>
    <row r="415">
      <c r="A415" s="38" t="inlineStr">
        <is>
          <t>Conta corrente MFRUGIS08.XLS</t>
        </is>
      </c>
      <c r="B415" s="39" t="n">
        <v>39548</v>
      </c>
      <c r="C415" s="4" t="n">
        <v>39539</v>
      </c>
      <c r="D415" s="5">
        <f>YEAR(C415)</f>
        <v/>
      </c>
      <c r="E415" s="5">
        <f>MONTH(C415)</f>
        <v/>
      </c>
      <c r="F415" s="38" t="inlineStr">
        <is>
          <t>NFV  :TENDA ATACADO LTDA</t>
        </is>
      </c>
      <c r="G415" s="38" t="inlineStr">
        <is>
          <t>MARIO FRUGIS (01.04.01)</t>
        </is>
      </c>
      <c r="H415" s="38" t="inlineStr">
        <is>
          <t>NFV</t>
        </is>
      </c>
      <c r="I415" s="40" t="n">
        <v>84.86</v>
      </c>
      <c r="J415" s="40" t="n">
        <v>0</v>
      </c>
      <c r="K415" s="6">
        <f>I415-J415</f>
        <v/>
      </c>
      <c r="L415" s="6">
        <f>IF(H415="DISTRATO",0,I415)</f>
        <v/>
      </c>
    </row>
    <row r="416">
      <c r="A416" s="38" t="inlineStr">
        <is>
          <t>Conta corrente MFRUGIS08.XLS</t>
        </is>
      </c>
      <c r="B416" s="39" t="n">
        <v>39548</v>
      </c>
      <c r="C416" s="4" t="n">
        <v>39539</v>
      </c>
      <c r="D416" s="5">
        <f>YEAR(C416)</f>
        <v/>
      </c>
      <c r="E416" s="5">
        <f>MONTH(C416)</f>
        <v/>
      </c>
      <c r="F416" s="38" t="inlineStr">
        <is>
          <t>NFV  :TENDA ATACADO LTDA</t>
        </is>
      </c>
      <c r="G416" s="38" t="inlineStr">
        <is>
          <t>MARIO FRUGIS (01.04.01)</t>
        </is>
      </c>
      <c r="H416" s="38" t="inlineStr">
        <is>
          <t>NFV</t>
        </is>
      </c>
      <c r="I416" s="40" t="n">
        <v>97.28</v>
      </c>
      <c r="J416" s="40" t="n">
        <v>0</v>
      </c>
      <c r="K416" s="6">
        <f>I416-J416</f>
        <v/>
      </c>
      <c r="L416" s="6">
        <f>IF(H416="DISTRATO",0,I416)</f>
        <v/>
      </c>
    </row>
    <row r="417">
      <c r="A417" s="38" t="inlineStr">
        <is>
          <t>Conta corrente MFRUGIS08.XLS</t>
        </is>
      </c>
      <c r="B417" s="39" t="n">
        <v>39548</v>
      </c>
      <c r="C417" s="4" t="n">
        <v>39539</v>
      </c>
      <c r="D417" s="5">
        <f>YEAR(C417)</f>
        <v/>
      </c>
      <c r="E417" s="5">
        <f>MONTH(C417)</f>
        <v/>
      </c>
      <c r="F417" s="38" t="inlineStr">
        <is>
          <t>NFV  :TENDA ATACADO LTDA</t>
        </is>
      </c>
      <c r="G417" s="38" t="inlineStr">
        <is>
          <t>MARIO FRUGIS (01.04.01)</t>
        </is>
      </c>
      <c r="H417" s="38" t="inlineStr">
        <is>
          <t>NFV</t>
        </is>
      </c>
      <c r="I417" s="40" t="n">
        <v>111.67</v>
      </c>
      <c r="J417" s="40" t="n">
        <v>0</v>
      </c>
      <c r="K417" s="6">
        <f>I417-J417</f>
        <v/>
      </c>
      <c r="L417" s="6">
        <f>IF(H417="DISTRATO",0,I417)</f>
        <v/>
      </c>
    </row>
    <row r="418">
      <c r="A418" s="38" t="inlineStr">
        <is>
          <t>Conta corrente MFRUGIS08.XLS</t>
        </is>
      </c>
      <c r="B418" s="39" t="n">
        <v>39552</v>
      </c>
      <c r="C418" s="4" t="n">
        <v>39539</v>
      </c>
      <c r="D418" s="5">
        <f>YEAR(C418)</f>
        <v/>
      </c>
      <c r="E418" s="5">
        <f>MONTH(C418)</f>
        <v/>
      </c>
      <c r="F418" s="38" t="inlineStr">
        <is>
          <t>DEV  :TENDA ATACADO LTDA</t>
        </is>
      </c>
      <c r="G418" s="38" t="inlineStr">
        <is>
          <t>MARIO FRUGIS (01.04.01)</t>
        </is>
      </c>
      <c r="H418" s="38" t="inlineStr">
        <is>
          <t>DEVOLUCAO</t>
        </is>
      </c>
      <c r="I418" s="40" t="n">
        <v>-1.53</v>
      </c>
      <c r="J418" s="40" t="n">
        <v>0</v>
      </c>
      <c r="K418" s="6">
        <f>I418-J418</f>
        <v/>
      </c>
      <c r="L418" s="6">
        <f>IF(H418="DISTRATO",0,I418)</f>
        <v/>
      </c>
    </row>
    <row r="419">
      <c r="A419" s="38" t="inlineStr">
        <is>
          <t>Conta corrente MFRUGIS08.XLS</t>
        </is>
      </c>
      <c r="B419" s="39" t="n">
        <v>39562</v>
      </c>
      <c r="C419" s="4" t="n">
        <v>39539</v>
      </c>
      <c r="D419" s="5">
        <f>YEAR(C419)</f>
        <v/>
      </c>
      <c r="E419" s="5">
        <f>MONTH(C419)</f>
        <v/>
      </c>
      <c r="F419" s="38" t="inlineStr">
        <is>
          <t>NFV  :TENDA ATACADO LTDA</t>
        </is>
      </c>
      <c r="G419" s="38" t="inlineStr">
        <is>
          <t>MARIO FRUGIS (01.04.01)</t>
        </is>
      </c>
      <c r="H419" s="38" t="inlineStr">
        <is>
          <t>NFV</t>
        </is>
      </c>
      <c r="I419" s="40" t="n">
        <v>24.59</v>
      </c>
      <c r="J419" s="40" t="n">
        <v>0</v>
      </c>
      <c r="K419" s="6">
        <f>I419-J419</f>
        <v/>
      </c>
      <c r="L419" s="6">
        <f>IF(H419="DISTRATO",0,I419)</f>
        <v/>
      </c>
    </row>
    <row r="420">
      <c r="A420" s="38" t="inlineStr">
        <is>
          <t>Conta corrente MFRUGIS08.XLS</t>
        </is>
      </c>
      <c r="B420" s="39" t="n">
        <v>39562</v>
      </c>
      <c r="C420" s="4" t="n">
        <v>39539</v>
      </c>
      <c r="D420" s="5">
        <f>YEAR(C420)</f>
        <v/>
      </c>
      <c r="E420" s="5">
        <f>MONTH(C420)</f>
        <v/>
      </c>
      <c r="F420" s="38" t="inlineStr">
        <is>
          <t>NFV  :TENDA ATACADO LTDA</t>
        </is>
      </c>
      <c r="G420" s="38" t="inlineStr">
        <is>
          <t>MARIO FRUGIS (01.04.01)</t>
        </is>
      </c>
      <c r="H420" s="38" t="inlineStr">
        <is>
          <t>NFV</t>
        </is>
      </c>
      <c r="I420" s="40" t="n">
        <v>35.39</v>
      </c>
      <c r="J420" s="40" t="n">
        <v>0</v>
      </c>
      <c r="K420" s="6">
        <f>I420-J420</f>
        <v/>
      </c>
      <c r="L420" s="6">
        <f>IF(H420="DISTRATO",0,I420)</f>
        <v/>
      </c>
    </row>
    <row r="421">
      <c r="A421" s="38" t="inlineStr">
        <is>
          <t>Conta corrente MFRUGIS08.XLS</t>
        </is>
      </c>
      <c r="B421" s="39" t="n">
        <v>39562</v>
      </c>
      <c r="C421" s="4" t="n">
        <v>39539</v>
      </c>
      <c r="D421" s="5">
        <f>YEAR(C421)</f>
        <v/>
      </c>
      <c r="E421" s="5">
        <f>MONTH(C421)</f>
        <v/>
      </c>
      <c r="F421" s="38" t="inlineStr">
        <is>
          <t>NFV  :TENDA ATACADO LTDA</t>
        </is>
      </c>
      <c r="G421" s="38" t="inlineStr">
        <is>
          <t>MARIO FRUGIS (01.04.01)</t>
        </is>
      </c>
      <c r="H421" s="38" t="inlineStr">
        <is>
          <t>NFV</t>
        </is>
      </c>
      <c r="I421" s="40" t="n">
        <v>39.7</v>
      </c>
      <c r="J421" s="40" t="n">
        <v>0</v>
      </c>
      <c r="K421" s="6">
        <f>I421-J421</f>
        <v/>
      </c>
      <c r="L421" s="6">
        <f>IF(H421="DISTRATO",0,I421)</f>
        <v/>
      </c>
    </row>
    <row r="422">
      <c r="A422" s="38" t="inlineStr">
        <is>
          <t>Conta corrente MFRUGIS08.XLS</t>
        </is>
      </c>
      <c r="B422" s="39" t="n">
        <v>39562</v>
      </c>
      <c r="C422" s="4" t="n">
        <v>39539</v>
      </c>
      <c r="D422" s="5">
        <f>YEAR(C422)</f>
        <v/>
      </c>
      <c r="E422" s="5">
        <f>MONTH(C422)</f>
        <v/>
      </c>
      <c r="F422" s="38" t="inlineStr">
        <is>
          <t>NFV  :TENDA ATACADO LTDA</t>
        </is>
      </c>
      <c r="G422" s="38" t="inlineStr">
        <is>
          <t>MARIO FRUGIS (01.04.01)</t>
        </is>
      </c>
      <c r="H422" s="38" t="inlineStr">
        <is>
          <t>NFV</t>
        </is>
      </c>
      <c r="I422" s="40" t="n">
        <v>23.95</v>
      </c>
      <c r="J422" s="40" t="n">
        <v>0</v>
      </c>
      <c r="K422" s="6">
        <f>I422-J422</f>
        <v/>
      </c>
      <c r="L422" s="6">
        <f>IF(H422="DISTRATO",0,I422)</f>
        <v/>
      </c>
    </row>
    <row r="423">
      <c r="A423" s="38" t="inlineStr">
        <is>
          <t>Conta corrente MFRUGIS08.XLS</t>
        </is>
      </c>
      <c r="B423" s="39" t="n">
        <v>39562</v>
      </c>
      <c r="C423" s="4" t="n">
        <v>39539</v>
      </c>
      <c r="D423" s="5">
        <f>YEAR(C423)</f>
        <v/>
      </c>
      <c r="E423" s="5">
        <f>MONTH(C423)</f>
        <v/>
      </c>
      <c r="F423" s="38" t="inlineStr">
        <is>
          <t>NFV  :TENDA ATACADO LTDA</t>
        </is>
      </c>
      <c r="G423" s="38" t="inlineStr">
        <is>
          <t>MARIO FRUGIS (01.04.01)</t>
        </is>
      </c>
      <c r="H423" s="38" t="inlineStr">
        <is>
          <t>NFV</t>
        </is>
      </c>
      <c r="I423" s="40" t="n">
        <v>23.97</v>
      </c>
      <c r="J423" s="40" t="n">
        <v>0</v>
      </c>
      <c r="K423" s="6">
        <f>I423-J423</f>
        <v/>
      </c>
      <c r="L423" s="6">
        <f>IF(H423="DISTRATO",0,I423)</f>
        <v/>
      </c>
    </row>
    <row r="424">
      <c r="A424" s="38" t="inlineStr">
        <is>
          <t>Conta corrente MFRUGIS08.XLS</t>
        </is>
      </c>
      <c r="B424" s="39" t="n">
        <v>39562</v>
      </c>
      <c r="C424" s="4" t="n">
        <v>39539</v>
      </c>
      <c r="D424" s="5">
        <f>YEAR(C424)</f>
        <v/>
      </c>
      <c r="E424" s="5">
        <f>MONTH(C424)</f>
        <v/>
      </c>
      <c r="F424" s="38" t="inlineStr">
        <is>
          <t>NFV  :TENDA ATACADO LTDA</t>
        </is>
      </c>
      <c r="G424" s="38" t="inlineStr">
        <is>
          <t>MARIO FRUGIS (01.04.01)</t>
        </is>
      </c>
      <c r="H424" s="38" t="inlineStr">
        <is>
          <t>NFV</t>
        </is>
      </c>
      <c r="I424" s="40" t="n">
        <v>32.99</v>
      </c>
      <c r="J424" s="40" t="n">
        <v>0</v>
      </c>
      <c r="K424" s="6">
        <f>I424-J424</f>
        <v/>
      </c>
      <c r="L424" s="6">
        <f>IF(H424="DISTRATO",0,I424)</f>
        <v/>
      </c>
    </row>
    <row r="425">
      <c r="A425" s="38" t="inlineStr">
        <is>
          <t>Conta corrente MFRUGIS08.XLS</t>
        </is>
      </c>
      <c r="B425" s="39" t="n">
        <v>39562</v>
      </c>
      <c r="C425" s="4" t="n">
        <v>39539</v>
      </c>
      <c r="D425" s="5">
        <f>YEAR(C425)</f>
        <v/>
      </c>
      <c r="E425" s="5">
        <f>MONTH(C425)</f>
        <v/>
      </c>
      <c r="F425" s="38" t="inlineStr">
        <is>
          <t>NFV  :TENDA ATACADO LTDA</t>
        </is>
      </c>
      <c r="G425" s="38" t="inlineStr">
        <is>
          <t>MARIO FRUGIS (01.04.01)</t>
        </is>
      </c>
      <c r="H425" s="38" t="inlineStr">
        <is>
          <t>NFV</t>
        </is>
      </c>
      <c r="I425" s="40" t="n">
        <v>95.06</v>
      </c>
      <c r="J425" s="40" t="n">
        <v>0</v>
      </c>
      <c r="K425" s="6">
        <f>I425-J425</f>
        <v/>
      </c>
      <c r="L425" s="6">
        <f>IF(H425="DISTRATO",0,I425)</f>
        <v/>
      </c>
    </row>
    <row r="426">
      <c r="A426" s="38" t="inlineStr">
        <is>
          <t>Conta corrente MFRUGIS08.XLS</t>
        </is>
      </c>
      <c r="B426" s="39" t="n">
        <v>39562</v>
      </c>
      <c r="C426" s="4" t="n">
        <v>39539</v>
      </c>
      <c r="D426" s="5">
        <f>YEAR(C426)</f>
        <v/>
      </c>
      <c r="E426" s="5">
        <f>MONTH(C426)</f>
        <v/>
      </c>
      <c r="F426" s="38" t="inlineStr">
        <is>
          <t>NFV  :TENDA ATACADO LTDA</t>
        </is>
      </c>
      <c r="G426" s="38" t="inlineStr">
        <is>
          <t>MARIO FRUGIS (01.04.01)</t>
        </is>
      </c>
      <c r="H426" s="38" t="inlineStr">
        <is>
          <t>NFV</t>
        </is>
      </c>
      <c r="I426" s="40" t="n">
        <v>23.77</v>
      </c>
      <c r="J426" s="40" t="n">
        <v>0</v>
      </c>
      <c r="K426" s="6">
        <f>I426-J426</f>
        <v/>
      </c>
      <c r="L426" s="6">
        <f>IF(H426="DISTRATO",0,I426)</f>
        <v/>
      </c>
    </row>
    <row r="427">
      <c r="A427" s="38" t="inlineStr">
        <is>
          <t>Conta corrente MFRUGIS08.XLS</t>
        </is>
      </c>
      <c r="B427" s="39" t="n">
        <v>39562</v>
      </c>
      <c r="C427" s="4" t="n">
        <v>39539</v>
      </c>
      <c r="D427" s="5">
        <f>YEAR(C427)</f>
        <v/>
      </c>
      <c r="E427" s="5">
        <f>MONTH(C427)</f>
        <v/>
      </c>
      <c r="F427" s="38" t="inlineStr">
        <is>
          <t>NFV  :TENDA ATACADO LTDA</t>
        </is>
      </c>
      <c r="G427" s="38" t="inlineStr">
        <is>
          <t>MARIO FRUGIS (01.04.01)</t>
        </is>
      </c>
      <c r="H427" s="38" t="inlineStr">
        <is>
          <t>NFV</t>
        </is>
      </c>
      <c r="I427" s="40" t="n">
        <v>23.49</v>
      </c>
      <c r="J427" s="40" t="n">
        <v>0</v>
      </c>
      <c r="K427" s="6">
        <f>I427-J427</f>
        <v/>
      </c>
      <c r="L427" s="6">
        <f>IF(H427="DISTRATO",0,I427)</f>
        <v/>
      </c>
    </row>
    <row r="428">
      <c r="A428" s="38" t="inlineStr">
        <is>
          <t>Conta corrente MFRUGIS08.XLS</t>
        </is>
      </c>
      <c r="B428" s="39" t="n">
        <v>39562</v>
      </c>
      <c r="C428" s="4" t="n">
        <v>39539</v>
      </c>
      <c r="D428" s="5">
        <f>YEAR(C428)</f>
        <v/>
      </c>
      <c r="E428" s="5">
        <f>MONTH(C428)</f>
        <v/>
      </c>
      <c r="F428" s="38" t="inlineStr">
        <is>
          <t>NFV  :TENDA ATACADO LTDA</t>
        </is>
      </c>
      <c r="G428" s="38" t="inlineStr">
        <is>
          <t>MARIO FRUGIS (01.04.01)</t>
        </is>
      </c>
      <c r="H428" s="38" t="inlineStr">
        <is>
          <t>NFV</t>
        </is>
      </c>
      <c r="I428" s="40" t="n">
        <v>64.01000000000001</v>
      </c>
      <c r="J428" s="40" t="n">
        <v>0</v>
      </c>
      <c r="K428" s="6">
        <f>I428-J428</f>
        <v/>
      </c>
      <c r="L428" s="6">
        <f>IF(H428="DISTRATO",0,I428)</f>
        <v/>
      </c>
    </row>
    <row r="429">
      <c r="A429" s="38" t="inlineStr">
        <is>
          <t>Conta corrente MFRUGIS08.XLS</t>
        </is>
      </c>
      <c r="B429" s="39" t="n">
        <v>39562</v>
      </c>
      <c r="C429" s="4" t="n">
        <v>39539</v>
      </c>
      <c r="D429" s="5">
        <f>YEAR(C429)</f>
        <v/>
      </c>
      <c r="E429" s="5">
        <f>MONTH(C429)</f>
        <v/>
      </c>
      <c r="F429" s="38" t="inlineStr">
        <is>
          <t>NFV  :TENDA ATACADO LTDA</t>
        </is>
      </c>
      <c r="G429" s="38" t="inlineStr">
        <is>
          <t>MARIO FRUGIS (01.04.01)</t>
        </is>
      </c>
      <c r="H429" s="38" t="inlineStr">
        <is>
          <t>NFV</t>
        </is>
      </c>
      <c r="I429" s="40" t="n">
        <v>90.63</v>
      </c>
      <c r="J429" s="40" t="n">
        <v>0</v>
      </c>
      <c r="K429" s="6">
        <f>I429-J429</f>
        <v/>
      </c>
      <c r="L429" s="6">
        <f>IF(H429="DISTRATO",0,I429)</f>
        <v/>
      </c>
    </row>
    <row r="430">
      <c r="A430" s="38" t="inlineStr">
        <is>
          <t>Conta corrente MFRUGIS08.XLS</t>
        </is>
      </c>
      <c r="B430" s="39" t="n">
        <v>39562</v>
      </c>
      <c r="C430" s="4" t="n">
        <v>39539</v>
      </c>
      <c r="D430" s="5">
        <f>YEAR(C430)</f>
        <v/>
      </c>
      <c r="E430" s="5">
        <f>MONTH(C430)</f>
        <v/>
      </c>
      <c r="F430" s="38" t="inlineStr">
        <is>
          <t>NFV  :TENDA ATACADO LTDA</t>
        </is>
      </c>
      <c r="G430" s="38" t="inlineStr">
        <is>
          <t>MARIO FRUGIS (01.04.01)</t>
        </is>
      </c>
      <c r="H430" s="38" t="inlineStr">
        <is>
          <t>NFV</t>
        </is>
      </c>
      <c r="I430" s="40" t="n">
        <v>16.2</v>
      </c>
      <c r="J430" s="40" t="n">
        <v>0</v>
      </c>
      <c r="K430" s="6">
        <f>I430-J430</f>
        <v/>
      </c>
      <c r="L430" s="6">
        <f>IF(H430="DISTRATO",0,I430)</f>
        <v/>
      </c>
    </row>
    <row r="431">
      <c r="A431" s="38" t="inlineStr">
        <is>
          <t>Conta corrente MFRUGIS08.XLS</t>
        </is>
      </c>
      <c r="B431" s="39" t="n">
        <v>39562</v>
      </c>
      <c r="C431" s="4" t="n">
        <v>39539</v>
      </c>
      <c r="D431" s="5">
        <f>YEAR(C431)</f>
        <v/>
      </c>
      <c r="E431" s="5">
        <f>MONTH(C431)</f>
        <v/>
      </c>
      <c r="F431" s="38" t="inlineStr">
        <is>
          <t>NFV  :TENDA ATACADO LTDA</t>
        </is>
      </c>
      <c r="G431" s="38" t="inlineStr">
        <is>
          <t>MARIO FRUGIS (01.04.01)</t>
        </is>
      </c>
      <c r="H431" s="38" t="inlineStr">
        <is>
          <t>NFV</t>
        </is>
      </c>
      <c r="I431" s="40" t="n">
        <v>65.91</v>
      </c>
      <c r="J431" s="40" t="n">
        <v>0</v>
      </c>
      <c r="K431" s="6">
        <f>I431-J431</f>
        <v/>
      </c>
      <c r="L431" s="6">
        <f>IF(H431="DISTRATO",0,I431)</f>
        <v/>
      </c>
    </row>
    <row r="432">
      <c r="A432" s="38" t="inlineStr">
        <is>
          <t>Conta corrente MFRUGIS08.XLS</t>
        </is>
      </c>
      <c r="B432" s="39" t="n">
        <v>39562</v>
      </c>
      <c r="C432" s="4" t="n">
        <v>39539</v>
      </c>
      <c r="D432" s="5">
        <f>YEAR(C432)</f>
        <v/>
      </c>
      <c r="E432" s="5">
        <f>MONTH(C432)</f>
        <v/>
      </c>
      <c r="F432" s="38" t="inlineStr">
        <is>
          <t>NFV  :TENDA ATACADO LTDA</t>
        </is>
      </c>
      <c r="G432" s="38" t="inlineStr">
        <is>
          <t>MARIO FRUGIS (01.04.01)</t>
        </is>
      </c>
      <c r="H432" s="38" t="inlineStr">
        <is>
          <t>NFV</t>
        </is>
      </c>
      <c r="I432" s="40" t="n">
        <v>24.63</v>
      </c>
      <c r="J432" s="40" t="n">
        <v>0</v>
      </c>
      <c r="K432" s="6">
        <f>I432-J432</f>
        <v/>
      </c>
      <c r="L432" s="6">
        <f>IF(H432="DISTRATO",0,I432)</f>
        <v/>
      </c>
    </row>
    <row r="433">
      <c r="A433" s="38" t="inlineStr">
        <is>
          <t>Conta corrente MFRUGIS08.XLS</t>
        </is>
      </c>
      <c r="B433" s="39" t="n">
        <v>39562</v>
      </c>
      <c r="C433" s="4" t="n">
        <v>39539</v>
      </c>
      <c r="D433" s="5">
        <f>YEAR(C433)</f>
        <v/>
      </c>
      <c r="E433" s="5">
        <f>MONTH(C433)</f>
        <v/>
      </c>
      <c r="F433" s="38" t="inlineStr">
        <is>
          <t>NFV  :TENDA ATACADO LTDA</t>
        </is>
      </c>
      <c r="G433" s="38" t="inlineStr">
        <is>
          <t>MARIO FRUGIS (01.04.01)</t>
        </is>
      </c>
      <c r="H433" s="38" t="inlineStr">
        <is>
          <t>NFV</t>
        </is>
      </c>
      <c r="I433" s="40" t="n">
        <v>32.99</v>
      </c>
      <c r="J433" s="40" t="n">
        <v>0</v>
      </c>
      <c r="K433" s="6">
        <f>I433-J433</f>
        <v/>
      </c>
      <c r="L433" s="6">
        <f>IF(H433="DISTRATO",0,I433)</f>
        <v/>
      </c>
    </row>
    <row r="434">
      <c r="A434" s="38" t="inlineStr">
        <is>
          <t>Conta corrente MFRUGIS08.XLS</t>
        </is>
      </c>
      <c r="B434" s="39" t="n">
        <v>39562</v>
      </c>
      <c r="C434" s="4" t="n">
        <v>39539</v>
      </c>
      <c r="D434" s="5">
        <f>YEAR(C434)</f>
        <v/>
      </c>
      <c r="E434" s="5">
        <f>MONTH(C434)</f>
        <v/>
      </c>
      <c r="F434" s="38" t="inlineStr">
        <is>
          <t>NFV  :TENDA ATACADO LTDA</t>
        </is>
      </c>
      <c r="G434" s="38" t="inlineStr">
        <is>
          <t>MARIO FRUGIS (01.04.01)</t>
        </is>
      </c>
      <c r="H434" s="38" t="inlineStr">
        <is>
          <t>NFV</t>
        </is>
      </c>
      <c r="I434" s="40" t="n">
        <v>78.20999999999999</v>
      </c>
      <c r="J434" s="40" t="n">
        <v>0</v>
      </c>
      <c r="K434" s="6">
        <f>I434-J434</f>
        <v/>
      </c>
      <c r="L434" s="6">
        <f>IF(H434="DISTRATO",0,I434)</f>
        <v/>
      </c>
    </row>
    <row r="435">
      <c r="A435" s="38" t="inlineStr">
        <is>
          <t>Conta corrente MFRUGIS08.XLS</t>
        </is>
      </c>
      <c r="B435" s="39" t="n">
        <v>39562</v>
      </c>
      <c r="C435" s="4" t="n">
        <v>39539</v>
      </c>
      <c r="D435" s="5">
        <f>YEAR(C435)</f>
        <v/>
      </c>
      <c r="E435" s="5">
        <f>MONTH(C435)</f>
        <v/>
      </c>
      <c r="F435" s="38" t="inlineStr">
        <is>
          <t>NFV  :TENDA ATACADO LTDA</t>
        </is>
      </c>
      <c r="G435" s="38" t="inlineStr">
        <is>
          <t>MARIO FRUGIS (01.04.01)</t>
        </is>
      </c>
      <c r="H435" s="38" t="inlineStr">
        <is>
          <t>NFV</t>
        </is>
      </c>
      <c r="I435" s="40" t="n">
        <v>109.73</v>
      </c>
      <c r="J435" s="40" t="n">
        <v>0</v>
      </c>
      <c r="K435" s="6">
        <f>I435-J435</f>
        <v/>
      </c>
      <c r="L435" s="6">
        <f>IF(H435="DISTRATO",0,I435)</f>
        <v/>
      </c>
    </row>
    <row r="436">
      <c r="A436" s="38" t="inlineStr">
        <is>
          <t>Conta corrente MFRUGIS08.XLS</t>
        </is>
      </c>
      <c r="B436" s="39" t="n">
        <v>39562</v>
      </c>
      <c r="C436" s="4" t="n">
        <v>39539</v>
      </c>
      <c r="D436" s="5">
        <f>YEAR(C436)</f>
        <v/>
      </c>
      <c r="E436" s="5">
        <f>MONTH(C436)</f>
        <v/>
      </c>
      <c r="F436" s="38" t="inlineStr">
        <is>
          <t>NFV  :TENDA ATACADO LTDA</t>
        </is>
      </c>
      <c r="G436" s="38" t="inlineStr">
        <is>
          <t>MARIO FRUGIS (01.04.01)</t>
        </is>
      </c>
      <c r="H436" s="38" t="inlineStr">
        <is>
          <t>NFV</t>
        </is>
      </c>
      <c r="I436" s="40" t="n">
        <v>113.72</v>
      </c>
      <c r="J436" s="40" t="n">
        <v>0</v>
      </c>
      <c r="K436" s="6">
        <f>I436-J436</f>
        <v/>
      </c>
      <c r="L436" s="6">
        <f>IF(H436="DISTRATO",0,I436)</f>
        <v/>
      </c>
    </row>
    <row r="437">
      <c r="A437" s="38" t="inlineStr">
        <is>
          <t>Conta corrente MFRUGIS08.XLS</t>
        </is>
      </c>
      <c r="B437" s="39" t="n">
        <v>39568</v>
      </c>
      <c r="C437" s="4" t="n">
        <v>39539</v>
      </c>
      <c r="D437" s="5">
        <f>YEAR(C437)</f>
        <v/>
      </c>
      <c r="E437" s="5">
        <f>MONTH(C437)</f>
        <v/>
      </c>
      <c r="F437" s="38" t="inlineStr">
        <is>
          <t>DIF PERCENTUAL                        1. (ajuste de % do Tenda)</t>
        </is>
      </c>
      <c r="G437" s="38" t="inlineStr">
        <is>
          <t>MARIO FRUGIS (01.04.01)</t>
        </is>
      </c>
      <c r="H437" s="38" t="inlineStr">
        <is>
          <t>AJUSTE % TENDA</t>
        </is>
      </c>
      <c r="I437" s="40" t="n">
        <v>1222.86</v>
      </c>
      <c r="J437" s="40" t="n">
        <v>0</v>
      </c>
      <c r="K437" s="6">
        <f>I437-J437</f>
        <v/>
      </c>
      <c r="L437" s="6">
        <f>IF(H437="DISTRATO",0,I437)</f>
        <v/>
      </c>
    </row>
    <row r="438">
      <c r="A438" s="38" t="inlineStr">
        <is>
          <t>Conta corrente MFRUGIS08.XLS</t>
        </is>
      </c>
      <c r="B438" s="39" t="n">
        <v>39568</v>
      </c>
      <c r="C438" s="4" t="n">
        <v>39539</v>
      </c>
      <c r="D438" s="5">
        <f>YEAR(C438)</f>
        <v/>
      </c>
      <c r="E438" s="5">
        <f>MONTH(C438)</f>
        <v/>
      </c>
      <c r="F438" s="38" t="inlineStr">
        <is>
          <t>NFV  :TENDA ATACADO LTDA</t>
        </is>
      </c>
      <c r="G438" s="38" t="inlineStr">
        <is>
          <t>MARIO FRUGIS (01.04.01)</t>
        </is>
      </c>
      <c r="H438" s="38" t="inlineStr">
        <is>
          <t>NFV</t>
        </is>
      </c>
      <c r="I438" s="40" t="n">
        <v>78.20999999999999</v>
      </c>
      <c r="J438" s="40" t="n">
        <v>0</v>
      </c>
      <c r="K438" s="6">
        <f>I438-J438</f>
        <v/>
      </c>
      <c r="L438" s="6">
        <f>IF(H438="DISTRATO",0,I438)</f>
        <v/>
      </c>
    </row>
    <row r="439">
      <c r="A439" s="38" t="inlineStr">
        <is>
          <t>Conta corrente MFRUGIS08.XLS</t>
        </is>
      </c>
      <c r="B439" s="39" t="n">
        <v>39584</v>
      </c>
      <c r="C439" s="4" t="n">
        <v>39569</v>
      </c>
      <c r="D439" s="5">
        <f>YEAR(C439)</f>
        <v/>
      </c>
      <c r="E439" s="5">
        <f>MONTH(C439)</f>
        <v/>
      </c>
      <c r="F439" s="38" t="inlineStr">
        <is>
          <t>NFV  :TENDA ATACADO LTDA</t>
        </is>
      </c>
      <c r="G439" s="38" t="inlineStr">
        <is>
          <t>MARIO FRUGIS (01.04.01)</t>
        </is>
      </c>
      <c r="H439" s="38" t="inlineStr">
        <is>
          <t>NFV</t>
        </is>
      </c>
      <c r="I439" s="40" t="n">
        <v>100.02</v>
      </c>
      <c r="J439" s="40" t="n">
        <v>0</v>
      </c>
      <c r="K439" s="6">
        <f>I439-J439</f>
        <v/>
      </c>
      <c r="L439" s="6">
        <f>IF(H439="DISTRATO",0,I439)</f>
        <v/>
      </c>
    </row>
    <row r="440">
      <c r="A440" s="38" t="inlineStr">
        <is>
          <t>Conta corrente MFRUGIS08.XLS</t>
        </is>
      </c>
      <c r="B440" s="39" t="n">
        <v>39584</v>
      </c>
      <c r="C440" s="4" t="n">
        <v>39569</v>
      </c>
      <c r="D440" s="5">
        <f>YEAR(C440)</f>
        <v/>
      </c>
      <c r="E440" s="5">
        <f>MONTH(C440)</f>
        <v/>
      </c>
      <c r="F440" s="38" t="inlineStr">
        <is>
          <t>NFV  :TENDA ATACADO LTDA</t>
        </is>
      </c>
      <c r="G440" s="38" t="inlineStr">
        <is>
          <t>MARIO FRUGIS (01.04.01)</t>
        </is>
      </c>
      <c r="H440" s="38" t="inlineStr">
        <is>
          <t>NFV</t>
        </is>
      </c>
      <c r="I440" s="40" t="n">
        <v>66.48999999999999</v>
      </c>
      <c r="J440" s="40" t="n">
        <v>0</v>
      </c>
      <c r="K440" s="6">
        <f>I440-J440</f>
        <v/>
      </c>
      <c r="L440" s="6">
        <f>IF(H440="DISTRATO",0,I440)</f>
        <v/>
      </c>
    </row>
    <row r="441">
      <c r="A441" s="38" t="inlineStr">
        <is>
          <t>Conta corrente MFRUGIS08.XLS</t>
        </is>
      </c>
      <c r="B441" s="39" t="n">
        <v>39584</v>
      </c>
      <c r="C441" s="4" t="n">
        <v>39569</v>
      </c>
      <c r="D441" s="5">
        <f>YEAR(C441)</f>
        <v/>
      </c>
      <c r="E441" s="5">
        <f>MONTH(C441)</f>
        <v/>
      </c>
      <c r="F441" s="38" t="inlineStr">
        <is>
          <t>NFV  :TENDA ATACADO LTDA</t>
        </is>
      </c>
      <c r="G441" s="38" t="inlineStr">
        <is>
          <t>MARIO FRUGIS (01.04.01)</t>
        </is>
      </c>
      <c r="H441" s="38" t="inlineStr">
        <is>
          <t>NFV</t>
        </is>
      </c>
      <c r="I441" s="40" t="n">
        <v>55.96</v>
      </c>
      <c r="J441" s="40" t="n">
        <v>0</v>
      </c>
      <c r="K441" s="6">
        <f>I441-J441</f>
        <v/>
      </c>
      <c r="L441" s="6">
        <f>IF(H441="DISTRATO",0,I441)</f>
        <v/>
      </c>
    </row>
    <row r="442">
      <c r="A442" s="38" t="inlineStr">
        <is>
          <t>Conta corrente MFRUGIS08.XLS</t>
        </is>
      </c>
      <c r="B442" s="39" t="n">
        <v>39584</v>
      </c>
      <c r="C442" s="4" t="n">
        <v>39569</v>
      </c>
      <c r="D442" s="5">
        <f>YEAR(C442)</f>
        <v/>
      </c>
      <c r="E442" s="5">
        <f>MONTH(C442)</f>
        <v/>
      </c>
      <c r="F442" s="38" t="inlineStr">
        <is>
          <t>NFV  :TENDA ATACADO LTDA</t>
        </is>
      </c>
      <c r="G442" s="38" t="inlineStr">
        <is>
          <t>MARIO FRUGIS (01.04.01)</t>
        </is>
      </c>
      <c r="H442" s="38" t="inlineStr">
        <is>
          <t>NFV</t>
        </is>
      </c>
      <c r="I442" s="40" t="n">
        <v>101.29</v>
      </c>
      <c r="J442" s="40" t="n">
        <v>0</v>
      </c>
      <c r="K442" s="6">
        <f>I442-J442</f>
        <v/>
      </c>
      <c r="L442" s="6">
        <f>IF(H442="DISTRATO",0,I442)</f>
        <v/>
      </c>
    </row>
    <row r="443">
      <c r="A443" s="38" t="inlineStr">
        <is>
          <t>Conta corrente MFRUGIS08.XLS</t>
        </is>
      </c>
      <c r="B443" s="39" t="n">
        <v>39584</v>
      </c>
      <c r="C443" s="4" t="n">
        <v>39569</v>
      </c>
      <c r="D443" s="5">
        <f>YEAR(C443)</f>
        <v/>
      </c>
      <c r="E443" s="5">
        <f>MONTH(C443)</f>
        <v/>
      </c>
      <c r="F443" s="38" t="inlineStr">
        <is>
          <t>NFV  :TENDA ATACADO LTDA</t>
        </is>
      </c>
      <c r="G443" s="38" t="inlineStr">
        <is>
          <t>MARIO FRUGIS (01.04.01)</t>
        </is>
      </c>
      <c r="H443" s="38" t="inlineStr">
        <is>
          <t>NFV</t>
        </is>
      </c>
      <c r="I443" s="40" t="n">
        <v>74.88</v>
      </c>
      <c r="J443" s="40" t="n">
        <v>0</v>
      </c>
      <c r="K443" s="6">
        <f>I443-J443</f>
        <v/>
      </c>
      <c r="L443" s="6">
        <f>IF(H443="DISTRATO",0,I443)</f>
        <v/>
      </c>
    </row>
    <row r="444">
      <c r="A444" s="38" t="inlineStr">
        <is>
          <t>Conta corrente MFRUGIS08.XLS</t>
        </is>
      </c>
      <c r="B444" s="39" t="n">
        <v>39584</v>
      </c>
      <c r="C444" s="4" t="n">
        <v>39569</v>
      </c>
      <c r="D444" s="5">
        <f>YEAR(C444)</f>
        <v/>
      </c>
      <c r="E444" s="5">
        <f>MONTH(C444)</f>
        <v/>
      </c>
      <c r="F444" s="38" t="inlineStr">
        <is>
          <t>NFV  :TENDA ATACADO LTDA</t>
        </is>
      </c>
      <c r="G444" s="38" t="inlineStr">
        <is>
          <t>MARIO FRUGIS (01.04.01)</t>
        </is>
      </c>
      <c r="H444" s="38" t="inlineStr">
        <is>
          <t>NFV</t>
        </is>
      </c>
      <c r="I444" s="40" t="n">
        <v>65.36</v>
      </c>
      <c r="J444" s="40" t="n">
        <v>0</v>
      </c>
      <c r="K444" s="6">
        <f>I444-J444</f>
        <v/>
      </c>
      <c r="L444" s="6">
        <f>IF(H444="DISTRATO",0,I444)</f>
        <v/>
      </c>
    </row>
    <row r="445">
      <c r="A445" s="38" t="inlineStr">
        <is>
          <t>Conta corrente MFRUGIS08.XLS</t>
        </is>
      </c>
      <c r="B445" s="39" t="n">
        <v>39584</v>
      </c>
      <c r="C445" s="4" t="n">
        <v>39569</v>
      </c>
      <c r="D445" s="5">
        <f>YEAR(C445)</f>
        <v/>
      </c>
      <c r="E445" s="5">
        <f>MONTH(C445)</f>
        <v/>
      </c>
      <c r="F445" s="38" t="inlineStr">
        <is>
          <t>NFV  :TENDA ATACADO LTDA</t>
        </is>
      </c>
      <c r="G445" s="38" t="inlineStr">
        <is>
          <t>MARIO FRUGIS (01.04.01)</t>
        </is>
      </c>
      <c r="H445" s="38" t="inlineStr">
        <is>
          <t>NFV</t>
        </is>
      </c>
      <c r="I445" s="40" t="n">
        <v>62.61</v>
      </c>
      <c r="J445" s="40" t="n">
        <v>0</v>
      </c>
      <c r="K445" s="6">
        <f>I445-J445</f>
        <v/>
      </c>
      <c r="L445" s="6">
        <f>IF(H445="DISTRATO",0,I445)</f>
        <v/>
      </c>
    </row>
    <row r="446">
      <c r="A446" s="38" t="inlineStr">
        <is>
          <t>Conta corrente MFRUGIS08.XLS</t>
        </is>
      </c>
      <c r="B446" s="39" t="n">
        <v>39587</v>
      </c>
      <c r="C446" s="4" t="n">
        <v>39569</v>
      </c>
      <c r="D446" s="5">
        <f>YEAR(C446)</f>
        <v/>
      </c>
      <c r="E446" s="5">
        <f>MONTH(C446)</f>
        <v/>
      </c>
      <c r="F446" s="38" t="inlineStr">
        <is>
          <t>NFV  :TENDA ATACADO LTDA</t>
        </is>
      </c>
      <c r="G446" s="38" t="inlineStr">
        <is>
          <t>MARIO FRUGIS (01.04.01)</t>
        </is>
      </c>
      <c r="H446" s="38" t="inlineStr">
        <is>
          <t>NFV</t>
        </is>
      </c>
      <c r="I446" s="40" t="n">
        <v>56.36</v>
      </c>
      <c r="J446" s="40" t="n">
        <v>0</v>
      </c>
      <c r="K446" s="6">
        <f>I446-J446</f>
        <v/>
      </c>
      <c r="L446" s="6">
        <f>IF(H446="DISTRATO",0,I446)</f>
        <v/>
      </c>
    </row>
    <row r="447">
      <c r="A447" s="38" t="inlineStr">
        <is>
          <t>Conta corrente MFRUGIS08.XLS</t>
        </is>
      </c>
      <c r="B447" s="39" t="n">
        <v>39587</v>
      </c>
      <c r="C447" s="4" t="n">
        <v>39569</v>
      </c>
      <c r="D447" s="5">
        <f>YEAR(C447)</f>
        <v/>
      </c>
      <c r="E447" s="5">
        <f>MONTH(C447)</f>
        <v/>
      </c>
      <c r="F447" s="38" t="inlineStr">
        <is>
          <t>NFV  :TENDA ATACADO LTDA</t>
        </is>
      </c>
      <c r="G447" s="38" t="inlineStr">
        <is>
          <t>MARIO FRUGIS (01.04.01)</t>
        </is>
      </c>
      <c r="H447" s="38" t="inlineStr">
        <is>
          <t>NFV</t>
        </is>
      </c>
      <c r="I447" s="40" t="n">
        <v>43.06</v>
      </c>
      <c r="J447" s="40" t="n">
        <v>0</v>
      </c>
      <c r="K447" s="6">
        <f>I447-J447</f>
        <v/>
      </c>
      <c r="L447" s="6">
        <f>IF(H447="DISTRATO",0,I447)</f>
        <v/>
      </c>
    </row>
    <row r="448">
      <c r="A448" s="38" t="inlineStr">
        <is>
          <t>Conta corrente MFRUGIS08.XLS</t>
        </is>
      </c>
      <c r="B448" s="39" t="n">
        <v>39597</v>
      </c>
      <c r="C448" s="4" t="n">
        <v>39569</v>
      </c>
      <c r="D448" s="5">
        <f>YEAR(C448)</f>
        <v/>
      </c>
      <c r="E448" s="5">
        <f>MONTH(C448)</f>
        <v/>
      </c>
      <c r="F448" s="38" t="inlineStr">
        <is>
          <t>NFV  :TENDA ATACADO LTDA</t>
        </is>
      </c>
      <c r="G448" s="38" t="inlineStr">
        <is>
          <t>MARIO FRUGIS (01.04.01)</t>
        </is>
      </c>
      <c r="H448" s="38" t="inlineStr">
        <is>
          <t>NFV</t>
        </is>
      </c>
      <c r="I448" s="40" t="n">
        <v>74.95999999999999</v>
      </c>
      <c r="J448" s="40" t="n">
        <v>0</v>
      </c>
      <c r="K448" s="6">
        <f>I448-J448</f>
        <v/>
      </c>
      <c r="L448" s="6">
        <f>IF(H448="DISTRATO",0,I448)</f>
        <v/>
      </c>
    </row>
    <row r="449">
      <c r="A449" s="38" t="inlineStr">
        <is>
          <t>Conta corrente MFRUGIS08.XLS</t>
        </is>
      </c>
      <c r="B449" s="39" t="n">
        <v>39597</v>
      </c>
      <c r="C449" s="4" t="n">
        <v>39569</v>
      </c>
      <c r="D449" s="5">
        <f>YEAR(C449)</f>
        <v/>
      </c>
      <c r="E449" s="5">
        <f>MONTH(C449)</f>
        <v/>
      </c>
      <c r="F449" s="38" t="inlineStr">
        <is>
          <t>NFV  :TENDA ATACADO LTDA</t>
        </is>
      </c>
      <c r="G449" s="38" t="inlineStr">
        <is>
          <t>MARIO FRUGIS (01.04.01)</t>
        </is>
      </c>
      <c r="H449" s="38" t="inlineStr">
        <is>
          <t>NFV</t>
        </is>
      </c>
      <c r="I449" s="40" t="n">
        <v>102.23</v>
      </c>
      <c r="J449" s="40" t="n">
        <v>0</v>
      </c>
      <c r="K449" s="6">
        <f>I449-J449</f>
        <v/>
      </c>
      <c r="L449" s="6">
        <f>IF(H449="DISTRATO",0,I449)</f>
        <v/>
      </c>
    </row>
    <row r="450">
      <c r="A450" s="38" t="inlineStr">
        <is>
          <t>Conta corrente MFRUGIS08.XLS</t>
        </is>
      </c>
      <c r="B450" s="39" t="n">
        <v>39597</v>
      </c>
      <c r="C450" s="4" t="n">
        <v>39569</v>
      </c>
      <c r="D450" s="5">
        <f>YEAR(C450)</f>
        <v/>
      </c>
      <c r="E450" s="5">
        <f>MONTH(C450)</f>
        <v/>
      </c>
      <c r="F450" s="38" t="inlineStr">
        <is>
          <t>NFV  :TENDA ATACADO LTDA</t>
        </is>
      </c>
      <c r="G450" s="38" t="inlineStr">
        <is>
          <t>MARIO FRUGIS (01.04.01)</t>
        </is>
      </c>
      <c r="H450" s="38" t="inlineStr">
        <is>
          <t>NFV</t>
        </is>
      </c>
      <c r="I450" s="40" t="n">
        <v>109.12</v>
      </c>
      <c r="J450" s="40" t="n">
        <v>0</v>
      </c>
      <c r="K450" s="6">
        <f>I450-J450</f>
        <v/>
      </c>
      <c r="L450" s="6">
        <f>IF(H450="DISTRATO",0,I450)</f>
        <v/>
      </c>
    </row>
    <row r="451">
      <c r="A451" s="38" t="inlineStr">
        <is>
          <t>Conta corrente MFRUGIS08.XLS</t>
        </is>
      </c>
      <c r="B451" s="39" t="n">
        <v>39597</v>
      </c>
      <c r="C451" s="4" t="n">
        <v>39569</v>
      </c>
      <c r="D451" s="5">
        <f>YEAR(C451)</f>
        <v/>
      </c>
      <c r="E451" s="5">
        <f>MONTH(C451)</f>
        <v/>
      </c>
      <c r="F451" s="38" t="inlineStr">
        <is>
          <t>NFV  :TENDA ATACADO LTDA</t>
        </is>
      </c>
      <c r="G451" s="38" t="inlineStr">
        <is>
          <t>MARIO FRUGIS (01.04.01)</t>
        </is>
      </c>
      <c r="H451" s="38" t="inlineStr">
        <is>
          <t>NFV</t>
        </is>
      </c>
      <c r="I451" s="40" t="n">
        <v>85.8</v>
      </c>
      <c r="J451" s="40" t="n">
        <v>0</v>
      </c>
      <c r="K451" s="6">
        <f>I451-J451</f>
        <v/>
      </c>
      <c r="L451" s="6">
        <f>IF(H451="DISTRATO",0,I451)</f>
        <v/>
      </c>
    </row>
    <row r="452">
      <c r="A452" s="38" t="inlineStr">
        <is>
          <t>Conta corrente MFRUGIS08.XLS</t>
        </is>
      </c>
      <c r="B452" s="39" t="n">
        <v>39597</v>
      </c>
      <c r="C452" s="4" t="n">
        <v>39569</v>
      </c>
      <c r="D452" s="5">
        <f>YEAR(C452)</f>
        <v/>
      </c>
      <c r="E452" s="5">
        <f>MONTH(C452)</f>
        <v/>
      </c>
      <c r="F452" s="38" t="inlineStr">
        <is>
          <t>NFV  :TENDA ATACADO LTDA</t>
        </is>
      </c>
      <c r="G452" s="38" t="inlineStr">
        <is>
          <t>MARIO FRUGIS (01.04.01)</t>
        </is>
      </c>
      <c r="H452" s="38" t="inlineStr">
        <is>
          <t>NFV</t>
        </is>
      </c>
      <c r="I452" s="40" t="n">
        <v>124.56</v>
      </c>
      <c r="J452" s="40" t="n">
        <v>0</v>
      </c>
      <c r="K452" s="6">
        <f>I452-J452</f>
        <v/>
      </c>
      <c r="L452" s="6">
        <f>IF(H452="DISTRATO",0,I452)</f>
        <v/>
      </c>
    </row>
    <row r="453">
      <c r="A453" s="38" t="inlineStr">
        <is>
          <t>Conta corrente MFRUGIS08.XLS</t>
        </is>
      </c>
      <c r="B453" s="39" t="n">
        <v>39597</v>
      </c>
      <c r="C453" s="4" t="n">
        <v>39569</v>
      </c>
      <c r="D453" s="5">
        <f>YEAR(C453)</f>
        <v/>
      </c>
      <c r="E453" s="5">
        <f>MONTH(C453)</f>
        <v/>
      </c>
      <c r="F453" s="38" t="inlineStr">
        <is>
          <t>NFV  :TENDA ATACADO LTDA</t>
        </is>
      </c>
      <c r="G453" s="38" t="inlineStr">
        <is>
          <t>MARIO FRUGIS (01.04.01)</t>
        </is>
      </c>
      <c r="H453" s="38" t="inlineStr">
        <is>
          <t>NFV</t>
        </is>
      </c>
      <c r="I453" s="40" t="n">
        <v>146.24</v>
      </c>
      <c r="J453" s="40" t="n">
        <v>0</v>
      </c>
      <c r="K453" s="6">
        <f>I453-J453</f>
        <v/>
      </c>
      <c r="L453" s="6">
        <f>IF(H453="DISTRATO",0,I453)</f>
        <v/>
      </c>
    </row>
    <row r="454">
      <c r="A454" s="38" t="inlineStr">
        <is>
          <t>Conta corrente MFRUGIS08.XLS</t>
        </is>
      </c>
      <c r="B454" s="39" t="n">
        <v>39597</v>
      </c>
      <c r="C454" s="4" t="n">
        <v>39569</v>
      </c>
      <c r="D454" s="5">
        <f>YEAR(C454)</f>
        <v/>
      </c>
      <c r="E454" s="5">
        <f>MONTH(C454)</f>
        <v/>
      </c>
      <c r="F454" s="38" t="inlineStr">
        <is>
          <t>NFV  :TENDA ATACADO LTDA</t>
        </is>
      </c>
      <c r="G454" s="38" t="inlineStr">
        <is>
          <t>MARIO FRUGIS (01.04.01)</t>
        </is>
      </c>
      <c r="H454" s="38" t="inlineStr">
        <is>
          <t>NFV</t>
        </is>
      </c>
      <c r="I454" s="40" t="n">
        <v>90.67</v>
      </c>
      <c r="J454" s="40" t="n">
        <v>0</v>
      </c>
      <c r="K454" s="6">
        <f>I454-J454</f>
        <v/>
      </c>
      <c r="L454" s="6">
        <f>IF(H454="DISTRATO",0,I454)</f>
        <v/>
      </c>
    </row>
    <row r="455">
      <c r="A455" s="38" t="inlineStr">
        <is>
          <t>Conta corrente MFRUGIS08.XLS</t>
        </is>
      </c>
      <c r="B455" s="39" t="n">
        <v>39597</v>
      </c>
      <c r="C455" s="4" t="n">
        <v>39569</v>
      </c>
      <c r="D455" s="5">
        <f>YEAR(C455)</f>
        <v/>
      </c>
      <c r="E455" s="5">
        <f>MONTH(C455)</f>
        <v/>
      </c>
      <c r="F455" s="38" t="inlineStr">
        <is>
          <t>NFV  :TENDA ATACADO LTDA</t>
        </is>
      </c>
      <c r="G455" s="38" t="inlineStr">
        <is>
          <t>MARIO FRUGIS (01.04.01)</t>
        </is>
      </c>
      <c r="H455" s="38" t="inlineStr">
        <is>
          <t>NFV</t>
        </is>
      </c>
      <c r="I455" s="40" t="n">
        <v>133.31</v>
      </c>
      <c r="J455" s="40" t="n">
        <v>0</v>
      </c>
      <c r="K455" s="6">
        <f>I455-J455</f>
        <v/>
      </c>
      <c r="L455" s="6">
        <f>IF(H455="DISTRATO",0,I455)</f>
        <v/>
      </c>
    </row>
    <row r="456">
      <c r="A456" s="38" t="inlineStr">
        <is>
          <t>Conta corrente MFRUGIS08.XLS</t>
        </is>
      </c>
      <c r="B456" s="39" t="n">
        <v>39598</v>
      </c>
      <c r="C456" s="4" t="n">
        <v>39569</v>
      </c>
      <c r="D456" s="5">
        <f>YEAR(C456)</f>
        <v/>
      </c>
      <c r="E456" s="5">
        <f>MONTH(C456)</f>
        <v/>
      </c>
      <c r="F456" s="38" t="inlineStr">
        <is>
          <t>DIF PERCENTUAL                        1. (ajuste de % do Tenda)</t>
        </is>
      </c>
      <c r="G456" s="38" t="inlineStr">
        <is>
          <t>MARIO FRUGIS (01.04.01)</t>
        </is>
      </c>
      <c r="H456" s="38" t="inlineStr">
        <is>
          <t>AJUSTE % TENDA</t>
        </is>
      </c>
      <c r="I456" s="40" t="n">
        <v>1353.98</v>
      </c>
      <c r="J456" s="40" t="n">
        <v>0</v>
      </c>
      <c r="K456" s="6">
        <f>I456-J456</f>
        <v/>
      </c>
      <c r="L456" s="6">
        <f>IF(H456="DISTRATO",0,I456)</f>
        <v/>
      </c>
    </row>
    <row r="457">
      <c r="A457" s="38" t="inlineStr">
        <is>
          <t>Conta corrente MFRUGIS08.XLS</t>
        </is>
      </c>
      <c r="B457" s="39" t="n">
        <v>39598</v>
      </c>
      <c r="C457" s="4" t="n">
        <v>39569</v>
      </c>
      <c r="D457" s="5">
        <f>YEAR(C457)</f>
        <v/>
      </c>
      <c r="E457" s="5">
        <f>MONTH(C457)</f>
        <v/>
      </c>
      <c r="F457" s="38" t="inlineStr">
        <is>
          <t>NFV  :TENDA ATACADO LTDA</t>
        </is>
      </c>
      <c r="G457" s="38" t="inlineStr">
        <is>
          <t>MARIO FRUGIS (01.04.01)</t>
        </is>
      </c>
      <c r="H457" s="38" t="inlineStr">
        <is>
          <t>NFV</t>
        </is>
      </c>
      <c r="I457" s="40" t="n">
        <v>102.77</v>
      </c>
      <c r="J457" s="40" t="n">
        <v>0</v>
      </c>
      <c r="K457" s="6">
        <f>I457-J457</f>
        <v/>
      </c>
      <c r="L457" s="6">
        <f>IF(H457="DISTRATO",0,I457)</f>
        <v/>
      </c>
    </row>
    <row r="458">
      <c r="A458" s="38" t="inlineStr">
        <is>
          <t>Conta corrente MFRUGIS08.XLS</t>
        </is>
      </c>
      <c r="B458" s="39" t="n">
        <v>39611</v>
      </c>
      <c r="C458" s="4" t="n">
        <v>39600</v>
      </c>
      <c r="D458" s="5">
        <f>YEAR(C458)</f>
        <v/>
      </c>
      <c r="E458" s="5">
        <f>MONTH(C458)</f>
        <v/>
      </c>
      <c r="F458" s="38" t="inlineStr">
        <is>
          <t>NFV  :TENDA ATACADO LTDA</t>
        </is>
      </c>
      <c r="G458" s="38" t="inlineStr">
        <is>
          <t>MARIO FRUGIS (01.04.01)</t>
        </is>
      </c>
      <c r="H458" s="38" t="inlineStr">
        <is>
          <t>NFV</t>
        </is>
      </c>
      <c r="I458" s="40" t="n">
        <v>49.6</v>
      </c>
      <c r="J458" s="40" t="n">
        <v>0</v>
      </c>
      <c r="K458" s="6">
        <f>I458-J458</f>
        <v/>
      </c>
      <c r="L458" s="6">
        <f>IF(H458="DISTRATO",0,I458)</f>
        <v/>
      </c>
    </row>
    <row r="459">
      <c r="A459" s="38" t="inlineStr">
        <is>
          <t>Conta corrente MFRUGIS08.XLS</t>
        </is>
      </c>
      <c r="B459" s="39" t="n">
        <v>39611</v>
      </c>
      <c r="C459" s="4" t="n">
        <v>39600</v>
      </c>
      <c r="D459" s="5">
        <f>YEAR(C459)</f>
        <v/>
      </c>
      <c r="E459" s="5">
        <f>MONTH(C459)</f>
        <v/>
      </c>
      <c r="F459" s="38" t="inlineStr">
        <is>
          <t>NFV  :TENDA ATACADO LTDA</t>
        </is>
      </c>
      <c r="G459" s="38" t="inlineStr">
        <is>
          <t>MARIO FRUGIS (01.04.01)</t>
        </is>
      </c>
      <c r="H459" s="38" t="inlineStr">
        <is>
          <t>NFV</t>
        </is>
      </c>
      <c r="I459" s="40" t="n">
        <v>63.67</v>
      </c>
      <c r="J459" s="40" t="n">
        <v>0</v>
      </c>
      <c r="K459" s="6">
        <f>I459-J459</f>
        <v/>
      </c>
      <c r="L459" s="6">
        <f>IF(H459="DISTRATO",0,I459)</f>
        <v/>
      </c>
    </row>
    <row r="460">
      <c r="A460" s="38" t="inlineStr">
        <is>
          <t>Conta corrente MFRUGIS08.XLS</t>
        </is>
      </c>
      <c r="B460" s="39" t="n">
        <v>39611</v>
      </c>
      <c r="C460" s="4" t="n">
        <v>39600</v>
      </c>
      <c r="D460" s="5">
        <f>YEAR(C460)</f>
        <v/>
      </c>
      <c r="E460" s="5">
        <f>MONTH(C460)</f>
        <v/>
      </c>
      <c r="F460" s="38" t="inlineStr">
        <is>
          <t>NFV  :TENDA ATACADO LTDA</t>
        </is>
      </c>
      <c r="G460" s="38" t="inlineStr">
        <is>
          <t>MARIO FRUGIS (01.04.01)</t>
        </is>
      </c>
      <c r="H460" s="38" t="inlineStr">
        <is>
          <t>NFV</t>
        </is>
      </c>
      <c r="I460" s="40" t="n">
        <v>23.39</v>
      </c>
      <c r="J460" s="40" t="n">
        <v>0</v>
      </c>
      <c r="K460" s="6">
        <f>I460-J460</f>
        <v/>
      </c>
      <c r="L460" s="6">
        <f>IF(H460="DISTRATO",0,I460)</f>
        <v/>
      </c>
    </row>
    <row r="461">
      <c r="A461" s="38" t="inlineStr">
        <is>
          <t>Conta corrente MFRUGIS08.XLS</t>
        </is>
      </c>
      <c r="B461" s="39" t="n">
        <v>39611</v>
      </c>
      <c r="C461" s="4" t="n">
        <v>39600</v>
      </c>
      <c r="D461" s="5">
        <f>YEAR(C461)</f>
        <v/>
      </c>
      <c r="E461" s="5">
        <f>MONTH(C461)</f>
        <v/>
      </c>
      <c r="F461" s="38" t="inlineStr">
        <is>
          <t>NFV  :TENDA ATACADO LTDA</t>
        </is>
      </c>
      <c r="G461" s="38" t="inlineStr">
        <is>
          <t>MARIO FRUGIS (01.04.01)</t>
        </is>
      </c>
      <c r="H461" s="38" t="inlineStr">
        <is>
          <t>NFV</t>
        </is>
      </c>
      <c r="I461" s="40" t="n">
        <v>95.75</v>
      </c>
      <c r="J461" s="40" t="n">
        <v>0</v>
      </c>
      <c r="K461" s="6">
        <f>I461-J461</f>
        <v/>
      </c>
      <c r="L461" s="6">
        <f>IF(H461="DISTRATO",0,I461)</f>
        <v/>
      </c>
    </row>
    <row r="462">
      <c r="A462" s="38" t="inlineStr">
        <is>
          <t>Conta corrente MFRUGIS08.XLS</t>
        </is>
      </c>
      <c r="B462" s="39" t="n">
        <v>39611</v>
      </c>
      <c r="C462" s="4" t="n">
        <v>39600</v>
      </c>
      <c r="D462" s="5">
        <f>YEAR(C462)</f>
        <v/>
      </c>
      <c r="E462" s="5">
        <f>MONTH(C462)</f>
        <v/>
      </c>
      <c r="F462" s="38" t="inlineStr">
        <is>
          <t>NFV  :TENDA ATACADO LTDA</t>
        </is>
      </c>
      <c r="G462" s="38" t="inlineStr">
        <is>
          <t>MARIO FRUGIS (01.04.01)</t>
        </is>
      </c>
      <c r="H462" s="38" t="inlineStr">
        <is>
          <t>NFV</t>
        </is>
      </c>
      <c r="I462" s="40" t="n">
        <v>21.09</v>
      </c>
      <c r="J462" s="40" t="n">
        <v>0</v>
      </c>
      <c r="K462" s="6">
        <f>I462-J462</f>
        <v/>
      </c>
      <c r="L462" s="6">
        <f>IF(H462="DISTRATO",0,I462)</f>
        <v/>
      </c>
    </row>
    <row r="463">
      <c r="A463" s="38" t="inlineStr">
        <is>
          <t>Conta corrente MFRUGIS08.XLS</t>
        </is>
      </c>
      <c r="B463" s="39" t="n">
        <v>39611</v>
      </c>
      <c r="C463" s="4" t="n">
        <v>39600</v>
      </c>
      <c r="D463" s="5">
        <f>YEAR(C463)</f>
        <v/>
      </c>
      <c r="E463" s="5">
        <f>MONTH(C463)</f>
        <v/>
      </c>
      <c r="F463" s="38" t="inlineStr">
        <is>
          <t>NFV  :TENDA ATACADO LTDA</t>
        </is>
      </c>
      <c r="G463" s="38" t="inlineStr">
        <is>
          <t>MARIO FRUGIS (01.04.01)</t>
        </is>
      </c>
      <c r="H463" s="38" t="inlineStr">
        <is>
          <t>NFV</t>
        </is>
      </c>
      <c r="I463" s="40" t="n">
        <v>55.92</v>
      </c>
      <c r="J463" s="40" t="n">
        <v>0</v>
      </c>
      <c r="K463" s="6">
        <f>I463-J463</f>
        <v/>
      </c>
      <c r="L463" s="6">
        <f>IF(H463="DISTRATO",0,I463)</f>
        <v/>
      </c>
    </row>
    <row r="464">
      <c r="A464" s="38" t="inlineStr">
        <is>
          <t>Conta corrente MFRUGIS08.XLS</t>
        </is>
      </c>
      <c r="B464" s="39" t="n">
        <v>39611</v>
      </c>
      <c r="C464" s="4" t="n">
        <v>39600</v>
      </c>
      <c r="D464" s="5">
        <f>YEAR(C464)</f>
        <v/>
      </c>
      <c r="E464" s="5">
        <f>MONTH(C464)</f>
        <v/>
      </c>
      <c r="F464" s="38" t="inlineStr">
        <is>
          <t>NFV  :TENDA ATACADO LTDA</t>
        </is>
      </c>
      <c r="G464" s="38" t="inlineStr">
        <is>
          <t>MARIO FRUGIS (01.04.01)</t>
        </is>
      </c>
      <c r="H464" s="38" t="inlineStr">
        <is>
          <t>NFV</t>
        </is>
      </c>
      <c r="I464" s="40" t="n">
        <v>35.29</v>
      </c>
      <c r="J464" s="40" t="n">
        <v>0</v>
      </c>
      <c r="K464" s="6">
        <f>I464-J464</f>
        <v/>
      </c>
      <c r="L464" s="6">
        <f>IF(H464="DISTRATO",0,I464)</f>
        <v/>
      </c>
    </row>
    <row r="465">
      <c r="A465" s="38" t="inlineStr">
        <is>
          <t>Conta corrente MFRUGIS08.XLS</t>
        </is>
      </c>
      <c r="B465" s="39" t="n">
        <v>39611</v>
      </c>
      <c r="C465" s="4" t="n">
        <v>39600</v>
      </c>
      <c r="D465" s="5">
        <f>YEAR(C465)</f>
        <v/>
      </c>
      <c r="E465" s="5">
        <f>MONTH(C465)</f>
        <v/>
      </c>
      <c r="F465" s="38" t="inlineStr">
        <is>
          <t>NFV  :TENDA ATACADO LTDA</t>
        </is>
      </c>
      <c r="G465" s="38" t="inlineStr">
        <is>
          <t>MARIO FRUGIS (01.04.01)</t>
        </is>
      </c>
      <c r="H465" s="38" t="inlineStr">
        <is>
          <t>NFV</t>
        </is>
      </c>
      <c r="I465" s="40" t="n">
        <v>15.84</v>
      </c>
      <c r="J465" s="40" t="n">
        <v>0</v>
      </c>
      <c r="K465" s="6">
        <f>I465-J465</f>
        <v/>
      </c>
      <c r="L465" s="6">
        <f>IF(H465="DISTRATO",0,I465)</f>
        <v/>
      </c>
    </row>
    <row r="466">
      <c r="A466" s="38" t="inlineStr">
        <is>
          <t>Conta corrente MFRUGIS08.XLS</t>
        </is>
      </c>
      <c r="B466" s="39" t="n">
        <v>39611</v>
      </c>
      <c r="C466" s="4" t="n">
        <v>39600</v>
      </c>
      <c r="D466" s="5">
        <f>YEAR(C466)</f>
        <v/>
      </c>
      <c r="E466" s="5">
        <f>MONTH(C466)</f>
        <v/>
      </c>
      <c r="F466" s="38" t="inlineStr">
        <is>
          <t>NFV  :TENDA ATACADO LTDA</t>
        </is>
      </c>
      <c r="G466" s="38" t="inlineStr">
        <is>
          <t>MARIO FRUGIS (01.04.01)</t>
        </is>
      </c>
      <c r="H466" s="38" t="inlineStr">
        <is>
          <t>NFV</t>
        </is>
      </c>
      <c r="I466" s="40" t="n">
        <v>170.87</v>
      </c>
      <c r="J466" s="40" t="n">
        <v>0</v>
      </c>
      <c r="K466" s="6">
        <f>I466-J466</f>
        <v/>
      </c>
      <c r="L466" s="6">
        <f>IF(H466="DISTRATO",0,I466)</f>
        <v/>
      </c>
    </row>
    <row r="467">
      <c r="A467" s="38" t="inlineStr">
        <is>
          <t>Conta corrente MFRUGIS08.XLS</t>
        </is>
      </c>
      <c r="B467" s="39" t="n">
        <v>39611</v>
      </c>
      <c r="C467" s="4" t="n">
        <v>39600</v>
      </c>
      <c r="D467" s="5">
        <f>YEAR(C467)</f>
        <v/>
      </c>
      <c r="E467" s="5">
        <f>MONTH(C467)</f>
        <v/>
      </c>
      <c r="F467" s="38" t="inlineStr">
        <is>
          <t>NFV  :TENDA ATACADO LTDA</t>
        </is>
      </c>
      <c r="G467" s="38" t="inlineStr">
        <is>
          <t>MARIO FRUGIS (01.04.01)</t>
        </is>
      </c>
      <c r="H467" s="38" t="inlineStr">
        <is>
          <t>NFV</t>
        </is>
      </c>
      <c r="I467" s="40" t="n">
        <v>17.63</v>
      </c>
      <c r="J467" s="40" t="n">
        <v>0</v>
      </c>
      <c r="K467" s="6">
        <f>I467-J467</f>
        <v/>
      </c>
      <c r="L467" s="6">
        <f>IF(H467="DISTRATO",0,I467)</f>
        <v/>
      </c>
    </row>
    <row r="468">
      <c r="A468" s="38" t="inlineStr">
        <is>
          <t>Conta corrente MFRUGIS08.XLS</t>
        </is>
      </c>
      <c r="B468" s="39" t="n">
        <v>39611</v>
      </c>
      <c r="C468" s="4" t="n">
        <v>39600</v>
      </c>
      <c r="D468" s="5">
        <f>YEAR(C468)</f>
        <v/>
      </c>
      <c r="E468" s="5">
        <f>MONTH(C468)</f>
        <v/>
      </c>
      <c r="F468" s="38" t="inlineStr">
        <is>
          <t>NFV  :TENDA ATACADO LTDA</t>
        </is>
      </c>
      <c r="G468" s="38" t="inlineStr">
        <is>
          <t>MARIO FRUGIS (01.04.01)</t>
        </is>
      </c>
      <c r="H468" s="38" t="inlineStr">
        <is>
          <t>NFV</t>
        </is>
      </c>
      <c r="I468" s="40" t="n">
        <v>17.28</v>
      </c>
      <c r="J468" s="40" t="n">
        <v>0</v>
      </c>
      <c r="K468" s="6">
        <f>I468-J468</f>
        <v/>
      </c>
      <c r="L468" s="6">
        <f>IF(H468="DISTRATO",0,I468)</f>
        <v/>
      </c>
    </row>
    <row r="469">
      <c r="A469" s="38" t="inlineStr">
        <is>
          <t>Conta corrente MFRUGIS08.XLS</t>
        </is>
      </c>
      <c r="B469" s="39" t="n">
        <v>39611</v>
      </c>
      <c r="C469" s="4" t="n">
        <v>39600</v>
      </c>
      <c r="D469" s="5">
        <f>YEAR(C469)</f>
        <v/>
      </c>
      <c r="E469" s="5">
        <f>MONTH(C469)</f>
        <v/>
      </c>
      <c r="F469" s="38" t="inlineStr">
        <is>
          <t>NFV  :TENDA ATACADO LTDA</t>
        </is>
      </c>
      <c r="G469" s="38" t="inlineStr">
        <is>
          <t>MARIO FRUGIS (01.04.01)</t>
        </is>
      </c>
      <c r="H469" s="38" t="inlineStr">
        <is>
          <t>NFV</t>
        </is>
      </c>
      <c r="I469" s="40" t="n">
        <v>21.08</v>
      </c>
      <c r="J469" s="40" t="n">
        <v>0</v>
      </c>
      <c r="K469" s="6">
        <f>I469-J469</f>
        <v/>
      </c>
      <c r="L469" s="6">
        <f>IF(H469="DISTRATO",0,I469)</f>
        <v/>
      </c>
    </row>
    <row r="470">
      <c r="A470" s="38" t="inlineStr">
        <is>
          <t>Conta corrente MFRUGIS08.XLS</t>
        </is>
      </c>
      <c r="B470" s="39" t="n">
        <v>39611</v>
      </c>
      <c r="C470" s="4" t="n">
        <v>39600</v>
      </c>
      <c r="D470" s="5">
        <f>YEAR(C470)</f>
        <v/>
      </c>
      <c r="E470" s="5">
        <f>MONTH(C470)</f>
        <v/>
      </c>
      <c r="F470" s="38" t="inlineStr">
        <is>
          <t>NFV  :TENDA ATACADO LTDA</t>
        </is>
      </c>
      <c r="G470" s="38" t="inlineStr">
        <is>
          <t>MARIO FRUGIS (01.04.01)</t>
        </is>
      </c>
      <c r="H470" s="38" t="inlineStr">
        <is>
          <t>NFV</t>
        </is>
      </c>
      <c r="I470" s="40" t="n">
        <v>122.15</v>
      </c>
      <c r="J470" s="40" t="n">
        <v>0</v>
      </c>
      <c r="K470" s="6">
        <f>I470-J470</f>
        <v/>
      </c>
      <c r="L470" s="6">
        <f>IF(H470="DISTRATO",0,I470)</f>
        <v/>
      </c>
    </row>
    <row r="471">
      <c r="A471" s="38" t="inlineStr">
        <is>
          <t>Conta corrente MFRUGIS08.XLS</t>
        </is>
      </c>
      <c r="B471" s="39" t="n">
        <v>39611</v>
      </c>
      <c r="C471" s="4" t="n">
        <v>39600</v>
      </c>
      <c r="D471" s="5">
        <f>YEAR(C471)</f>
        <v/>
      </c>
      <c r="E471" s="5">
        <f>MONTH(C471)</f>
        <v/>
      </c>
      <c r="F471" s="38" t="inlineStr">
        <is>
          <t>NFV  :TENDA ATACADO LTDA</t>
        </is>
      </c>
      <c r="G471" s="38" t="inlineStr">
        <is>
          <t>MARIO FRUGIS (01.04.01)</t>
        </is>
      </c>
      <c r="H471" s="38" t="inlineStr">
        <is>
          <t>NFV</t>
        </is>
      </c>
      <c r="I471" s="40" t="n">
        <v>78.65000000000001</v>
      </c>
      <c r="J471" s="40" t="n">
        <v>0</v>
      </c>
      <c r="K471" s="6">
        <f>I471-J471</f>
        <v/>
      </c>
      <c r="L471" s="6">
        <f>IF(H471="DISTRATO",0,I471)</f>
        <v/>
      </c>
    </row>
    <row r="472">
      <c r="A472" s="38" t="inlineStr">
        <is>
          <t>Conta corrente MFRUGIS08.XLS</t>
        </is>
      </c>
      <c r="B472" s="39" t="n">
        <v>39611</v>
      </c>
      <c r="C472" s="4" t="n">
        <v>39600</v>
      </c>
      <c r="D472" s="5">
        <f>YEAR(C472)</f>
        <v/>
      </c>
      <c r="E472" s="5">
        <f>MONTH(C472)</f>
        <v/>
      </c>
      <c r="F472" s="38" t="inlineStr">
        <is>
          <t>NFV  :TENDA ATACADO LTDA</t>
        </is>
      </c>
      <c r="G472" s="38" t="inlineStr">
        <is>
          <t>MARIO FRUGIS (01.04.01)</t>
        </is>
      </c>
      <c r="H472" s="38" t="inlineStr">
        <is>
          <t>NFV</t>
        </is>
      </c>
      <c r="I472" s="40" t="n">
        <v>14.3</v>
      </c>
      <c r="J472" s="40" t="n">
        <v>0</v>
      </c>
      <c r="K472" s="6">
        <f>I472-J472</f>
        <v/>
      </c>
      <c r="L472" s="6">
        <f>IF(H472="DISTRATO",0,I472)</f>
        <v/>
      </c>
    </row>
    <row r="473">
      <c r="A473" s="38" t="inlineStr">
        <is>
          <t>Conta corrente MFRUGIS08.XLS</t>
        </is>
      </c>
      <c r="B473" s="39" t="n">
        <v>39611</v>
      </c>
      <c r="C473" s="4" t="n">
        <v>39600</v>
      </c>
      <c r="D473" s="5">
        <f>YEAR(C473)</f>
        <v/>
      </c>
      <c r="E473" s="5">
        <f>MONTH(C473)</f>
        <v/>
      </c>
      <c r="F473" s="38" t="inlineStr">
        <is>
          <t>NFV  :TENDA ATACADO LTDA</t>
        </is>
      </c>
      <c r="G473" s="38" t="inlineStr">
        <is>
          <t>MARIO FRUGIS (01.04.01)</t>
        </is>
      </c>
      <c r="H473" s="38" t="inlineStr">
        <is>
          <t>NFV</t>
        </is>
      </c>
      <c r="I473" s="40" t="n">
        <v>118.81</v>
      </c>
      <c r="J473" s="40" t="n">
        <v>0</v>
      </c>
      <c r="K473" s="6">
        <f>I473-J473</f>
        <v/>
      </c>
      <c r="L473" s="6">
        <f>IF(H473="DISTRATO",0,I473)</f>
        <v/>
      </c>
    </row>
    <row r="474">
      <c r="A474" s="38" t="inlineStr">
        <is>
          <t>Conta corrente MFRUGIS08.XLS</t>
        </is>
      </c>
      <c r="B474" s="39" t="n">
        <v>39611</v>
      </c>
      <c r="C474" s="4" t="n">
        <v>39600</v>
      </c>
      <c r="D474" s="5">
        <f>YEAR(C474)</f>
        <v/>
      </c>
      <c r="E474" s="5">
        <f>MONTH(C474)</f>
        <v/>
      </c>
      <c r="F474" s="38" t="inlineStr">
        <is>
          <t>NFV  :TENDA ATACADO LTDA</t>
        </is>
      </c>
      <c r="G474" s="38" t="inlineStr">
        <is>
          <t>MARIO FRUGIS (01.04.01)</t>
        </is>
      </c>
      <c r="H474" s="38" t="inlineStr">
        <is>
          <t>NFV</t>
        </is>
      </c>
      <c r="I474" s="40" t="n">
        <v>170.87</v>
      </c>
      <c r="J474" s="40" t="n">
        <v>0</v>
      </c>
      <c r="K474" s="6">
        <f>I474-J474</f>
        <v/>
      </c>
      <c r="L474" s="6">
        <f>IF(H474="DISTRATO",0,I474)</f>
        <v/>
      </c>
    </row>
    <row r="475">
      <c r="A475" s="38" t="inlineStr">
        <is>
          <t>Conta corrente MFRUGIS08.XLS</t>
        </is>
      </c>
      <c r="B475" s="39" t="n">
        <v>39625</v>
      </c>
      <c r="C475" s="4" t="n">
        <v>39600</v>
      </c>
      <c r="D475" s="5">
        <f>YEAR(C475)</f>
        <v/>
      </c>
      <c r="E475" s="5">
        <f>MONTH(C475)</f>
        <v/>
      </c>
      <c r="F475" s="38" t="inlineStr">
        <is>
          <t>BONIF:TENDA ATACADO LTDA</t>
        </is>
      </c>
      <c r="G475" s="38" t="inlineStr">
        <is>
          <t>MARIO FRUGIS (01.04.01)</t>
        </is>
      </c>
      <c r="H475" s="38" t="inlineStr">
        <is>
          <t>BONIFICACAO</t>
        </is>
      </c>
      <c r="I475" s="40" t="n">
        <v>-72.59999999999999</v>
      </c>
      <c r="J475" s="40" t="n">
        <v>0</v>
      </c>
      <c r="K475" s="6">
        <f>I475-J475</f>
        <v/>
      </c>
      <c r="L475" s="6">
        <f>IF(H475="DISTRATO",0,I475)</f>
        <v/>
      </c>
    </row>
    <row r="476">
      <c r="A476" s="38" t="inlineStr">
        <is>
          <t>Conta corrente MFRUGIS08.XLS</t>
        </is>
      </c>
      <c r="B476" s="39" t="n">
        <v>39625</v>
      </c>
      <c r="C476" s="4" t="n">
        <v>39600</v>
      </c>
      <c r="D476" s="5">
        <f>YEAR(C476)</f>
        <v/>
      </c>
      <c r="E476" s="5">
        <f>MONTH(C476)</f>
        <v/>
      </c>
      <c r="F476" s="38" t="inlineStr">
        <is>
          <t>NFV  :TENDA ATACADO LTDA</t>
        </is>
      </c>
      <c r="G476" s="38" t="inlineStr">
        <is>
          <t>MARIO FRUGIS (01.04.01)</t>
        </is>
      </c>
      <c r="H476" s="38" t="inlineStr">
        <is>
          <t>NFV</t>
        </is>
      </c>
      <c r="I476" s="40" t="n">
        <v>73.64</v>
      </c>
      <c r="J476" s="40" t="n">
        <v>0</v>
      </c>
      <c r="K476" s="6">
        <f>I476-J476</f>
        <v/>
      </c>
      <c r="L476" s="6">
        <f>IF(H476="DISTRATO",0,I476)</f>
        <v/>
      </c>
    </row>
    <row r="477">
      <c r="A477" s="38" t="inlineStr">
        <is>
          <t>Conta corrente MFRUGIS08.XLS</t>
        </is>
      </c>
      <c r="B477" s="39" t="n">
        <v>39625</v>
      </c>
      <c r="C477" s="4" t="n">
        <v>39600</v>
      </c>
      <c r="D477" s="5">
        <f>YEAR(C477)</f>
        <v/>
      </c>
      <c r="E477" s="5">
        <f>MONTH(C477)</f>
        <v/>
      </c>
      <c r="F477" s="38" t="inlineStr">
        <is>
          <t>NFV  :TENDA ATACADO LTDA</t>
        </is>
      </c>
      <c r="G477" s="38" t="inlineStr">
        <is>
          <t>MARIO FRUGIS (01.04.01)</t>
        </is>
      </c>
      <c r="H477" s="38" t="inlineStr">
        <is>
          <t>NFV</t>
        </is>
      </c>
      <c r="I477" s="40" t="n">
        <v>91.06</v>
      </c>
      <c r="J477" s="40" t="n">
        <v>0</v>
      </c>
      <c r="K477" s="6">
        <f>I477-J477</f>
        <v/>
      </c>
      <c r="L477" s="6">
        <f>IF(H477="DISTRATO",0,I477)</f>
        <v/>
      </c>
    </row>
    <row r="478">
      <c r="A478" s="38" t="inlineStr">
        <is>
          <t>Conta corrente MFRUGIS08.XLS</t>
        </is>
      </c>
      <c r="B478" s="39" t="n">
        <v>39625</v>
      </c>
      <c r="C478" s="4" t="n">
        <v>39600</v>
      </c>
      <c r="D478" s="5">
        <f>YEAR(C478)</f>
        <v/>
      </c>
      <c r="E478" s="5">
        <f>MONTH(C478)</f>
        <v/>
      </c>
      <c r="F478" s="38" t="inlineStr">
        <is>
          <t>NFV  :TENDA ATACADO LTDA</t>
        </is>
      </c>
      <c r="G478" s="38" t="inlineStr">
        <is>
          <t>MARIO FRUGIS (01.04.01)</t>
        </is>
      </c>
      <c r="H478" s="38" t="inlineStr">
        <is>
          <t>NFV</t>
        </is>
      </c>
      <c r="I478" s="40" t="n">
        <v>163.44</v>
      </c>
      <c r="J478" s="40" t="n">
        <v>0</v>
      </c>
      <c r="K478" s="6">
        <f>I478-J478</f>
        <v/>
      </c>
      <c r="L478" s="6">
        <f>IF(H478="DISTRATO",0,I478)</f>
        <v/>
      </c>
    </row>
    <row r="479">
      <c r="A479" s="38" t="inlineStr">
        <is>
          <t>Conta corrente MFRUGIS08.XLS</t>
        </is>
      </c>
      <c r="B479" s="39" t="n">
        <v>39625</v>
      </c>
      <c r="C479" s="4" t="n">
        <v>39600</v>
      </c>
      <c r="D479" s="5">
        <f>YEAR(C479)</f>
        <v/>
      </c>
      <c r="E479" s="5">
        <f>MONTH(C479)</f>
        <v/>
      </c>
      <c r="F479" s="38" t="inlineStr">
        <is>
          <t>NFV  :TENDA ATACADO LTDA</t>
        </is>
      </c>
      <c r="G479" s="38" t="inlineStr">
        <is>
          <t>MARIO FRUGIS (01.04.01)</t>
        </is>
      </c>
      <c r="H479" s="38" t="inlineStr">
        <is>
          <t>NFV</t>
        </is>
      </c>
      <c r="I479" s="40" t="n">
        <v>53.93</v>
      </c>
      <c r="J479" s="40" t="n">
        <v>0</v>
      </c>
      <c r="K479" s="6">
        <f>I479-J479</f>
        <v/>
      </c>
      <c r="L479" s="6">
        <f>IF(H479="DISTRATO",0,I479)</f>
        <v/>
      </c>
    </row>
    <row r="480">
      <c r="A480" s="38" t="inlineStr">
        <is>
          <t>Conta corrente MFRUGIS08.XLS</t>
        </is>
      </c>
      <c r="B480" s="39" t="n">
        <v>39625</v>
      </c>
      <c r="C480" s="4" t="n">
        <v>39600</v>
      </c>
      <c r="D480" s="5">
        <f>YEAR(C480)</f>
        <v/>
      </c>
      <c r="E480" s="5">
        <f>MONTH(C480)</f>
        <v/>
      </c>
      <c r="F480" s="38" t="inlineStr">
        <is>
          <t>NFV  :TENDA ATACADO LTDA</t>
        </is>
      </c>
      <c r="G480" s="38" t="inlineStr">
        <is>
          <t>MARIO FRUGIS (01.04.01)</t>
        </is>
      </c>
      <c r="H480" s="38" t="inlineStr">
        <is>
          <t>NFV</t>
        </is>
      </c>
      <c r="I480" s="40" t="n">
        <v>30.78</v>
      </c>
      <c r="J480" s="40" t="n">
        <v>0</v>
      </c>
      <c r="K480" s="6">
        <f>I480-J480</f>
        <v/>
      </c>
      <c r="L480" s="6">
        <f>IF(H480="DISTRATO",0,I480)</f>
        <v/>
      </c>
    </row>
    <row r="481">
      <c r="A481" s="38" t="inlineStr">
        <is>
          <t>Conta corrente MFRUGIS08.XLS</t>
        </is>
      </c>
      <c r="B481" s="39" t="n">
        <v>39625</v>
      </c>
      <c r="C481" s="4" t="n">
        <v>39600</v>
      </c>
      <c r="D481" s="5">
        <f>YEAR(C481)</f>
        <v/>
      </c>
      <c r="E481" s="5">
        <f>MONTH(C481)</f>
        <v/>
      </c>
      <c r="F481" s="38" t="inlineStr">
        <is>
          <t>NFV  :TENDA ATACADO LTDA</t>
        </is>
      </c>
      <c r="G481" s="38" t="inlineStr">
        <is>
          <t>MARIO FRUGIS (01.04.01)</t>
        </is>
      </c>
      <c r="H481" s="38" t="inlineStr">
        <is>
          <t>NFV</t>
        </is>
      </c>
      <c r="I481" s="40" t="n">
        <v>33.63</v>
      </c>
      <c r="J481" s="40" t="n">
        <v>0</v>
      </c>
      <c r="K481" s="6">
        <f>I481-J481</f>
        <v/>
      </c>
      <c r="L481" s="6">
        <f>IF(H481="DISTRATO",0,I481)</f>
        <v/>
      </c>
    </row>
    <row r="482">
      <c r="A482" s="38" t="inlineStr">
        <is>
          <t>Conta corrente MFRUGIS08.XLS</t>
        </is>
      </c>
      <c r="B482" s="39" t="n">
        <v>39625</v>
      </c>
      <c r="C482" s="4" t="n">
        <v>39600</v>
      </c>
      <c r="D482" s="5">
        <f>YEAR(C482)</f>
        <v/>
      </c>
      <c r="E482" s="5">
        <f>MONTH(C482)</f>
        <v/>
      </c>
      <c r="F482" s="38" t="inlineStr">
        <is>
          <t>NFV  :TENDA ATACADO LTDA</t>
        </is>
      </c>
      <c r="G482" s="38" t="inlineStr">
        <is>
          <t>MARIO FRUGIS (01.04.01)</t>
        </is>
      </c>
      <c r="H482" s="38" t="inlineStr">
        <is>
          <t>NFV</t>
        </is>
      </c>
      <c r="I482" s="40" t="n">
        <v>48.35</v>
      </c>
      <c r="J482" s="40" t="n">
        <v>0</v>
      </c>
      <c r="K482" s="6">
        <f>I482-J482</f>
        <v/>
      </c>
      <c r="L482" s="6">
        <f>IF(H482="DISTRATO",0,I482)</f>
        <v/>
      </c>
    </row>
    <row r="483">
      <c r="A483" s="38" t="inlineStr">
        <is>
          <t>Conta corrente MFRUGIS08.XLS</t>
        </is>
      </c>
      <c r="B483" s="39" t="n">
        <v>39625</v>
      </c>
      <c r="C483" s="4" t="n">
        <v>39600</v>
      </c>
      <c r="D483" s="5">
        <f>YEAR(C483)</f>
        <v/>
      </c>
      <c r="E483" s="5">
        <f>MONTH(C483)</f>
        <v/>
      </c>
      <c r="F483" s="38" t="inlineStr">
        <is>
          <t>NFV  :TENDA ATACADO LTDA</t>
        </is>
      </c>
      <c r="G483" s="38" t="inlineStr">
        <is>
          <t>MARIO FRUGIS (01.04.01)</t>
        </is>
      </c>
      <c r="H483" s="38" t="inlineStr">
        <is>
          <t>NFV</t>
        </is>
      </c>
      <c r="I483" s="40" t="n">
        <v>120.17</v>
      </c>
      <c r="J483" s="40" t="n">
        <v>0</v>
      </c>
      <c r="K483" s="6">
        <f>I483-J483</f>
        <v/>
      </c>
      <c r="L483" s="6">
        <f>IF(H483="DISTRATO",0,I483)</f>
        <v/>
      </c>
    </row>
    <row r="484">
      <c r="A484" s="38" t="inlineStr">
        <is>
          <t>Conta corrente MFRUGIS08.XLS</t>
        </is>
      </c>
      <c r="B484" s="39" t="n">
        <v>39625</v>
      </c>
      <c r="C484" s="4" t="n">
        <v>39600</v>
      </c>
      <c r="D484" s="5">
        <f>YEAR(C484)</f>
        <v/>
      </c>
      <c r="E484" s="5">
        <f>MONTH(C484)</f>
        <v/>
      </c>
      <c r="F484" s="38" t="inlineStr">
        <is>
          <t>NFV  :TENDA ATACADO LTDA</t>
        </is>
      </c>
      <c r="G484" s="38" t="inlineStr">
        <is>
          <t>MARIO FRUGIS (01.04.01)</t>
        </is>
      </c>
      <c r="H484" s="38" t="inlineStr">
        <is>
          <t>NFV</t>
        </is>
      </c>
      <c r="I484" s="40" t="n">
        <v>71.13</v>
      </c>
      <c r="J484" s="40" t="n">
        <v>0</v>
      </c>
      <c r="K484" s="6">
        <f>I484-J484</f>
        <v/>
      </c>
      <c r="L484" s="6">
        <f>IF(H484="DISTRATO",0,I484)</f>
        <v/>
      </c>
    </row>
    <row r="485">
      <c r="A485" s="38" t="inlineStr">
        <is>
          <t>Conta corrente MFRUGIS08.XLS</t>
        </is>
      </c>
      <c r="B485" s="39" t="n">
        <v>39629</v>
      </c>
      <c r="C485" s="4" t="n">
        <v>39600</v>
      </c>
      <c r="D485" s="5">
        <f>YEAR(C485)</f>
        <v/>
      </c>
      <c r="E485" s="5">
        <f>MONTH(C485)</f>
        <v/>
      </c>
      <c r="F485" s="38" t="inlineStr">
        <is>
          <t>DIF PERCENTUAL                        1. (ajuste de % do Tenda)</t>
        </is>
      </c>
      <c r="G485" s="38" t="inlineStr">
        <is>
          <t>MARIO FRUGIS (01.04.01)</t>
        </is>
      </c>
      <c r="H485" s="38" t="inlineStr">
        <is>
          <t>AJUSTE % TENDA</t>
        </is>
      </c>
      <c r="I485" s="40" t="n">
        <v>1507.69</v>
      </c>
      <c r="J485" s="40" t="n">
        <v>0</v>
      </c>
      <c r="K485" s="6">
        <f>I485-J485</f>
        <v/>
      </c>
      <c r="L485" s="6">
        <f>IF(H485="DISTRATO",0,I485)</f>
        <v/>
      </c>
    </row>
    <row r="486">
      <c r="A486" s="38" t="inlineStr">
        <is>
          <t>Conta corrente MFRUGIS08.XLS</t>
        </is>
      </c>
      <c r="B486" s="39" t="n">
        <v>39639</v>
      </c>
      <c r="C486" s="4" t="n">
        <v>39630</v>
      </c>
      <c r="D486" s="5">
        <f>YEAR(C486)</f>
        <v/>
      </c>
      <c r="E486" s="5">
        <f>MONTH(C486)</f>
        <v/>
      </c>
      <c r="F486" s="38" t="inlineStr">
        <is>
          <t>NFV  :TENDA ATACADO LTDA</t>
        </is>
      </c>
      <c r="G486" s="38" t="inlineStr">
        <is>
          <t>MARIO FRUGIS (01.04.01)</t>
        </is>
      </c>
      <c r="H486" s="38" t="inlineStr">
        <is>
          <t>NFV</t>
        </is>
      </c>
      <c r="I486" s="40" t="n">
        <v>106.27</v>
      </c>
      <c r="J486" s="40" t="n">
        <v>0</v>
      </c>
      <c r="K486" s="6">
        <f>I486-J486</f>
        <v/>
      </c>
      <c r="L486" s="6">
        <f>IF(H486="DISTRATO",0,I486)</f>
        <v/>
      </c>
    </row>
    <row r="487">
      <c r="A487" s="38" t="inlineStr">
        <is>
          <t>Conta corrente MFRUGIS08.XLS</t>
        </is>
      </c>
      <c r="B487" s="39" t="n">
        <v>39639</v>
      </c>
      <c r="C487" s="4" t="n">
        <v>39630</v>
      </c>
      <c r="D487" s="5">
        <f>YEAR(C487)</f>
        <v/>
      </c>
      <c r="E487" s="5">
        <f>MONTH(C487)</f>
        <v/>
      </c>
      <c r="F487" s="38" t="inlineStr">
        <is>
          <t>NFV  :TENDA ATACADO LTDA</t>
        </is>
      </c>
      <c r="G487" s="38" t="inlineStr">
        <is>
          <t>MARIO FRUGIS (01.04.01)</t>
        </is>
      </c>
      <c r="H487" s="38" t="inlineStr">
        <is>
          <t>NFV</t>
        </is>
      </c>
      <c r="I487" s="40" t="n">
        <v>100.64</v>
      </c>
      <c r="J487" s="40" t="n">
        <v>0</v>
      </c>
      <c r="K487" s="6">
        <f>I487-J487</f>
        <v/>
      </c>
      <c r="L487" s="6">
        <f>IF(H487="DISTRATO",0,I487)</f>
        <v/>
      </c>
    </row>
    <row r="488">
      <c r="A488" s="38" t="inlineStr">
        <is>
          <t>Conta corrente MFRUGIS08.XLS</t>
        </is>
      </c>
      <c r="B488" s="39" t="n">
        <v>39639</v>
      </c>
      <c r="C488" s="4" t="n">
        <v>39630</v>
      </c>
      <c r="D488" s="5">
        <f>YEAR(C488)</f>
        <v/>
      </c>
      <c r="E488" s="5">
        <f>MONTH(C488)</f>
        <v/>
      </c>
      <c r="F488" s="38" t="inlineStr">
        <is>
          <t>NFV  :TENDA ATACADO LTDA</t>
        </is>
      </c>
      <c r="G488" s="38" t="inlineStr">
        <is>
          <t>MARIO FRUGIS (01.04.01)</t>
        </is>
      </c>
      <c r="H488" s="38" t="inlineStr">
        <is>
          <t>NFV</t>
        </is>
      </c>
      <c r="I488" s="40" t="n">
        <v>95.22</v>
      </c>
      <c r="J488" s="40" t="n">
        <v>0</v>
      </c>
      <c r="K488" s="6">
        <f>I488-J488</f>
        <v/>
      </c>
      <c r="L488" s="6">
        <f>IF(H488="DISTRATO",0,I488)</f>
        <v/>
      </c>
    </row>
    <row r="489">
      <c r="A489" s="38" t="inlineStr">
        <is>
          <t>Conta corrente MFRUGIS08.XLS</t>
        </is>
      </c>
      <c r="B489" s="39" t="n">
        <v>39639</v>
      </c>
      <c r="C489" s="4" t="n">
        <v>39630</v>
      </c>
      <c r="D489" s="5">
        <f>YEAR(C489)</f>
        <v/>
      </c>
      <c r="E489" s="5">
        <f>MONTH(C489)</f>
        <v/>
      </c>
      <c r="F489" s="38" t="inlineStr">
        <is>
          <t>NFV  :TENDA ATACADO LTDA</t>
        </is>
      </c>
      <c r="G489" s="38" t="inlineStr">
        <is>
          <t>MARIO FRUGIS (01.04.01)</t>
        </is>
      </c>
      <c r="H489" s="38" t="inlineStr">
        <is>
          <t>NFV</t>
        </is>
      </c>
      <c r="I489" s="40" t="n">
        <v>44.17</v>
      </c>
      <c r="J489" s="40" t="n">
        <v>0</v>
      </c>
      <c r="K489" s="6">
        <f>I489-J489</f>
        <v/>
      </c>
      <c r="L489" s="6">
        <f>IF(H489="DISTRATO",0,I489)</f>
        <v/>
      </c>
    </row>
    <row r="490">
      <c r="A490" s="38" t="inlineStr">
        <is>
          <t>Conta corrente MFRUGIS08.XLS</t>
        </is>
      </c>
      <c r="B490" s="39" t="n">
        <v>39639</v>
      </c>
      <c r="C490" s="4" t="n">
        <v>39630</v>
      </c>
      <c r="D490" s="5">
        <f>YEAR(C490)</f>
        <v/>
      </c>
      <c r="E490" s="5">
        <f>MONTH(C490)</f>
        <v/>
      </c>
      <c r="F490" s="38" t="inlineStr">
        <is>
          <t>NFV  :TENDA ATACADO LTDA</t>
        </is>
      </c>
      <c r="G490" s="38" t="inlineStr">
        <is>
          <t>MARIO FRUGIS (01.04.01)</t>
        </is>
      </c>
      <c r="H490" s="38" t="inlineStr">
        <is>
          <t>NFV</t>
        </is>
      </c>
      <c r="I490" s="40" t="n">
        <v>60.1</v>
      </c>
      <c r="J490" s="40" t="n">
        <v>0</v>
      </c>
      <c r="K490" s="6">
        <f>I490-J490</f>
        <v/>
      </c>
      <c r="L490" s="6">
        <f>IF(H490="DISTRATO",0,I490)</f>
        <v/>
      </c>
    </row>
    <row r="491">
      <c r="A491" s="38" t="inlineStr">
        <is>
          <t>Conta corrente MFRUGIS08.XLS</t>
        </is>
      </c>
      <c r="B491" s="39" t="n">
        <v>39639</v>
      </c>
      <c r="C491" s="4" t="n">
        <v>39630</v>
      </c>
      <c r="D491" s="5">
        <f>YEAR(C491)</f>
        <v/>
      </c>
      <c r="E491" s="5">
        <f>MONTH(C491)</f>
        <v/>
      </c>
      <c r="F491" s="38" t="inlineStr">
        <is>
          <t>NFV  :TENDA ATACADO LTDA</t>
        </is>
      </c>
      <c r="G491" s="38" t="inlineStr">
        <is>
          <t>MARIO FRUGIS (01.04.01)</t>
        </is>
      </c>
      <c r="H491" s="38" t="inlineStr">
        <is>
          <t>NFV</t>
        </is>
      </c>
      <c r="I491" s="40" t="n">
        <v>82.7</v>
      </c>
      <c r="J491" s="40" t="n">
        <v>0</v>
      </c>
      <c r="K491" s="6">
        <f>I491-J491</f>
        <v/>
      </c>
      <c r="L491" s="6">
        <f>IF(H491="DISTRATO",0,I491)</f>
        <v/>
      </c>
    </row>
    <row r="492">
      <c r="A492" s="38" t="inlineStr">
        <is>
          <t>Conta corrente MFRUGIS08.XLS</t>
        </is>
      </c>
      <c r="B492" s="39" t="n">
        <v>39640</v>
      </c>
      <c r="C492" s="4" t="n">
        <v>39630</v>
      </c>
      <c r="D492" s="5">
        <f>YEAR(C492)</f>
        <v/>
      </c>
      <c r="E492" s="5">
        <f>MONTH(C492)</f>
        <v/>
      </c>
      <c r="F492" s="38" t="inlineStr">
        <is>
          <t>NFV  :TENDA ATACADO LTDA</t>
        </is>
      </c>
      <c r="G492" s="38" t="inlineStr">
        <is>
          <t>MARIO FRUGIS (01.04.01)</t>
        </is>
      </c>
      <c r="H492" s="38" t="inlineStr">
        <is>
          <t>NFV</t>
        </is>
      </c>
      <c r="I492" s="40" t="n">
        <v>58.23</v>
      </c>
      <c r="J492" s="40" t="n">
        <v>0</v>
      </c>
      <c r="K492" s="6">
        <f>I492-J492</f>
        <v/>
      </c>
      <c r="L492" s="6">
        <f>IF(H492="DISTRATO",0,I492)</f>
        <v/>
      </c>
    </row>
    <row r="493">
      <c r="A493" s="38" t="inlineStr">
        <is>
          <t>Conta corrente MFRUGIS08.XLS</t>
        </is>
      </c>
      <c r="B493" s="39" t="n">
        <v>39640</v>
      </c>
      <c r="C493" s="4" t="n">
        <v>39630</v>
      </c>
      <c r="D493" s="5">
        <f>YEAR(C493)</f>
        <v/>
      </c>
      <c r="E493" s="5">
        <f>MONTH(C493)</f>
        <v/>
      </c>
      <c r="F493" s="38" t="inlineStr">
        <is>
          <t>NFV  :TENDA ATACADO LTDA</t>
        </is>
      </c>
      <c r="G493" s="38" t="inlineStr">
        <is>
          <t>MARIO FRUGIS (01.04.01)</t>
        </is>
      </c>
      <c r="H493" s="38" t="inlineStr">
        <is>
          <t>NFV</t>
        </is>
      </c>
      <c r="I493" s="40" t="n">
        <v>77.16</v>
      </c>
      <c r="J493" s="40" t="n">
        <v>0</v>
      </c>
      <c r="K493" s="6">
        <f>I493-J493</f>
        <v/>
      </c>
      <c r="L493" s="6">
        <f>IF(H493="DISTRATO",0,I493)</f>
        <v/>
      </c>
    </row>
    <row r="494">
      <c r="A494" s="38" t="inlineStr">
        <is>
          <t>Conta corrente MFRUGIS08.XLS</t>
        </is>
      </c>
      <c r="B494" s="39" t="n">
        <v>39640</v>
      </c>
      <c r="C494" s="4" t="n">
        <v>39630</v>
      </c>
      <c r="D494" s="5">
        <f>YEAR(C494)</f>
        <v/>
      </c>
      <c r="E494" s="5">
        <f>MONTH(C494)</f>
        <v/>
      </c>
      <c r="F494" s="38" t="inlineStr">
        <is>
          <t>NFV  :TENDA ATACADO LTDA</t>
        </is>
      </c>
      <c r="G494" s="38" t="inlineStr">
        <is>
          <t>MARIO FRUGIS (01.04.01)</t>
        </is>
      </c>
      <c r="H494" s="38" t="inlineStr">
        <is>
          <t>NFV</t>
        </is>
      </c>
      <c r="I494" s="40" t="n">
        <v>28.25</v>
      </c>
      <c r="J494" s="40" t="n">
        <v>0</v>
      </c>
      <c r="K494" s="6">
        <f>I494-J494</f>
        <v/>
      </c>
      <c r="L494" s="6">
        <f>IF(H494="DISTRATO",0,I494)</f>
        <v/>
      </c>
    </row>
    <row r="495">
      <c r="A495" s="38" t="inlineStr">
        <is>
          <t>Conta corrente MFRUGIS08.XLS</t>
        </is>
      </c>
      <c r="B495" s="39" t="n">
        <v>39643</v>
      </c>
      <c r="C495" s="4" t="n">
        <v>39630</v>
      </c>
      <c r="D495" s="5">
        <f>YEAR(C495)</f>
        <v/>
      </c>
      <c r="E495" s="5">
        <f>MONTH(C495)</f>
        <v/>
      </c>
      <c r="F495" s="38" t="inlineStr">
        <is>
          <t>NFV  :TENDA ATACADO LTDA</t>
        </is>
      </c>
      <c r="G495" s="38" t="inlineStr">
        <is>
          <t>MARIO FRUGIS (01.04.01)</t>
        </is>
      </c>
      <c r="H495" s="38" t="inlineStr">
        <is>
          <t>NFV</t>
        </is>
      </c>
      <c r="I495" s="40" t="n">
        <v>100.64</v>
      </c>
      <c r="J495" s="40" t="n">
        <v>0</v>
      </c>
      <c r="K495" s="6">
        <f>I495-J495</f>
        <v/>
      </c>
      <c r="L495" s="6">
        <f>IF(H495="DISTRATO",0,I495)</f>
        <v/>
      </c>
    </row>
    <row r="496">
      <c r="A496" s="38" t="inlineStr">
        <is>
          <t>Conta corrente MFRUGIS08.XLS</t>
        </is>
      </c>
      <c r="B496" s="39" t="n">
        <v>39653</v>
      </c>
      <c r="C496" s="4" t="n">
        <v>39630</v>
      </c>
      <c r="D496" s="5">
        <f>YEAR(C496)</f>
        <v/>
      </c>
      <c r="E496" s="5">
        <f>MONTH(C496)</f>
        <v/>
      </c>
      <c r="F496" s="38" t="inlineStr">
        <is>
          <t>NFV  :TENDA ATACADO LTDA</t>
        </is>
      </c>
      <c r="G496" s="38" t="inlineStr">
        <is>
          <t>MARIO FRUGIS (01.04.01)</t>
        </is>
      </c>
      <c r="H496" s="38" t="inlineStr">
        <is>
          <t>NFV</t>
        </is>
      </c>
      <c r="I496" s="40" t="n">
        <v>3.95</v>
      </c>
      <c r="J496" s="40" t="n">
        <v>0</v>
      </c>
      <c r="K496" s="6">
        <f>I496-J496</f>
        <v/>
      </c>
      <c r="L496" s="6">
        <f>IF(H496="DISTRATO",0,I496)</f>
        <v/>
      </c>
    </row>
    <row r="497">
      <c r="A497" s="38" t="inlineStr">
        <is>
          <t>Conta corrente MFRUGIS08.XLS</t>
        </is>
      </c>
      <c r="B497" s="39" t="n">
        <v>39653</v>
      </c>
      <c r="C497" s="4" t="n">
        <v>39630</v>
      </c>
      <c r="D497" s="5">
        <f>YEAR(C497)</f>
        <v/>
      </c>
      <c r="E497" s="5">
        <f>MONTH(C497)</f>
        <v/>
      </c>
      <c r="F497" s="38" t="inlineStr">
        <is>
          <t>NFV  :TENDA ATACADO LTDA</t>
        </is>
      </c>
      <c r="G497" s="38" t="inlineStr">
        <is>
          <t>MARIO FRUGIS (01.04.01)</t>
        </is>
      </c>
      <c r="H497" s="38" t="inlineStr">
        <is>
          <t>NFV</t>
        </is>
      </c>
      <c r="I497" s="40" t="n">
        <v>3.95</v>
      </c>
      <c r="J497" s="40" t="n">
        <v>0</v>
      </c>
      <c r="K497" s="6">
        <f>I497-J497</f>
        <v/>
      </c>
      <c r="L497" s="6">
        <f>IF(H497="DISTRATO",0,I497)</f>
        <v/>
      </c>
    </row>
    <row r="498">
      <c r="A498" s="38" t="inlineStr">
        <is>
          <t>Conta corrente MFRUGIS08.XLS</t>
        </is>
      </c>
      <c r="B498" s="39" t="n">
        <v>39653</v>
      </c>
      <c r="C498" s="4" t="n">
        <v>39630</v>
      </c>
      <c r="D498" s="5">
        <f>YEAR(C498)</f>
        <v/>
      </c>
      <c r="E498" s="5">
        <f>MONTH(C498)</f>
        <v/>
      </c>
      <c r="F498" s="38" t="inlineStr">
        <is>
          <t>NFV  :TENDA ATACADO LTDA</t>
        </is>
      </c>
      <c r="G498" s="38" t="inlineStr">
        <is>
          <t>MARIO FRUGIS (01.04.01)</t>
        </is>
      </c>
      <c r="H498" s="38" t="inlineStr">
        <is>
          <t>NFV</t>
        </is>
      </c>
      <c r="I498" s="40" t="n">
        <v>52.53</v>
      </c>
      <c r="J498" s="40" t="n">
        <v>0</v>
      </c>
      <c r="K498" s="6">
        <f>I498-J498</f>
        <v/>
      </c>
      <c r="L498" s="6">
        <f>IF(H498="DISTRATO",0,I498)</f>
        <v/>
      </c>
    </row>
    <row r="499">
      <c r="A499" s="38" t="inlineStr">
        <is>
          <t>Conta corrente MFRUGIS08.XLS</t>
        </is>
      </c>
      <c r="B499" s="39" t="n">
        <v>39653</v>
      </c>
      <c r="C499" s="4" t="n">
        <v>39630</v>
      </c>
      <c r="D499" s="5">
        <f>YEAR(C499)</f>
        <v/>
      </c>
      <c r="E499" s="5">
        <f>MONTH(C499)</f>
        <v/>
      </c>
      <c r="F499" s="38" t="inlineStr">
        <is>
          <t>NFV  :TENDA ATACADO LTDA</t>
        </is>
      </c>
      <c r="G499" s="38" t="inlineStr">
        <is>
          <t>MARIO FRUGIS (01.04.01)</t>
        </is>
      </c>
      <c r="H499" s="38" t="inlineStr">
        <is>
          <t>NFV</t>
        </is>
      </c>
      <c r="I499" s="40" t="n">
        <v>29.02</v>
      </c>
      <c r="J499" s="40" t="n">
        <v>0</v>
      </c>
      <c r="K499" s="6">
        <f>I499-J499</f>
        <v/>
      </c>
      <c r="L499" s="6">
        <f>IF(H499="DISTRATO",0,I499)</f>
        <v/>
      </c>
    </row>
    <row r="500">
      <c r="A500" s="38" t="inlineStr">
        <is>
          <t>Conta corrente MFRUGIS08.XLS</t>
        </is>
      </c>
      <c r="B500" s="39" t="n">
        <v>39653</v>
      </c>
      <c r="C500" s="4" t="n">
        <v>39630</v>
      </c>
      <c r="D500" s="5">
        <f>YEAR(C500)</f>
        <v/>
      </c>
      <c r="E500" s="5">
        <f>MONTH(C500)</f>
        <v/>
      </c>
      <c r="F500" s="38" t="inlineStr">
        <is>
          <t>NFV  :TENDA ATACADO LTDA</t>
        </is>
      </c>
      <c r="G500" s="38" t="inlineStr">
        <is>
          <t>MARIO FRUGIS (01.04.01)</t>
        </is>
      </c>
      <c r="H500" s="38" t="inlineStr">
        <is>
          <t>NFV</t>
        </is>
      </c>
      <c r="I500" s="40" t="n">
        <v>76.47</v>
      </c>
      <c r="J500" s="40" t="n">
        <v>0</v>
      </c>
      <c r="K500" s="6">
        <f>I500-J500</f>
        <v/>
      </c>
      <c r="L500" s="6">
        <f>IF(H500="DISTRATO",0,I500)</f>
        <v/>
      </c>
    </row>
    <row r="501">
      <c r="A501" s="38" t="inlineStr">
        <is>
          <t>Conta corrente MFRUGIS08.XLS</t>
        </is>
      </c>
      <c r="B501" s="39" t="n">
        <v>39653</v>
      </c>
      <c r="C501" s="4" t="n">
        <v>39630</v>
      </c>
      <c r="D501" s="5">
        <f>YEAR(C501)</f>
        <v/>
      </c>
      <c r="E501" s="5">
        <f>MONTH(C501)</f>
        <v/>
      </c>
      <c r="F501" s="38" t="inlineStr">
        <is>
          <t>NFV  :TENDA ATACADO LTDA</t>
        </is>
      </c>
      <c r="G501" s="38" t="inlineStr">
        <is>
          <t>MARIO FRUGIS (01.04.01)</t>
        </is>
      </c>
      <c r="H501" s="38" t="inlineStr">
        <is>
          <t>NFV</t>
        </is>
      </c>
      <c r="I501" s="40" t="n">
        <v>66.05</v>
      </c>
      <c r="J501" s="40" t="n">
        <v>0</v>
      </c>
      <c r="K501" s="6">
        <f>I501-J501</f>
        <v/>
      </c>
      <c r="L501" s="6">
        <f>IF(H501="DISTRATO",0,I501)</f>
        <v/>
      </c>
    </row>
    <row r="502">
      <c r="A502" s="38" t="inlineStr">
        <is>
          <t>Conta corrente MFRUGIS08.XLS</t>
        </is>
      </c>
      <c r="B502" s="39" t="n">
        <v>39653</v>
      </c>
      <c r="C502" s="4" t="n">
        <v>39630</v>
      </c>
      <c r="D502" s="5">
        <f>YEAR(C502)</f>
        <v/>
      </c>
      <c r="E502" s="5">
        <f>MONTH(C502)</f>
        <v/>
      </c>
      <c r="F502" s="38" t="inlineStr">
        <is>
          <t>NFV  :TENDA ATACADO LTDA</t>
        </is>
      </c>
      <c r="G502" s="38" t="inlineStr">
        <is>
          <t>MARIO FRUGIS (01.04.01)</t>
        </is>
      </c>
      <c r="H502" s="38" t="inlineStr">
        <is>
          <t>NFV</t>
        </is>
      </c>
      <c r="I502" s="40" t="n">
        <v>31.33</v>
      </c>
      <c r="J502" s="40" t="n">
        <v>0</v>
      </c>
      <c r="K502" s="6">
        <f>I502-J502</f>
        <v/>
      </c>
      <c r="L502" s="6">
        <f>IF(H502="DISTRATO",0,I502)</f>
        <v/>
      </c>
    </row>
    <row r="503">
      <c r="A503" s="38" t="inlineStr">
        <is>
          <t>Conta corrente MFRUGIS08.XLS</t>
        </is>
      </c>
      <c r="B503" s="39" t="n">
        <v>39653</v>
      </c>
      <c r="C503" s="4" t="n">
        <v>39630</v>
      </c>
      <c r="D503" s="5">
        <f>YEAR(C503)</f>
        <v/>
      </c>
      <c r="E503" s="5">
        <f>MONTH(C503)</f>
        <v/>
      </c>
      <c r="F503" s="38" t="inlineStr">
        <is>
          <t>NFV  :TENDA ATACADO LTDA</t>
        </is>
      </c>
      <c r="G503" s="38" t="inlineStr">
        <is>
          <t>MARIO FRUGIS (01.04.01)</t>
        </is>
      </c>
      <c r="H503" s="38" t="inlineStr">
        <is>
          <t>NFV</t>
        </is>
      </c>
      <c r="I503" s="40" t="n">
        <v>91.69</v>
      </c>
      <c r="J503" s="40" t="n">
        <v>0</v>
      </c>
      <c r="K503" s="6">
        <f>I503-J503</f>
        <v/>
      </c>
      <c r="L503" s="6">
        <f>IF(H503="DISTRATO",0,I503)</f>
        <v/>
      </c>
    </row>
    <row r="504">
      <c r="A504" s="38" t="inlineStr">
        <is>
          <t>Conta corrente MFRUGIS08.XLS</t>
        </is>
      </c>
      <c r="B504" s="39" t="n">
        <v>39653</v>
      </c>
      <c r="C504" s="4" t="n">
        <v>39630</v>
      </c>
      <c r="D504" s="5">
        <f>YEAR(C504)</f>
        <v/>
      </c>
      <c r="E504" s="5">
        <f>MONTH(C504)</f>
        <v/>
      </c>
      <c r="F504" s="38" t="inlineStr">
        <is>
          <t>NFV  :TENDA ATACADO LTDA</t>
        </is>
      </c>
      <c r="G504" s="38" t="inlineStr">
        <is>
          <t>MARIO FRUGIS (01.04.01)</t>
        </is>
      </c>
      <c r="H504" s="38" t="inlineStr">
        <is>
          <t>NFV</t>
        </is>
      </c>
      <c r="I504" s="40" t="n">
        <v>61.35</v>
      </c>
      <c r="J504" s="40" t="n">
        <v>0</v>
      </c>
      <c r="K504" s="6">
        <f>I504-J504</f>
        <v/>
      </c>
      <c r="L504" s="6">
        <f>IF(H504="DISTRATO",0,I504)</f>
        <v/>
      </c>
    </row>
    <row r="505">
      <c r="A505" s="38" t="inlineStr">
        <is>
          <t>Conta corrente MFRUGIS08.XLS</t>
        </is>
      </c>
      <c r="B505" s="39" t="n">
        <v>39653</v>
      </c>
      <c r="C505" s="4" t="n">
        <v>39630</v>
      </c>
      <c r="D505" s="5">
        <f>YEAR(C505)</f>
        <v/>
      </c>
      <c r="E505" s="5">
        <f>MONTH(C505)</f>
        <v/>
      </c>
      <c r="F505" s="38" t="inlineStr">
        <is>
          <t>NFV  :TENDA ATACADO LTDA</t>
        </is>
      </c>
      <c r="G505" s="38" t="inlineStr">
        <is>
          <t>MARIO FRUGIS (01.04.01)</t>
        </is>
      </c>
      <c r="H505" s="38" t="inlineStr">
        <is>
          <t>NFV</t>
        </is>
      </c>
      <c r="I505" s="40" t="n">
        <v>56.58</v>
      </c>
      <c r="J505" s="40" t="n">
        <v>0</v>
      </c>
      <c r="K505" s="6">
        <f>I505-J505</f>
        <v/>
      </c>
      <c r="L505" s="6">
        <f>IF(H505="DISTRATO",0,I505)</f>
        <v/>
      </c>
    </row>
    <row r="506">
      <c r="A506" s="38" t="inlineStr">
        <is>
          <t>Conta corrente MFRUGIS08.XLS</t>
        </is>
      </c>
      <c r="B506" s="39" t="n">
        <v>39653</v>
      </c>
      <c r="C506" s="4" t="n">
        <v>39630</v>
      </c>
      <c r="D506" s="5">
        <f>YEAR(C506)</f>
        <v/>
      </c>
      <c r="E506" s="5">
        <f>MONTH(C506)</f>
        <v/>
      </c>
      <c r="F506" s="38" t="inlineStr">
        <is>
          <t>NFV  :TENDA ATACADO LTDA</t>
        </is>
      </c>
      <c r="G506" s="38" t="inlineStr">
        <is>
          <t>MARIO FRUGIS (01.04.01)</t>
        </is>
      </c>
      <c r="H506" s="38" t="inlineStr">
        <is>
          <t>NFV</t>
        </is>
      </c>
      <c r="I506" s="40" t="n">
        <v>15.47</v>
      </c>
      <c r="J506" s="40" t="n">
        <v>0</v>
      </c>
      <c r="K506" s="6">
        <f>I506-J506</f>
        <v/>
      </c>
      <c r="L506" s="6">
        <f>IF(H506="DISTRATO",0,I506)</f>
        <v/>
      </c>
    </row>
    <row r="507">
      <c r="A507" s="38" t="inlineStr">
        <is>
          <t>Conta corrente MFRUGIS08.XLS</t>
        </is>
      </c>
      <c r="B507" s="39" t="n">
        <v>39653</v>
      </c>
      <c r="C507" s="4" t="n">
        <v>39630</v>
      </c>
      <c r="D507" s="5">
        <f>YEAR(C507)</f>
        <v/>
      </c>
      <c r="E507" s="5">
        <f>MONTH(C507)</f>
        <v/>
      </c>
      <c r="F507" s="38" t="inlineStr">
        <is>
          <t>NFV  :TENDA ATACADO LTDA</t>
        </is>
      </c>
      <c r="G507" s="38" t="inlineStr">
        <is>
          <t>MARIO FRUGIS (01.04.01)</t>
        </is>
      </c>
      <c r="H507" s="38" t="inlineStr">
        <is>
          <t>NFV</t>
        </is>
      </c>
      <c r="I507" s="40" t="n">
        <v>110.18</v>
      </c>
      <c r="J507" s="40" t="n">
        <v>0</v>
      </c>
      <c r="K507" s="6">
        <f>I507-J507</f>
        <v/>
      </c>
      <c r="L507" s="6">
        <f>IF(H507="DISTRATO",0,I507)</f>
        <v/>
      </c>
    </row>
    <row r="508">
      <c r="A508" s="38" t="inlineStr">
        <is>
          <t>Conta corrente MFRUGIS08.XLS</t>
        </is>
      </c>
      <c r="B508" s="39" t="n">
        <v>39653</v>
      </c>
      <c r="C508" s="4" t="n">
        <v>39630</v>
      </c>
      <c r="D508" s="5">
        <f>YEAR(C508)</f>
        <v/>
      </c>
      <c r="E508" s="5">
        <f>MONTH(C508)</f>
        <v/>
      </c>
      <c r="F508" s="38" t="inlineStr">
        <is>
          <t>NFV  :TENDA ATACADO LTDA</t>
        </is>
      </c>
      <c r="G508" s="38" t="inlineStr">
        <is>
          <t>MARIO FRUGIS (01.04.01)</t>
        </is>
      </c>
      <c r="H508" s="38" t="inlineStr">
        <is>
          <t>NFV</t>
        </is>
      </c>
      <c r="I508" s="40" t="n">
        <v>9.210000000000001</v>
      </c>
      <c r="J508" s="40" t="n">
        <v>0</v>
      </c>
      <c r="K508" s="6">
        <f>I508-J508</f>
        <v/>
      </c>
      <c r="L508" s="6">
        <f>IF(H508="DISTRATO",0,I508)</f>
        <v/>
      </c>
    </row>
    <row r="509">
      <c r="A509" s="38" t="inlineStr">
        <is>
          <t>Conta corrente MFRUGIS08.XLS</t>
        </is>
      </c>
      <c r="B509" s="39" t="n">
        <v>39653</v>
      </c>
      <c r="C509" s="4" t="n">
        <v>39630</v>
      </c>
      <c r="D509" s="5">
        <f>YEAR(C509)</f>
        <v/>
      </c>
      <c r="E509" s="5">
        <f>MONTH(C509)</f>
        <v/>
      </c>
      <c r="F509" s="38" t="inlineStr">
        <is>
          <t>NFV  :TENDA ATACADO LTDA</t>
        </is>
      </c>
      <c r="G509" s="38" t="inlineStr">
        <is>
          <t>MARIO FRUGIS (01.04.01)</t>
        </is>
      </c>
      <c r="H509" s="38" t="inlineStr">
        <is>
          <t>NFV</t>
        </is>
      </c>
      <c r="I509" s="40" t="n">
        <v>19.42</v>
      </c>
      <c r="J509" s="40" t="n">
        <v>0</v>
      </c>
      <c r="K509" s="6">
        <f>I509-J509</f>
        <v/>
      </c>
      <c r="L509" s="6">
        <f>IF(H509="DISTRATO",0,I509)</f>
        <v/>
      </c>
    </row>
    <row r="510">
      <c r="A510" s="38" t="inlineStr">
        <is>
          <t>Conta corrente MFRUGIS08.XLS</t>
        </is>
      </c>
      <c r="B510" s="39" t="n">
        <v>39653</v>
      </c>
      <c r="C510" s="4" t="n">
        <v>39630</v>
      </c>
      <c r="D510" s="5">
        <f>YEAR(C510)</f>
        <v/>
      </c>
      <c r="E510" s="5">
        <f>MONTH(C510)</f>
        <v/>
      </c>
      <c r="F510" s="38" t="inlineStr">
        <is>
          <t>NFV  :TENDA ATACADO LTDA</t>
        </is>
      </c>
      <c r="G510" s="38" t="inlineStr">
        <is>
          <t>MARIO FRUGIS (01.04.01)</t>
        </is>
      </c>
      <c r="H510" s="38" t="inlineStr">
        <is>
          <t>NFV</t>
        </is>
      </c>
      <c r="I510" s="40" t="n">
        <v>88.09999999999999</v>
      </c>
      <c r="J510" s="40" t="n">
        <v>0</v>
      </c>
      <c r="K510" s="6">
        <f>I510-J510</f>
        <v/>
      </c>
      <c r="L510" s="6">
        <f>IF(H510="DISTRATO",0,I510)</f>
        <v/>
      </c>
    </row>
    <row r="511">
      <c r="A511" s="38" t="inlineStr">
        <is>
          <t>Conta corrente MFRUGIS08.XLS</t>
        </is>
      </c>
      <c r="B511" s="39" t="n">
        <v>39653</v>
      </c>
      <c r="C511" s="4" t="n">
        <v>39630</v>
      </c>
      <c r="D511" s="5">
        <f>YEAR(C511)</f>
        <v/>
      </c>
      <c r="E511" s="5">
        <f>MONTH(C511)</f>
        <v/>
      </c>
      <c r="F511" s="38" t="inlineStr">
        <is>
          <t>NFV  :TENDA ATACADO LTDA</t>
        </is>
      </c>
      <c r="G511" s="38" t="inlineStr">
        <is>
          <t>MARIO FRUGIS (01.04.01)</t>
        </is>
      </c>
      <c r="H511" s="38" t="inlineStr">
        <is>
          <t>NFV</t>
        </is>
      </c>
      <c r="I511" s="40" t="n">
        <v>19.81</v>
      </c>
      <c r="J511" s="40" t="n">
        <v>0</v>
      </c>
      <c r="K511" s="6">
        <f>I511-J511</f>
        <v/>
      </c>
      <c r="L511" s="6">
        <f>IF(H511="DISTRATO",0,I511)</f>
        <v/>
      </c>
    </row>
    <row r="512">
      <c r="A512" s="38" t="inlineStr">
        <is>
          <t>Conta corrente MFRUGIS08.XLS</t>
        </is>
      </c>
      <c r="B512" s="39" t="n">
        <v>39657</v>
      </c>
      <c r="C512" s="4" t="n">
        <v>39630</v>
      </c>
      <c r="D512" s="5">
        <f>YEAR(C512)</f>
        <v/>
      </c>
      <c r="E512" s="5">
        <f>MONTH(C512)</f>
        <v/>
      </c>
      <c r="F512" s="38" t="inlineStr">
        <is>
          <t>BONIF:TENDA ATACADO LTDA</t>
        </is>
      </c>
      <c r="G512" s="38" t="inlineStr">
        <is>
          <t>MARIO FRUGIS (01.04.01)</t>
        </is>
      </c>
      <c r="H512" s="38" t="inlineStr">
        <is>
          <t>BONIFICACAO</t>
        </is>
      </c>
      <c r="I512" s="40" t="n">
        <v>-14.09</v>
      </c>
      <c r="J512" s="40" t="n">
        <v>0</v>
      </c>
      <c r="K512" s="6">
        <f>I512-J512</f>
        <v/>
      </c>
      <c r="L512" s="6">
        <f>IF(H512="DISTRATO",0,I512)</f>
        <v/>
      </c>
    </row>
    <row r="513">
      <c r="A513" s="38" t="inlineStr">
        <is>
          <t>Conta corrente MFRUGIS08.XLS</t>
        </is>
      </c>
      <c r="B513" s="39" t="n">
        <v>39657</v>
      </c>
      <c r="C513" s="4" t="n">
        <v>39630</v>
      </c>
      <c r="D513" s="5">
        <f>YEAR(C513)</f>
        <v/>
      </c>
      <c r="E513" s="5">
        <f>MONTH(C513)</f>
        <v/>
      </c>
      <c r="F513" s="38" t="inlineStr">
        <is>
          <t>BONIF:TENDA ATACADO LTDA</t>
        </is>
      </c>
      <c r="G513" s="38" t="inlineStr">
        <is>
          <t>MARIO FRUGIS (01.04.01)</t>
        </is>
      </c>
      <c r="H513" s="38" t="inlineStr">
        <is>
          <t>BONIFICACAO</t>
        </is>
      </c>
      <c r="I513" s="40" t="n">
        <v>-62</v>
      </c>
      <c r="J513" s="40" t="n">
        <v>0</v>
      </c>
      <c r="K513" s="6">
        <f>I513-J513</f>
        <v/>
      </c>
      <c r="L513" s="6">
        <f>IF(H513="DISTRATO",0,I513)</f>
        <v/>
      </c>
    </row>
    <row r="514">
      <c r="A514" s="38" t="inlineStr">
        <is>
          <t>Conta corrente MFRUGIS08.XLS</t>
        </is>
      </c>
      <c r="B514" s="39" t="n">
        <v>39657</v>
      </c>
      <c r="C514" s="4" t="n">
        <v>39630</v>
      </c>
      <c r="D514" s="5">
        <f>YEAR(C514)</f>
        <v/>
      </c>
      <c r="E514" s="5">
        <f>MONTH(C514)</f>
        <v/>
      </c>
      <c r="F514" s="38" t="inlineStr">
        <is>
          <t>NFV  :TENDA ATACADO LTDA</t>
        </is>
      </c>
      <c r="G514" s="38" t="inlineStr">
        <is>
          <t>MARIO FRUGIS (01.04.01)</t>
        </is>
      </c>
      <c r="H514" s="38" t="inlineStr">
        <is>
          <t>NFV</t>
        </is>
      </c>
      <c r="I514" s="40" t="n">
        <v>42.85</v>
      </c>
      <c r="J514" s="40" t="n">
        <v>0</v>
      </c>
      <c r="K514" s="6">
        <f>I514-J514</f>
        <v/>
      </c>
      <c r="L514" s="6">
        <f>IF(H514="DISTRATO",0,I514)</f>
        <v/>
      </c>
    </row>
    <row r="515">
      <c r="A515" s="38" t="inlineStr">
        <is>
          <t>Conta corrente MFRUGIS08.XLS</t>
        </is>
      </c>
      <c r="B515" s="39" t="n">
        <v>39657</v>
      </c>
      <c r="C515" s="4" t="n">
        <v>39630</v>
      </c>
      <c r="D515" s="5">
        <f>YEAR(C515)</f>
        <v/>
      </c>
      <c r="E515" s="5">
        <f>MONTH(C515)</f>
        <v/>
      </c>
      <c r="F515" s="38" t="inlineStr">
        <is>
          <t>NFV  :TENDA ATACADO LTDA</t>
        </is>
      </c>
      <c r="G515" s="38" t="inlineStr">
        <is>
          <t>MARIO FRUGIS (01.04.01)</t>
        </is>
      </c>
      <c r="H515" s="38" t="inlineStr">
        <is>
          <t>NFV</t>
        </is>
      </c>
      <c r="I515" s="40" t="n">
        <v>136.66</v>
      </c>
      <c r="J515" s="40" t="n">
        <v>0</v>
      </c>
      <c r="K515" s="6">
        <f>I515-J515</f>
        <v/>
      </c>
      <c r="L515" s="6">
        <f>IF(H515="DISTRATO",0,I515)</f>
        <v/>
      </c>
    </row>
    <row r="516">
      <c r="A516" s="38" t="inlineStr">
        <is>
          <t>Conta corrente MFRUGIS08.XLS</t>
        </is>
      </c>
      <c r="B516" s="39" t="n">
        <v>39660</v>
      </c>
      <c r="C516" s="4" t="n">
        <v>39630</v>
      </c>
      <c r="D516" s="5">
        <f>YEAR(C516)</f>
        <v/>
      </c>
      <c r="E516" s="5">
        <f>MONTH(C516)</f>
        <v/>
      </c>
      <c r="F516" s="38" t="inlineStr">
        <is>
          <t>DIF PERCENTUAL                        1. (ajuste de % do Tenda)</t>
        </is>
      </c>
      <c r="G516" s="38" t="inlineStr">
        <is>
          <t>MARIO FRUGIS (01.04.01)</t>
        </is>
      </c>
      <c r="H516" s="38" t="inlineStr">
        <is>
          <t>AJUSTE % TENDA</t>
        </is>
      </c>
      <c r="I516" s="40" t="n">
        <v>1311.46</v>
      </c>
      <c r="J516" s="40" t="n">
        <v>0</v>
      </c>
      <c r="K516" s="6">
        <f>I516-J516</f>
        <v/>
      </c>
      <c r="L516" s="6">
        <f>IF(H516="DISTRATO",0,I516)</f>
        <v/>
      </c>
    </row>
    <row r="517">
      <c r="A517" s="38" t="inlineStr">
        <is>
          <t>Conta corrente MFRUGIS08.XLS</t>
        </is>
      </c>
      <c r="B517" s="39" t="n">
        <v>39666</v>
      </c>
      <c r="C517" s="4" t="n">
        <v>39661</v>
      </c>
      <c r="D517" s="5">
        <f>YEAR(C517)</f>
        <v/>
      </c>
      <c r="E517" s="5">
        <f>MONTH(C517)</f>
        <v/>
      </c>
      <c r="F517" s="38" t="inlineStr">
        <is>
          <t>BONIF:TENDA ATACADO LTDA</t>
        </is>
      </c>
      <c r="G517" s="38" t="inlineStr">
        <is>
          <t>MARIO FRUGIS (01.04.01)</t>
        </is>
      </c>
      <c r="H517" s="38" t="inlineStr">
        <is>
          <t>BONIFICACAO</t>
        </is>
      </c>
      <c r="I517" s="40" t="n">
        <v>-14.1</v>
      </c>
      <c r="J517" s="40" t="n">
        <v>0</v>
      </c>
      <c r="K517" s="6">
        <f>I517-J517</f>
        <v/>
      </c>
      <c r="L517" s="6">
        <f>IF(H517="DISTRATO",0,I517)</f>
        <v/>
      </c>
    </row>
    <row r="518">
      <c r="A518" s="38" t="inlineStr">
        <is>
          <t>Conta corrente MFRUGIS08.XLS</t>
        </is>
      </c>
      <c r="B518" s="39" t="n">
        <v>39666</v>
      </c>
      <c r="C518" s="4" t="n">
        <v>39661</v>
      </c>
      <c r="D518" s="5">
        <f>YEAR(C518)</f>
        <v/>
      </c>
      <c r="E518" s="5">
        <f>MONTH(C518)</f>
        <v/>
      </c>
      <c r="F518" s="38" t="inlineStr">
        <is>
          <t>NFV  :TENDA ATACADO LTDA</t>
        </is>
      </c>
      <c r="G518" s="38" t="inlineStr">
        <is>
          <t>MARIO FRUGIS (01.04.01)</t>
        </is>
      </c>
      <c r="H518" s="38" t="inlineStr">
        <is>
          <t>NFV</t>
        </is>
      </c>
      <c r="I518" s="40" t="n">
        <v>33.12</v>
      </c>
      <c r="J518" s="40" t="n">
        <v>0</v>
      </c>
      <c r="K518" s="6">
        <f>I518-J518</f>
        <v/>
      </c>
      <c r="L518" s="6">
        <f>IF(H518="DISTRATO",0,I518)</f>
        <v/>
      </c>
    </row>
    <row r="519">
      <c r="A519" s="38" t="inlineStr">
        <is>
          <t>Conta corrente MFRUGIS08.XLS</t>
        </is>
      </c>
      <c r="B519" s="39" t="n">
        <v>39666</v>
      </c>
      <c r="C519" s="4" t="n">
        <v>39661</v>
      </c>
      <c r="D519" s="5">
        <f>YEAR(C519)</f>
        <v/>
      </c>
      <c r="E519" s="5">
        <f>MONTH(C519)</f>
        <v/>
      </c>
      <c r="F519" s="38" t="inlineStr">
        <is>
          <t>NFV  :TENDA ATACADO LTDA</t>
        </is>
      </c>
      <c r="G519" s="38" t="inlineStr">
        <is>
          <t>MARIO FRUGIS (01.04.01)</t>
        </is>
      </c>
      <c r="H519" s="38" t="inlineStr">
        <is>
          <t>NFV</t>
        </is>
      </c>
      <c r="I519" s="40" t="n">
        <v>72.41</v>
      </c>
      <c r="J519" s="40" t="n">
        <v>0</v>
      </c>
      <c r="K519" s="6">
        <f>I519-J519</f>
        <v/>
      </c>
      <c r="L519" s="6">
        <f>IF(H519="DISTRATO",0,I519)</f>
        <v/>
      </c>
    </row>
    <row r="520">
      <c r="A520" s="38" t="inlineStr">
        <is>
          <t>Conta corrente MFRUGIS08.XLS</t>
        </is>
      </c>
      <c r="B520" s="39" t="n">
        <v>39667</v>
      </c>
      <c r="C520" s="4" t="n">
        <v>39661</v>
      </c>
      <c r="D520" s="5">
        <f>YEAR(C520)</f>
        <v/>
      </c>
      <c r="E520" s="5">
        <f>MONTH(C520)</f>
        <v/>
      </c>
      <c r="F520" s="38" t="inlineStr">
        <is>
          <t>NFV  :TENDA ATACADO LTDA</t>
        </is>
      </c>
      <c r="G520" s="38" t="inlineStr">
        <is>
          <t>MARIO FRUGIS (01.04.01)</t>
        </is>
      </c>
      <c r="H520" s="38" t="inlineStr">
        <is>
          <t>NFV</t>
        </is>
      </c>
      <c r="I520" s="40" t="n">
        <v>42.57</v>
      </c>
      <c r="J520" s="40" t="n">
        <v>0</v>
      </c>
      <c r="K520" s="6">
        <f>I520-J520</f>
        <v/>
      </c>
      <c r="L520" s="6">
        <f>IF(H520="DISTRATO",0,I520)</f>
        <v/>
      </c>
    </row>
    <row r="521">
      <c r="A521" s="38" t="inlineStr">
        <is>
          <t>Conta corrente MFRUGIS08.XLS</t>
        </is>
      </c>
      <c r="B521" s="39" t="n">
        <v>39667</v>
      </c>
      <c r="C521" s="4" t="n">
        <v>39661</v>
      </c>
      <c r="D521" s="5">
        <f>YEAR(C521)</f>
        <v/>
      </c>
      <c r="E521" s="5">
        <f>MONTH(C521)</f>
        <v/>
      </c>
      <c r="F521" s="38" t="inlineStr">
        <is>
          <t>NFV  :TENDA ATACADO LTDA</t>
        </is>
      </c>
      <c r="G521" s="38" t="inlineStr">
        <is>
          <t>MARIO FRUGIS (01.04.01)</t>
        </is>
      </c>
      <c r="H521" s="38" t="inlineStr">
        <is>
          <t>NFV</t>
        </is>
      </c>
      <c r="I521" s="40" t="n">
        <v>54</v>
      </c>
      <c r="J521" s="40" t="n">
        <v>0</v>
      </c>
      <c r="K521" s="6">
        <f>I521-J521</f>
        <v/>
      </c>
      <c r="L521" s="6">
        <f>IF(H521="DISTRATO",0,I521)</f>
        <v/>
      </c>
    </row>
    <row r="522">
      <c r="A522" s="38" t="inlineStr">
        <is>
          <t>Conta corrente MFRUGIS08.XLS</t>
        </is>
      </c>
      <c r="B522" s="39" t="n">
        <v>39667</v>
      </c>
      <c r="C522" s="4" t="n">
        <v>39661</v>
      </c>
      <c r="D522" s="5">
        <f>YEAR(C522)</f>
        <v/>
      </c>
      <c r="E522" s="5">
        <f>MONTH(C522)</f>
        <v/>
      </c>
      <c r="F522" s="38" t="inlineStr">
        <is>
          <t>NFV  :TENDA ATACADO LTDA</t>
        </is>
      </c>
      <c r="G522" s="38" t="inlineStr">
        <is>
          <t>MARIO FRUGIS (01.04.01)</t>
        </is>
      </c>
      <c r="H522" s="38" t="inlineStr">
        <is>
          <t>NFV</t>
        </is>
      </c>
      <c r="I522" s="40" t="n">
        <v>52.01</v>
      </c>
      <c r="J522" s="40" t="n">
        <v>0</v>
      </c>
      <c r="K522" s="6">
        <f>I522-J522</f>
        <v/>
      </c>
      <c r="L522" s="6">
        <f>IF(H522="DISTRATO",0,I522)</f>
        <v/>
      </c>
    </row>
    <row r="523">
      <c r="A523" s="38" t="inlineStr">
        <is>
          <t>Conta corrente MFRUGIS08.XLS</t>
        </is>
      </c>
      <c r="B523" s="39" t="n">
        <v>39667</v>
      </c>
      <c r="C523" s="4" t="n">
        <v>39661</v>
      </c>
      <c r="D523" s="5">
        <f>YEAR(C523)</f>
        <v/>
      </c>
      <c r="E523" s="5">
        <f>MONTH(C523)</f>
        <v/>
      </c>
      <c r="F523" s="38" t="inlineStr">
        <is>
          <t>NFV  :TENDA ATACADO LTDA</t>
        </is>
      </c>
      <c r="G523" s="38" t="inlineStr">
        <is>
          <t>MARIO FRUGIS (01.04.01)</t>
        </is>
      </c>
      <c r="H523" s="38" t="inlineStr">
        <is>
          <t>NFV</t>
        </is>
      </c>
      <c r="I523" s="40" t="n">
        <v>19.14</v>
      </c>
      <c r="J523" s="40" t="n">
        <v>0</v>
      </c>
      <c r="K523" s="6">
        <f>I523-J523</f>
        <v/>
      </c>
      <c r="L523" s="6">
        <f>IF(H523="DISTRATO",0,I523)</f>
        <v/>
      </c>
    </row>
    <row r="524">
      <c r="A524" s="38" t="inlineStr">
        <is>
          <t>Conta corrente MFRUGIS08.XLS</t>
        </is>
      </c>
      <c r="B524" s="39" t="n">
        <v>39667</v>
      </c>
      <c r="C524" s="4" t="n">
        <v>39661</v>
      </c>
      <c r="D524" s="5">
        <f>YEAR(C524)</f>
        <v/>
      </c>
      <c r="E524" s="5">
        <f>MONTH(C524)</f>
        <v/>
      </c>
      <c r="F524" s="38" t="inlineStr">
        <is>
          <t>NFV  :TENDA ATACADO LTDA</t>
        </is>
      </c>
      <c r="G524" s="38" t="inlineStr">
        <is>
          <t>MARIO FRUGIS (01.04.01)</t>
        </is>
      </c>
      <c r="H524" s="38" t="inlineStr">
        <is>
          <t>NFV</t>
        </is>
      </c>
      <c r="I524" s="40" t="n">
        <v>9.43</v>
      </c>
      <c r="J524" s="40" t="n">
        <v>0</v>
      </c>
      <c r="K524" s="6">
        <f>I524-J524</f>
        <v/>
      </c>
      <c r="L524" s="6">
        <f>IF(H524="DISTRATO",0,I524)</f>
        <v/>
      </c>
    </row>
    <row r="525">
      <c r="A525" s="38" t="inlineStr">
        <is>
          <t>Conta corrente MFRUGIS08.XLS</t>
        </is>
      </c>
      <c r="B525" s="39" t="n">
        <v>39667</v>
      </c>
      <c r="C525" s="4" t="n">
        <v>39661</v>
      </c>
      <c r="D525" s="5">
        <f>YEAR(C525)</f>
        <v/>
      </c>
      <c r="E525" s="5">
        <f>MONTH(C525)</f>
        <v/>
      </c>
      <c r="F525" s="38" t="inlineStr">
        <is>
          <t>NFV  :TENDA ATACADO LTDA</t>
        </is>
      </c>
      <c r="G525" s="38" t="inlineStr">
        <is>
          <t>MARIO FRUGIS (01.04.01)</t>
        </is>
      </c>
      <c r="H525" s="38" t="inlineStr">
        <is>
          <t>NFV</t>
        </is>
      </c>
      <c r="I525" s="40" t="n">
        <v>30.63</v>
      </c>
      <c r="J525" s="40" t="n">
        <v>0</v>
      </c>
      <c r="K525" s="6">
        <f>I525-J525</f>
        <v/>
      </c>
      <c r="L525" s="6">
        <f>IF(H525="DISTRATO",0,I525)</f>
        <v/>
      </c>
    </row>
    <row r="526">
      <c r="A526" s="38" t="inlineStr">
        <is>
          <t>Conta corrente MFRUGIS08.XLS</t>
        </is>
      </c>
      <c r="B526" s="39" t="n">
        <v>39667</v>
      </c>
      <c r="C526" s="4" t="n">
        <v>39661</v>
      </c>
      <c r="D526" s="5">
        <f>YEAR(C526)</f>
        <v/>
      </c>
      <c r="E526" s="5">
        <f>MONTH(C526)</f>
        <v/>
      </c>
      <c r="F526" s="38" t="inlineStr">
        <is>
          <t>NFV  :TENDA ATACADO LTDA</t>
        </is>
      </c>
      <c r="G526" s="38" t="inlineStr">
        <is>
          <t>MARIO FRUGIS (01.04.01)</t>
        </is>
      </c>
      <c r="H526" s="38" t="inlineStr">
        <is>
          <t>NFV</t>
        </is>
      </c>
      <c r="I526" s="40" t="n">
        <v>53.74</v>
      </c>
      <c r="J526" s="40" t="n">
        <v>0</v>
      </c>
      <c r="K526" s="6">
        <f>I526-J526</f>
        <v/>
      </c>
      <c r="L526" s="6">
        <f>IF(H526="DISTRATO",0,I526)</f>
        <v/>
      </c>
    </row>
    <row r="527">
      <c r="A527" s="38" t="inlineStr">
        <is>
          <t>Conta corrente MFRUGIS08.XLS</t>
        </is>
      </c>
      <c r="B527" s="39" t="n">
        <v>39667</v>
      </c>
      <c r="C527" s="4" t="n">
        <v>39661</v>
      </c>
      <c r="D527" s="5">
        <f>YEAR(C527)</f>
        <v/>
      </c>
      <c r="E527" s="5">
        <f>MONTH(C527)</f>
        <v/>
      </c>
      <c r="F527" s="38" t="inlineStr">
        <is>
          <t>NFV  :TENDA ATACADO LTDA</t>
        </is>
      </c>
      <c r="G527" s="38" t="inlineStr">
        <is>
          <t>MARIO FRUGIS (01.04.01)</t>
        </is>
      </c>
      <c r="H527" s="38" t="inlineStr">
        <is>
          <t>NFV</t>
        </is>
      </c>
      <c r="I527" s="40" t="n">
        <v>56.09</v>
      </c>
      <c r="J527" s="40" t="n">
        <v>0</v>
      </c>
      <c r="K527" s="6">
        <f>I527-J527</f>
        <v/>
      </c>
      <c r="L527" s="6">
        <f>IF(H527="DISTRATO",0,I527)</f>
        <v/>
      </c>
    </row>
    <row r="528">
      <c r="A528" s="38" t="inlineStr">
        <is>
          <t>Conta corrente MFRUGIS08.XLS</t>
        </is>
      </c>
      <c r="B528" s="39" t="n">
        <v>39667</v>
      </c>
      <c r="C528" s="4" t="n">
        <v>39661</v>
      </c>
      <c r="D528" s="5">
        <f>YEAR(C528)</f>
        <v/>
      </c>
      <c r="E528" s="5">
        <f>MONTH(C528)</f>
        <v/>
      </c>
      <c r="F528" s="38" t="inlineStr">
        <is>
          <t>NFV  :TENDA ATACADO LTDA</t>
        </is>
      </c>
      <c r="G528" s="38" t="inlineStr">
        <is>
          <t>MARIO FRUGIS (01.04.01)</t>
        </is>
      </c>
      <c r="H528" s="38" t="inlineStr">
        <is>
          <t>NFV</t>
        </is>
      </c>
      <c r="I528" s="40" t="n">
        <v>32.46</v>
      </c>
      <c r="J528" s="40" t="n">
        <v>0</v>
      </c>
      <c r="K528" s="6">
        <f>I528-J528</f>
        <v/>
      </c>
      <c r="L528" s="6">
        <f>IF(H528="DISTRATO",0,I528)</f>
        <v/>
      </c>
    </row>
    <row r="529">
      <c r="A529" s="38" t="inlineStr">
        <is>
          <t>Conta corrente MFRUGIS08.XLS</t>
        </is>
      </c>
      <c r="B529" s="39" t="n">
        <v>39668</v>
      </c>
      <c r="C529" s="4" t="n">
        <v>39661</v>
      </c>
      <c r="D529" s="5">
        <f>YEAR(C529)</f>
        <v/>
      </c>
      <c r="E529" s="5">
        <f>MONTH(C529)</f>
        <v/>
      </c>
      <c r="F529" s="38" t="inlineStr">
        <is>
          <t>DEV  :TENDA ATACADO LTDA</t>
        </is>
      </c>
      <c r="G529" s="38" t="inlineStr">
        <is>
          <t>MARIO FRUGIS (01.04.01)</t>
        </is>
      </c>
      <c r="H529" s="38" t="inlineStr">
        <is>
          <t>DEVOLUCAO</t>
        </is>
      </c>
      <c r="I529" s="40" t="n">
        <v>-1.58</v>
      </c>
      <c r="J529" s="40" t="n">
        <v>0</v>
      </c>
      <c r="K529" s="6">
        <f>I529-J529</f>
        <v/>
      </c>
      <c r="L529" s="6">
        <f>IF(H529="DISTRATO",0,I529)</f>
        <v/>
      </c>
    </row>
    <row r="530">
      <c r="A530" s="38" t="inlineStr">
        <is>
          <t>Conta corrente MFRUGIS08.XLS</t>
        </is>
      </c>
      <c r="B530" s="39" t="n">
        <v>39675</v>
      </c>
      <c r="C530" s="4" t="n">
        <v>39661</v>
      </c>
      <c r="D530" s="5">
        <f>YEAR(C530)</f>
        <v/>
      </c>
      <c r="E530" s="5">
        <f>MONTH(C530)</f>
        <v/>
      </c>
      <c r="F530" s="38" t="inlineStr">
        <is>
          <t>NFV  :TENDA ATACADO LTDA</t>
        </is>
      </c>
      <c r="G530" s="38" t="inlineStr">
        <is>
          <t>MARIO FRUGIS (01.04.01)</t>
        </is>
      </c>
      <c r="H530" s="38" t="inlineStr">
        <is>
          <t>NFV</t>
        </is>
      </c>
      <c r="I530" s="40" t="n">
        <v>56.28</v>
      </c>
      <c r="J530" s="40" t="n">
        <v>0</v>
      </c>
      <c r="K530" s="6">
        <f>I530-J530</f>
        <v/>
      </c>
      <c r="L530" s="6">
        <f>IF(H530="DISTRATO",0,I530)</f>
        <v/>
      </c>
    </row>
    <row r="531">
      <c r="A531" s="38" t="inlineStr">
        <is>
          <t>Conta corrente MFRUGIS08.XLS</t>
        </is>
      </c>
      <c r="B531" s="39" t="n">
        <v>39675</v>
      </c>
      <c r="C531" s="4" t="n">
        <v>39661</v>
      </c>
      <c r="D531" s="5">
        <f>YEAR(C531)</f>
        <v/>
      </c>
      <c r="E531" s="5">
        <f>MONTH(C531)</f>
        <v/>
      </c>
      <c r="F531" s="38" t="inlineStr">
        <is>
          <t>NFV  :TENDA ATACADO LTDA</t>
        </is>
      </c>
      <c r="G531" s="38" t="inlineStr">
        <is>
          <t>MARIO FRUGIS (01.04.01)</t>
        </is>
      </c>
      <c r="H531" s="38" t="inlineStr">
        <is>
          <t>NFV</t>
        </is>
      </c>
      <c r="I531" s="40" t="n">
        <v>28.58</v>
      </c>
      <c r="J531" s="40" t="n">
        <v>0</v>
      </c>
      <c r="K531" s="6">
        <f>I531-J531</f>
        <v/>
      </c>
      <c r="L531" s="6">
        <f>IF(H531="DISTRATO",0,I531)</f>
        <v/>
      </c>
    </row>
    <row r="532">
      <c r="A532" s="38" t="inlineStr">
        <is>
          <t>Conta corrente MFRUGIS08.XLS</t>
        </is>
      </c>
      <c r="B532" s="39" t="n">
        <v>39675</v>
      </c>
      <c r="C532" s="4" t="n">
        <v>39661</v>
      </c>
      <c r="D532" s="5">
        <f>YEAR(C532)</f>
        <v/>
      </c>
      <c r="E532" s="5">
        <f>MONTH(C532)</f>
        <v/>
      </c>
      <c r="F532" s="38" t="inlineStr">
        <is>
          <t>NFV  :TENDA ATACADO LTDA</t>
        </is>
      </c>
      <c r="G532" s="38" t="inlineStr">
        <is>
          <t>MARIO FRUGIS (01.04.01)</t>
        </is>
      </c>
      <c r="H532" s="38" t="inlineStr">
        <is>
          <t>NFV</t>
        </is>
      </c>
      <c r="I532" s="40" t="n">
        <v>14.35</v>
      </c>
      <c r="J532" s="40" t="n">
        <v>0</v>
      </c>
      <c r="K532" s="6">
        <f>I532-J532</f>
        <v/>
      </c>
      <c r="L532" s="6">
        <f>IF(H532="DISTRATO",0,I532)</f>
        <v/>
      </c>
    </row>
    <row r="533">
      <c r="A533" s="38" t="inlineStr">
        <is>
          <t>Conta corrente MFRUGIS08.XLS</t>
        </is>
      </c>
      <c r="B533" s="39" t="n">
        <v>39675</v>
      </c>
      <c r="C533" s="4" t="n">
        <v>39661</v>
      </c>
      <c r="D533" s="5">
        <f>YEAR(C533)</f>
        <v/>
      </c>
      <c r="E533" s="5">
        <f>MONTH(C533)</f>
        <v/>
      </c>
      <c r="F533" s="38" t="inlineStr">
        <is>
          <t>NFV  :TENDA ATACADO LTDA</t>
        </is>
      </c>
      <c r="G533" s="38" t="inlineStr">
        <is>
          <t>MARIO FRUGIS (01.04.01)</t>
        </is>
      </c>
      <c r="H533" s="38" t="inlineStr">
        <is>
          <t>NFV</t>
        </is>
      </c>
      <c r="I533" s="40" t="n">
        <v>4.19</v>
      </c>
      <c r="J533" s="40" t="n">
        <v>0</v>
      </c>
      <c r="K533" s="6">
        <f>I533-J533</f>
        <v/>
      </c>
      <c r="L533" s="6">
        <f>IF(H533="DISTRATO",0,I533)</f>
        <v/>
      </c>
    </row>
    <row r="534">
      <c r="A534" s="38" t="inlineStr">
        <is>
          <t>Conta corrente MFRUGIS08.XLS</t>
        </is>
      </c>
      <c r="B534" s="39" t="n">
        <v>39675</v>
      </c>
      <c r="C534" s="4" t="n">
        <v>39661</v>
      </c>
      <c r="D534" s="5">
        <f>YEAR(C534)</f>
        <v/>
      </c>
      <c r="E534" s="5">
        <f>MONTH(C534)</f>
        <v/>
      </c>
      <c r="F534" s="38" t="inlineStr">
        <is>
          <t>NFV  :TENDA ATACADO LTDA</t>
        </is>
      </c>
      <c r="G534" s="38" t="inlineStr">
        <is>
          <t>MARIO FRUGIS (01.04.01)</t>
        </is>
      </c>
      <c r="H534" s="38" t="inlineStr">
        <is>
          <t>NFV</t>
        </is>
      </c>
      <c r="I534" s="40" t="n">
        <v>16.09</v>
      </c>
      <c r="J534" s="40" t="n">
        <v>0</v>
      </c>
      <c r="K534" s="6">
        <f>I534-J534</f>
        <v/>
      </c>
      <c r="L534" s="6">
        <f>IF(H534="DISTRATO",0,I534)</f>
        <v/>
      </c>
    </row>
    <row r="535">
      <c r="A535" s="38" t="inlineStr">
        <is>
          <t>Conta corrente MFRUGIS08.XLS</t>
        </is>
      </c>
      <c r="B535" s="39" t="n">
        <v>39675</v>
      </c>
      <c r="C535" s="4" t="n">
        <v>39661</v>
      </c>
      <c r="D535" s="5">
        <f>YEAR(C535)</f>
        <v/>
      </c>
      <c r="E535" s="5">
        <f>MONTH(C535)</f>
        <v/>
      </c>
      <c r="F535" s="38" t="inlineStr">
        <is>
          <t>NFV  :TENDA ATACADO LTDA</t>
        </is>
      </c>
      <c r="G535" s="38" t="inlineStr">
        <is>
          <t>MARIO FRUGIS (01.04.01)</t>
        </is>
      </c>
      <c r="H535" s="38" t="inlineStr">
        <is>
          <t>NFV</t>
        </is>
      </c>
      <c r="I535" s="40" t="n">
        <v>15.1</v>
      </c>
      <c r="J535" s="40" t="n">
        <v>0</v>
      </c>
      <c r="K535" s="6">
        <f>I535-J535</f>
        <v/>
      </c>
      <c r="L535" s="6">
        <f>IF(H535="DISTRATO",0,I535)</f>
        <v/>
      </c>
    </row>
    <row r="536">
      <c r="A536" s="38" t="inlineStr">
        <is>
          <t>Conta corrente MFRUGIS08.XLS</t>
        </is>
      </c>
      <c r="B536" s="39" t="n">
        <v>39675</v>
      </c>
      <c r="C536" s="4" t="n">
        <v>39661</v>
      </c>
      <c r="D536" s="5">
        <f>YEAR(C536)</f>
        <v/>
      </c>
      <c r="E536" s="5">
        <f>MONTH(C536)</f>
        <v/>
      </c>
      <c r="F536" s="38" t="inlineStr">
        <is>
          <t>NFV  :TENDA ATACADO LTDA</t>
        </is>
      </c>
      <c r="G536" s="38" t="inlineStr">
        <is>
          <t>MARIO FRUGIS (01.04.01)</t>
        </is>
      </c>
      <c r="H536" s="38" t="inlineStr">
        <is>
          <t>NFV</t>
        </is>
      </c>
      <c r="I536" s="40" t="n">
        <v>49.76</v>
      </c>
      <c r="J536" s="40" t="n">
        <v>0</v>
      </c>
      <c r="K536" s="6">
        <f>I536-J536</f>
        <v/>
      </c>
      <c r="L536" s="6">
        <f>IF(H536="DISTRATO",0,I536)</f>
        <v/>
      </c>
    </row>
    <row r="537">
      <c r="A537" s="38" t="inlineStr">
        <is>
          <t>Conta corrente MFRUGIS08.XLS</t>
        </is>
      </c>
      <c r="B537" s="39" t="n">
        <v>39675</v>
      </c>
      <c r="C537" s="4" t="n">
        <v>39661</v>
      </c>
      <c r="D537" s="5">
        <f>YEAR(C537)</f>
        <v/>
      </c>
      <c r="E537" s="5">
        <f>MONTH(C537)</f>
        <v/>
      </c>
      <c r="F537" s="38" t="inlineStr">
        <is>
          <t>NFV  :TENDA ATACADO LTDA</t>
        </is>
      </c>
      <c r="G537" s="38" t="inlineStr">
        <is>
          <t>MARIO FRUGIS (01.04.01)</t>
        </is>
      </c>
      <c r="H537" s="38" t="inlineStr">
        <is>
          <t>NFV</t>
        </is>
      </c>
      <c r="I537" s="40" t="n">
        <v>20.77</v>
      </c>
      <c r="J537" s="40" t="n">
        <v>0</v>
      </c>
      <c r="K537" s="6">
        <f>I537-J537</f>
        <v/>
      </c>
      <c r="L537" s="6">
        <f>IF(H537="DISTRATO",0,I537)</f>
        <v/>
      </c>
    </row>
    <row r="538">
      <c r="A538" s="38" t="inlineStr">
        <is>
          <t>Conta corrente MFRUGIS08.XLS</t>
        </is>
      </c>
      <c r="B538" s="39" t="n">
        <v>39675</v>
      </c>
      <c r="C538" s="4" t="n">
        <v>39661</v>
      </c>
      <c r="D538" s="5">
        <f>YEAR(C538)</f>
        <v/>
      </c>
      <c r="E538" s="5">
        <f>MONTH(C538)</f>
        <v/>
      </c>
      <c r="F538" s="38" t="inlineStr">
        <is>
          <t>NFV  :TENDA ATACADO LTDA</t>
        </is>
      </c>
      <c r="G538" s="38" t="inlineStr">
        <is>
          <t>MARIO FRUGIS (01.04.01)</t>
        </is>
      </c>
      <c r="H538" s="38" t="inlineStr">
        <is>
          <t>NFV</t>
        </is>
      </c>
      <c r="I538" s="40" t="n">
        <v>38.59</v>
      </c>
      <c r="J538" s="40" t="n">
        <v>0</v>
      </c>
      <c r="K538" s="6">
        <f>I538-J538</f>
        <v/>
      </c>
      <c r="L538" s="6">
        <f>IF(H538="DISTRATO",0,I538)</f>
        <v/>
      </c>
    </row>
    <row r="539">
      <c r="A539" s="38" t="inlineStr">
        <is>
          <t>Conta corrente MFRUGIS08.XLS</t>
        </is>
      </c>
      <c r="B539" s="39" t="n">
        <v>39675</v>
      </c>
      <c r="C539" s="4" t="n">
        <v>39661</v>
      </c>
      <c r="D539" s="5">
        <f>YEAR(C539)</f>
        <v/>
      </c>
      <c r="E539" s="5">
        <f>MONTH(C539)</f>
        <v/>
      </c>
      <c r="F539" s="38" t="inlineStr">
        <is>
          <t>NFV  :TENDA ATACADO LTDA</t>
        </is>
      </c>
      <c r="G539" s="38" t="inlineStr">
        <is>
          <t>MARIO FRUGIS (01.04.01)</t>
        </is>
      </c>
      <c r="H539" s="38" t="inlineStr">
        <is>
          <t>NFV</t>
        </is>
      </c>
      <c r="I539" s="40" t="n">
        <v>45.21</v>
      </c>
      <c r="J539" s="40" t="n">
        <v>0</v>
      </c>
      <c r="K539" s="6">
        <f>I539-J539</f>
        <v/>
      </c>
      <c r="L539" s="6">
        <f>IF(H539="DISTRATO",0,I539)</f>
        <v/>
      </c>
    </row>
    <row r="540">
      <c r="A540" s="38" t="inlineStr">
        <is>
          <t>Conta corrente MFRUGIS08.XLS</t>
        </is>
      </c>
      <c r="B540" s="39" t="n">
        <v>39686</v>
      </c>
      <c r="C540" s="4" t="n">
        <v>39661</v>
      </c>
      <c r="D540" s="5">
        <f>YEAR(C540)</f>
        <v/>
      </c>
      <c r="E540" s="5">
        <f>MONTH(C540)</f>
        <v/>
      </c>
      <c r="F540" s="38" t="inlineStr">
        <is>
          <t>NFV  :TENDA ATACADO LTDA</t>
        </is>
      </c>
      <c r="G540" s="38" t="inlineStr">
        <is>
          <t>MARIO FRUGIS (01.04.01)</t>
        </is>
      </c>
      <c r="H540" s="38" t="inlineStr">
        <is>
          <t>NFV</t>
        </is>
      </c>
      <c r="I540" s="40" t="n">
        <v>24.95</v>
      </c>
      <c r="J540" s="40" t="n">
        <v>0</v>
      </c>
      <c r="K540" s="6">
        <f>I540-J540</f>
        <v/>
      </c>
      <c r="L540" s="6">
        <f>IF(H540="DISTRATO",0,I540)</f>
        <v/>
      </c>
    </row>
    <row r="541">
      <c r="A541" s="38" t="inlineStr">
        <is>
          <t>Conta corrente MFRUGIS08.XLS</t>
        </is>
      </c>
      <c r="B541" s="39" t="n">
        <v>39686</v>
      </c>
      <c r="C541" s="4" t="n">
        <v>39661</v>
      </c>
      <c r="D541" s="5">
        <f>YEAR(C541)</f>
        <v/>
      </c>
      <c r="E541" s="5">
        <f>MONTH(C541)</f>
        <v/>
      </c>
      <c r="F541" s="38" t="inlineStr">
        <is>
          <t>NFV  :TENDA ATACADO LTDA</t>
        </is>
      </c>
      <c r="G541" s="38" t="inlineStr">
        <is>
          <t>MARIO FRUGIS (01.04.01)</t>
        </is>
      </c>
      <c r="H541" s="38" t="inlineStr">
        <is>
          <t>NFV</t>
        </is>
      </c>
      <c r="I541" s="40" t="n">
        <v>19.14</v>
      </c>
      <c r="J541" s="40" t="n">
        <v>0</v>
      </c>
      <c r="K541" s="6">
        <f>I541-J541</f>
        <v/>
      </c>
      <c r="L541" s="6">
        <f>IF(H541="DISTRATO",0,I541)</f>
        <v/>
      </c>
    </row>
    <row r="542">
      <c r="A542" s="38" t="inlineStr">
        <is>
          <t>Conta corrente MFRUGIS08.XLS</t>
        </is>
      </c>
      <c r="B542" s="39" t="n">
        <v>39686</v>
      </c>
      <c r="C542" s="4" t="n">
        <v>39661</v>
      </c>
      <c r="D542" s="5">
        <f>YEAR(C542)</f>
        <v/>
      </c>
      <c r="E542" s="5">
        <f>MONTH(C542)</f>
        <v/>
      </c>
      <c r="F542" s="38" t="inlineStr">
        <is>
          <t>NFV  :TENDA ATACADO LTDA</t>
        </is>
      </c>
      <c r="G542" s="38" t="inlineStr">
        <is>
          <t>MARIO FRUGIS (01.04.01)</t>
        </is>
      </c>
      <c r="H542" s="38" t="inlineStr">
        <is>
          <t>NFV</t>
        </is>
      </c>
      <c r="I542" s="40" t="n">
        <v>15.24</v>
      </c>
      <c r="J542" s="40" t="n">
        <v>0</v>
      </c>
      <c r="K542" s="6">
        <f>I542-J542</f>
        <v/>
      </c>
      <c r="L542" s="6">
        <f>IF(H542="DISTRATO",0,I542)</f>
        <v/>
      </c>
    </row>
    <row r="543">
      <c r="A543" s="38" t="inlineStr">
        <is>
          <t>Conta corrente MFRUGIS08.XLS</t>
        </is>
      </c>
      <c r="B543" s="39" t="n">
        <v>39686</v>
      </c>
      <c r="C543" s="4" t="n">
        <v>39661</v>
      </c>
      <c r="D543" s="5">
        <f>YEAR(C543)</f>
        <v/>
      </c>
      <c r="E543" s="5">
        <f>MONTH(C543)</f>
        <v/>
      </c>
      <c r="F543" s="38" t="inlineStr">
        <is>
          <t>NFV  :TENDA ATACADO LTDA</t>
        </is>
      </c>
      <c r="G543" s="38" t="inlineStr">
        <is>
          <t>MARIO FRUGIS (01.04.01)</t>
        </is>
      </c>
      <c r="H543" s="38" t="inlineStr">
        <is>
          <t>NFV</t>
        </is>
      </c>
      <c r="I543" s="40" t="n">
        <v>22.52</v>
      </c>
      <c r="J543" s="40" t="n">
        <v>0</v>
      </c>
      <c r="K543" s="6">
        <f>I543-J543</f>
        <v/>
      </c>
      <c r="L543" s="6">
        <f>IF(H543="DISTRATO",0,I543)</f>
        <v/>
      </c>
    </row>
    <row r="544">
      <c r="A544" s="38" t="inlineStr">
        <is>
          <t>Conta corrente MFRUGIS08.XLS</t>
        </is>
      </c>
      <c r="B544" s="39" t="n">
        <v>39686</v>
      </c>
      <c r="C544" s="4" t="n">
        <v>39661</v>
      </c>
      <c r="D544" s="5">
        <f>YEAR(C544)</f>
        <v/>
      </c>
      <c r="E544" s="5">
        <f>MONTH(C544)</f>
        <v/>
      </c>
      <c r="F544" s="38" t="inlineStr">
        <is>
          <t>NFV  :TENDA ATACADO LTDA</t>
        </is>
      </c>
      <c r="G544" s="38" t="inlineStr">
        <is>
          <t>MARIO FRUGIS (01.04.01)</t>
        </is>
      </c>
      <c r="H544" s="38" t="inlineStr">
        <is>
          <t>NFV</t>
        </is>
      </c>
      <c r="I544" s="40" t="n">
        <v>26.76</v>
      </c>
      <c r="J544" s="40" t="n">
        <v>0</v>
      </c>
      <c r="K544" s="6">
        <f>I544-J544</f>
        <v/>
      </c>
      <c r="L544" s="6">
        <f>IF(H544="DISTRATO",0,I544)</f>
        <v/>
      </c>
    </row>
    <row r="545">
      <c r="A545" s="38" t="inlineStr">
        <is>
          <t>Conta corrente MFRUGIS08.XLS</t>
        </is>
      </c>
      <c r="B545" s="39" t="n">
        <v>39686</v>
      </c>
      <c r="C545" s="4" t="n">
        <v>39661</v>
      </c>
      <c r="D545" s="5">
        <f>YEAR(C545)</f>
        <v/>
      </c>
      <c r="E545" s="5">
        <f>MONTH(C545)</f>
        <v/>
      </c>
      <c r="F545" s="38" t="inlineStr">
        <is>
          <t>NFV  :TENDA ATACADO LTDA</t>
        </is>
      </c>
      <c r="G545" s="38" t="inlineStr">
        <is>
          <t>MARIO FRUGIS (01.04.01)</t>
        </is>
      </c>
      <c r="H545" s="38" t="inlineStr">
        <is>
          <t>NFV</t>
        </is>
      </c>
      <c r="I545" s="40" t="n">
        <v>23.16</v>
      </c>
      <c r="J545" s="40" t="n">
        <v>0</v>
      </c>
      <c r="K545" s="6">
        <f>I545-J545</f>
        <v/>
      </c>
      <c r="L545" s="6">
        <f>IF(H545="DISTRATO",0,I545)</f>
        <v/>
      </c>
    </row>
    <row r="546">
      <c r="A546" s="38" t="inlineStr">
        <is>
          <t>Conta corrente MFRUGIS08.XLS</t>
        </is>
      </c>
      <c r="B546" s="39" t="n">
        <v>39686</v>
      </c>
      <c r="C546" s="4" t="n">
        <v>39661</v>
      </c>
      <c r="D546" s="5">
        <f>YEAR(C546)</f>
        <v/>
      </c>
      <c r="E546" s="5">
        <f>MONTH(C546)</f>
        <v/>
      </c>
      <c r="F546" s="38" t="inlineStr">
        <is>
          <t>NFV  :TENDA ATACADO LTDA</t>
        </is>
      </c>
      <c r="G546" s="38" t="inlineStr">
        <is>
          <t>MARIO FRUGIS (01.04.01)</t>
        </is>
      </c>
      <c r="H546" s="38" t="inlineStr">
        <is>
          <t>NFV</t>
        </is>
      </c>
      <c r="I546" s="40" t="n">
        <v>21</v>
      </c>
      <c r="J546" s="40" t="n">
        <v>0</v>
      </c>
      <c r="K546" s="6">
        <f>I546-J546</f>
        <v/>
      </c>
      <c r="L546" s="6">
        <f>IF(H546="DISTRATO",0,I546)</f>
        <v/>
      </c>
    </row>
    <row r="547">
      <c r="A547" s="38" t="inlineStr">
        <is>
          <t>Conta corrente MFRUGIS08.XLS</t>
        </is>
      </c>
      <c r="B547" s="39" t="n">
        <v>39687</v>
      </c>
      <c r="C547" s="4" t="n">
        <v>39661</v>
      </c>
      <c r="D547" s="5">
        <f>YEAR(C547)</f>
        <v/>
      </c>
      <c r="E547" s="5">
        <f>MONTH(C547)</f>
        <v/>
      </c>
      <c r="F547" s="38" t="inlineStr">
        <is>
          <t>BONIF:TENDA ATACADO LTDA</t>
        </is>
      </c>
      <c r="G547" s="38" t="inlineStr">
        <is>
          <t>MARIO FRUGIS (01.04.01)</t>
        </is>
      </c>
      <c r="H547" s="38" t="inlineStr">
        <is>
          <t>BONIFICACAO</t>
        </is>
      </c>
      <c r="I547" s="40" t="n">
        <v>-14.09</v>
      </c>
      <c r="J547" s="40" t="n">
        <v>0</v>
      </c>
      <c r="K547" s="6">
        <f>I547-J547</f>
        <v/>
      </c>
      <c r="L547" s="6">
        <f>IF(H547="DISTRATO",0,I547)</f>
        <v/>
      </c>
    </row>
    <row r="548">
      <c r="A548" s="38" t="inlineStr">
        <is>
          <t>Conta corrente MFRUGIS08.XLS</t>
        </is>
      </c>
      <c r="B548" s="39" t="n">
        <v>39687</v>
      </c>
      <c r="C548" s="4" t="n">
        <v>39661</v>
      </c>
      <c r="D548" s="5">
        <f>YEAR(C548)</f>
        <v/>
      </c>
      <c r="E548" s="5">
        <f>MONTH(C548)</f>
        <v/>
      </c>
      <c r="F548" s="38" t="inlineStr">
        <is>
          <t>NFV  :TENDA ATACADO LTDA</t>
        </is>
      </c>
      <c r="G548" s="38" t="inlineStr">
        <is>
          <t>MARIO FRUGIS (01.04.01)</t>
        </is>
      </c>
      <c r="H548" s="38" t="inlineStr">
        <is>
          <t>NFV</t>
        </is>
      </c>
      <c r="I548" s="40" t="n">
        <v>39.01</v>
      </c>
      <c r="J548" s="40" t="n">
        <v>0</v>
      </c>
      <c r="K548" s="6">
        <f>I548-J548</f>
        <v/>
      </c>
      <c r="L548" s="6">
        <f>IF(H548="DISTRATO",0,I548)</f>
        <v/>
      </c>
    </row>
    <row r="549">
      <c r="A549" s="38" t="inlineStr">
        <is>
          <t>Conta corrente MFRUGIS08.XLS</t>
        </is>
      </c>
      <c r="B549" s="39" t="n">
        <v>39687</v>
      </c>
      <c r="C549" s="4" t="n">
        <v>39661</v>
      </c>
      <c r="D549" s="5">
        <f>YEAR(C549)</f>
        <v/>
      </c>
      <c r="E549" s="5">
        <f>MONTH(C549)</f>
        <v/>
      </c>
      <c r="F549" s="38" t="inlineStr">
        <is>
          <t>NFV  :TENDA ATACADO LTDA</t>
        </is>
      </c>
      <c r="G549" s="38" t="inlineStr">
        <is>
          <t>MARIO FRUGIS (01.04.01)</t>
        </is>
      </c>
      <c r="H549" s="38" t="inlineStr">
        <is>
          <t>NFV</t>
        </is>
      </c>
      <c r="I549" s="40" t="n">
        <v>7.62</v>
      </c>
      <c r="J549" s="40" t="n">
        <v>0</v>
      </c>
      <c r="K549" s="6">
        <f>I549-J549</f>
        <v/>
      </c>
      <c r="L549" s="6">
        <f>IF(H549="DISTRATO",0,I549)</f>
        <v/>
      </c>
    </row>
    <row r="550">
      <c r="A550" s="38" t="inlineStr">
        <is>
          <t>Conta corrente MFRUGIS08.XLS</t>
        </is>
      </c>
      <c r="B550" s="39" t="n">
        <v>39688</v>
      </c>
      <c r="C550" s="4" t="n">
        <v>39661</v>
      </c>
      <c r="D550" s="5">
        <f>YEAR(C550)</f>
        <v/>
      </c>
      <c r="E550" s="5">
        <f>MONTH(C550)</f>
        <v/>
      </c>
      <c r="F550" s="38" t="inlineStr">
        <is>
          <t>NFV  :TENDA ATACADO LTDA</t>
        </is>
      </c>
      <c r="G550" s="38" t="inlineStr">
        <is>
          <t>MARIO FRUGIS (01.04.01)</t>
        </is>
      </c>
      <c r="H550" s="38" t="inlineStr">
        <is>
          <t>NFV</t>
        </is>
      </c>
      <c r="I550" s="40" t="n">
        <v>5.58</v>
      </c>
      <c r="J550" s="40" t="n">
        <v>0</v>
      </c>
      <c r="K550" s="6">
        <f>I550-J550</f>
        <v/>
      </c>
      <c r="L550" s="6">
        <f>IF(H550="DISTRATO",0,I550)</f>
        <v/>
      </c>
    </row>
    <row r="551">
      <c r="A551" s="38" t="inlineStr">
        <is>
          <t>Conta corrente MFRUGIS08.XLS</t>
        </is>
      </c>
      <c r="B551" s="39" t="n">
        <v>39688</v>
      </c>
      <c r="C551" s="4" t="n">
        <v>39661</v>
      </c>
      <c r="D551" s="5">
        <f>YEAR(C551)</f>
        <v/>
      </c>
      <c r="E551" s="5">
        <f>MONTH(C551)</f>
        <v/>
      </c>
      <c r="F551" s="38" t="inlineStr">
        <is>
          <t>NFV  :TENDA ATACADO LTDA</t>
        </is>
      </c>
      <c r="G551" s="38" t="inlineStr">
        <is>
          <t>MARIO FRUGIS (01.04.01)</t>
        </is>
      </c>
      <c r="H551" s="38" t="inlineStr">
        <is>
          <t>NFV</t>
        </is>
      </c>
      <c r="I551" s="40" t="n">
        <v>67.13</v>
      </c>
      <c r="J551" s="40" t="n">
        <v>0</v>
      </c>
      <c r="K551" s="6">
        <f>I551-J551</f>
        <v/>
      </c>
      <c r="L551" s="6">
        <f>IF(H551="DISTRATO",0,I551)</f>
        <v/>
      </c>
    </row>
    <row r="552">
      <c r="A552" s="38" t="inlineStr">
        <is>
          <t>Conta corrente MFRUGIS08.XLS</t>
        </is>
      </c>
      <c r="B552" s="39" t="n">
        <v>39689</v>
      </c>
      <c r="C552" s="4" t="n">
        <v>39661</v>
      </c>
      <c r="D552" s="5">
        <f>YEAR(C552)</f>
        <v/>
      </c>
      <c r="E552" s="5">
        <f>MONTH(C552)</f>
        <v/>
      </c>
      <c r="F552" s="38" t="inlineStr">
        <is>
          <t>DIF PERCENTUAL                        1. (ajuste de % do Tenda)</t>
        </is>
      </c>
      <c r="G552" s="38" t="inlineStr">
        <is>
          <t>MARIO FRUGIS (01.04.01)</t>
        </is>
      </c>
      <c r="H552" s="38" t="inlineStr">
        <is>
          <t>AJUSTE % TENDA</t>
        </is>
      </c>
      <c r="I552" s="40" t="n">
        <v>1558.41</v>
      </c>
      <c r="J552" s="40" t="n">
        <v>0</v>
      </c>
      <c r="K552" s="6">
        <f>I552-J552</f>
        <v/>
      </c>
      <c r="L552" s="6">
        <f>IF(H552="DISTRATO",0,I552)</f>
        <v/>
      </c>
    </row>
    <row r="553">
      <c r="A553" s="38" t="inlineStr">
        <is>
          <t>Conta corrente MFRUGIS08.XLS</t>
        </is>
      </c>
      <c r="B553" s="39" t="n">
        <v>39689</v>
      </c>
      <c r="C553" s="4" t="n">
        <v>39661</v>
      </c>
      <c r="D553" s="5">
        <f>YEAR(C553)</f>
        <v/>
      </c>
      <c r="E553" s="5">
        <f>MONTH(C553)</f>
        <v/>
      </c>
      <c r="F553" s="38" t="inlineStr">
        <is>
          <t>NFV  :TENDA ATACADO LTDA</t>
        </is>
      </c>
      <c r="G553" s="38" t="inlineStr">
        <is>
          <t>MARIO FRUGIS (01.04.01)</t>
        </is>
      </c>
      <c r="H553" s="38" t="inlineStr">
        <is>
          <t>NFV</t>
        </is>
      </c>
      <c r="I553" s="40" t="n">
        <v>126.17</v>
      </c>
      <c r="J553" s="40" t="n">
        <v>0</v>
      </c>
      <c r="K553" s="6">
        <f>I553-J553</f>
        <v/>
      </c>
      <c r="L553" s="6">
        <f>IF(H553="DISTRATO",0,I553)</f>
        <v/>
      </c>
    </row>
    <row r="554">
      <c r="A554" s="38" t="inlineStr">
        <is>
          <t>Conta corrente MFRUGIS08.XLS</t>
        </is>
      </c>
      <c r="B554" s="39" t="n">
        <v>39689</v>
      </c>
      <c r="C554" s="4" t="n">
        <v>39661</v>
      </c>
      <c r="D554" s="5">
        <f>YEAR(C554)</f>
        <v/>
      </c>
      <c r="E554" s="5">
        <f>MONTH(C554)</f>
        <v/>
      </c>
      <c r="F554" s="38" t="inlineStr">
        <is>
          <t>NFV  :TENDA ATACADO LTDA</t>
        </is>
      </c>
      <c r="G554" s="38" t="inlineStr">
        <is>
          <t>MARIO FRUGIS (01.04.01)</t>
        </is>
      </c>
      <c r="H554" s="38" t="inlineStr">
        <is>
          <t>NFV</t>
        </is>
      </c>
      <c r="I554" s="40" t="n">
        <v>117.12</v>
      </c>
      <c r="J554" s="40" t="n">
        <v>0</v>
      </c>
      <c r="K554" s="6">
        <f>I554-J554</f>
        <v/>
      </c>
      <c r="L554" s="6">
        <f>IF(H554="DISTRATO",0,I554)</f>
        <v/>
      </c>
    </row>
    <row r="555">
      <c r="A555" s="38" t="inlineStr">
        <is>
          <t>Conta corrente MFRUGIS08.XLS</t>
        </is>
      </c>
      <c r="B555" s="39" t="n">
        <v>39689</v>
      </c>
      <c r="C555" s="4" t="n">
        <v>39661</v>
      </c>
      <c r="D555" s="5">
        <f>YEAR(C555)</f>
        <v/>
      </c>
      <c r="E555" s="5">
        <f>MONTH(C555)</f>
        <v/>
      </c>
      <c r="F555" s="38" t="inlineStr">
        <is>
          <t>NFV  :TENDA ATACADO LTDA</t>
        </is>
      </c>
      <c r="G555" s="38" t="inlineStr">
        <is>
          <t>MARIO FRUGIS (01.04.01)</t>
        </is>
      </c>
      <c r="H555" s="38" t="inlineStr">
        <is>
          <t>NFV</t>
        </is>
      </c>
      <c r="I555" s="40" t="n">
        <v>77.25</v>
      </c>
      <c r="J555" s="40" t="n">
        <v>0</v>
      </c>
      <c r="K555" s="6">
        <f>I555-J555</f>
        <v/>
      </c>
      <c r="L555" s="6">
        <f>IF(H555="DISTRATO",0,I555)</f>
        <v/>
      </c>
    </row>
    <row r="556">
      <c r="A556" s="38" t="inlineStr">
        <is>
          <t>Conta corrente MFRUGIS08.XLS</t>
        </is>
      </c>
      <c r="B556" s="39" t="n">
        <v>39689</v>
      </c>
      <c r="C556" s="4" t="n">
        <v>39661</v>
      </c>
      <c r="D556" s="5">
        <f>YEAR(C556)</f>
        <v/>
      </c>
      <c r="E556" s="5">
        <f>MONTH(C556)</f>
        <v/>
      </c>
      <c r="F556" s="38" t="inlineStr">
        <is>
          <t>NFV  :TENDA ATACADO LTDA</t>
        </is>
      </c>
      <c r="G556" s="38" t="inlineStr">
        <is>
          <t>MARIO FRUGIS (01.04.01)</t>
        </is>
      </c>
      <c r="H556" s="38" t="inlineStr">
        <is>
          <t>NFV</t>
        </is>
      </c>
      <c r="I556" s="40" t="n">
        <v>72.81</v>
      </c>
      <c r="J556" s="40" t="n">
        <v>0</v>
      </c>
      <c r="K556" s="6">
        <f>I556-J556</f>
        <v/>
      </c>
      <c r="L556" s="6">
        <f>IF(H556="DISTRATO",0,I556)</f>
        <v/>
      </c>
    </row>
    <row r="557">
      <c r="A557" s="38" t="inlineStr">
        <is>
          <t>Conta corrente MFRUGIS08.XLS</t>
        </is>
      </c>
      <c r="B557" s="39" t="n">
        <v>39689</v>
      </c>
      <c r="C557" s="4" t="n">
        <v>39661</v>
      </c>
      <c r="D557" s="5">
        <f>YEAR(C557)</f>
        <v/>
      </c>
      <c r="E557" s="5">
        <f>MONTH(C557)</f>
        <v/>
      </c>
      <c r="F557" s="38" t="inlineStr">
        <is>
          <t>NFV  :TENDA ATACADO LTDA</t>
        </is>
      </c>
      <c r="G557" s="38" t="inlineStr">
        <is>
          <t>MARIO FRUGIS (01.04.01)</t>
        </is>
      </c>
      <c r="H557" s="38" t="inlineStr">
        <is>
          <t>NFV</t>
        </is>
      </c>
      <c r="I557" s="40" t="n">
        <v>94.39</v>
      </c>
      <c r="J557" s="40" t="n">
        <v>0</v>
      </c>
      <c r="K557" s="6">
        <f>I557-J557</f>
        <v/>
      </c>
      <c r="L557" s="6">
        <f>IF(H557="DISTRATO",0,I557)</f>
        <v/>
      </c>
    </row>
    <row r="558">
      <c r="A558" s="38" t="inlineStr">
        <is>
          <t>Conta corrente MFRUGIS08.XLS</t>
        </is>
      </c>
      <c r="B558" s="39" t="n">
        <v>39689</v>
      </c>
      <c r="C558" s="4" t="n">
        <v>39661</v>
      </c>
      <c r="D558" s="5">
        <f>YEAR(C558)</f>
        <v/>
      </c>
      <c r="E558" s="5">
        <f>MONTH(C558)</f>
        <v/>
      </c>
      <c r="F558" s="38" t="inlineStr">
        <is>
          <t>NFV  :TENDA ATACADO LTDA</t>
        </is>
      </c>
      <c r="G558" s="38" t="inlineStr">
        <is>
          <t>MARIO FRUGIS (01.04.01)</t>
        </is>
      </c>
      <c r="H558" s="38" t="inlineStr">
        <is>
          <t>NFV</t>
        </is>
      </c>
      <c r="I558" s="40" t="n">
        <v>108.06</v>
      </c>
      <c r="J558" s="40" t="n">
        <v>0</v>
      </c>
      <c r="K558" s="6">
        <f>I558-J558</f>
        <v/>
      </c>
      <c r="L558" s="6">
        <f>IF(H558="DISTRATO",0,I558)</f>
        <v/>
      </c>
    </row>
    <row r="559">
      <c r="A559" s="38" t="inlineStr">
        <is>
          <t>Conta corrente MFRUGIS08.XLS</t>
        </is>
      </c>
      <c r="B559" s="39" t="n">
        <v>39689</v>
      </c>
      <c r="C559" s="4" t="n">
        <v>39661</v>
      </c>
      <c r="D559" s="5">
        <f>YEAR(C559)</f>
        <v/>
      </c>
      <c r="E559" s="5">
        <f>MONTH(C559)</f>
        <v/>
      </c>
      <c r="F559" s="38" t="inlineStr">
        <is>
          <t>NFV  :TENDA ATACADO LTDA</t>
        </is>
      </c>
      <c r="G559" s="38" t="inlineStr">
        <is>
          <t>MARIO FRUGIS (01.04.01)</t>
        </is>
      </c>
      <c r="H559" s="38" t="inlineStr">
        <is>
          <t>NFV</t>
        </is>
      </c>
      <c r="I559" s="40" t="n">
        <v>110.44</v>
      </c>
      <c r="J559" s="40" t="n">
        <v>0</v>
      </c>
      <c r="K559" s="6">
        <f>I559-J559</f>
        <v/>
      </c>
      <c r="L559" s="6">
        <f>IF(H559="DISTRATO",0,I559)</f>
        <v/>
      </c>
    </row>
    <row r="560">
      <c r="A560" s="38" t="inlineStr">
        <is>
          <t>Conta corrente MFRUGIS08.XLS</t>
        </is>
      </c>
      <c r="B560" s="39" t="n">
        <v>39689</v>
      </c>
      <c r="C560" s="4" t="n">
        <v>39661</v>
      </c>
      <c r="D560" s="5">
        <f>YEAR(C560)</f>
        <v/>
      </c>
      <c r="E560" s="5">
        <f>MONTH(C560)</f>
        <v/>
      </c>
      <c r="F560" s="38" t="inlineStr">
        <is>
          <t>NFV  :TENDA ATACADO LTDA</t>
        </is>
      </c>
      <c r="G560" s="38" t="inlineStr">
        <is>
          <t>MARIO FRUGIS (01.04.01)</t>
        </is>
      </c>
      <c r="H560" s="38" t="inlineStr">
        <is>
          <t>NFV</t>
        </is>
      </c>
      <c r="I560" s="40" t="n">
        <v>118.8</v>
      </c>
      <c r="J560" s="40" t="n">
        <v>0</v>
      </c>
      <c r="K560" s="6">
        <f>I560-J560</f>
        <v/>
      </c>
      <c r="L560" s="6">
        <f>IF(H560="DISTRATO",0,I560)</f>
        <v/>
      </c>
    </row>
    <row r="561">
      <c r="A561" s="38" t="inlineStr">
        <is>
          <t>Conta corrente MFRUGIS08.XLS</t>
        </is>
      </c>
      <c r="B561" s="39" t="n">
        <v>39702</v>
      </c>
      <c r="C561" s="4" t="n">
        <v>39692</v>
      </c>
      <c r="D561" s="5">
        <f>YEAR(C561)</f>
        <v/>
      </c>
      <c r="E561" s="5">
        <f>MONTH(C561)</f>
        <v/>
      </c>
      <c r="F561" s="38" t="inlineStr">
        <is>
          <t>NFV  :TENDA ATACADO LTDA</t>
        </is>
      </c>
      <c r="G561" s="38" t="inlineStr">
        <is>
          <t>MARIO FRUGIS (01.04.01)</t>
        </is>
      </c>
      <c r="H561" s="38" t="inlineStr">
        <is>
          <t>NFV</t>
        </is>
      </c>
      <c r="I561" s="40" t="n">
        <v>97.97</v>
      </c>
      <c r="J561" s="40" t="n">
        <v>0</v>
      </c>
      <c r="K561" s="6">
        <f>I561-J561</f>
        <v/>
      </c>
      <c r="L561" s="6">
        <f>IF(H561="DISTRATO",0,I561)</f>
        <v/>
      </c>
    </row>
    <row r="562">
      <c r="A562" s="38" t="inlineStr">
        <is>
          <t>Conta corrente MFRUGIS08.XLS</t>
        </is>
      </c>
      <c r="B562" s="39" t="n">
        <v>39702</v>
      </c>
      <c r="C562" s="4" t="n">
        <v>39692</v>
      </c>
      <c r="D562" s="5">
        <f>YEAR(C562)</f>
        <v/>
      </c>
      <c r="E562" s="5">
        <f>MONTH(C562)</f>
        <v/>
      </c>
      <c r="F562" s="38" t="inlineStr">
        <is>
          <t>NFV  :TENDA ATACADO LTDA</t>
        </is>
      </c>
      <c r="G562" s="38" t="inlineStr">
        <is>
          <t>MARIO FRUGIS (01.04.01)</t>
        </is>
      </c>
      <c r="H562" s="38" t="inlineStr">
        <is>
          <t>NFV</t>
        </is>
      </c>
      <c r="I562" s="40" t="n">
        <v>136.26</v>
      </c>
      <c r="J562" s="40" t="n">
        <v>0</v>
      </c>
      <c r="K562" s="6">
        <f>I562-J562</f>
        <v/>
      </c>
      <c r="L562" s="6">
        <f>IF(H562="DISTRATO",0,I562)</f>
        <v/>
      </c>
    </row>
    <row r="563">
      <c r="A563" s="38" t="inlineStr">
        <is>
          <t>Conta corrente MFRUGIS08.XLS</t>
        </is>
      </c>
      <c r="B563" s="39" t="n">
        <v>39702</v>
      </c>
      <c r="C563" s="4" t="n">
        <v>39692</v>
      </c>
      <c r="D563" s="5">
        <f>YEAR(C563)</f>
        <v/>
      </c>
      <c r="E563" s="5">
        <f>MONTH(C563)</f>
        <v/>
      </c>
      <c r="F563" s="38" t="inlineStr">
        <is>
          <t>NFV  :TENDA ATACADO LTDA</t>
        </is>
      </c>
      <c r="G563" s="38" t="inlineStr">
        <is>
          <t>MARIO FRUGIS (01.04.01)</t>
        </is>
      </c>
      <c r="H563" s="38" t="inlineStr">
        <is>
          <t>NFV</t>
        </is>
      </c>
      <c r="I563" s="40" t="n">
        <v>103.47</v>
      </c>
      <c r="J563" s="40" t="n">
        <v>0</v>
      </c>
      <c r="K563" s="6">
        <f>I563-J563</f>
        <v/>
      </c>
      <c r="L563" s="6">
        <f>IF(H563="DISTRATO",0,I563)</f>
        <v/>
      </c>
    </row>
    <row r="564">
      <c r="A564" s="38" t="inlineStr">
        <is>
          <t>Conta corrente MFRUGIS08.XLS</t>
        </is>
      </c>
      <c r="B564" s="39" t="n">
        <v>39702</v>
      </c>
      <c r="C564" s="4" t="n">
        <v>39692</v>
      </c>
      <c r="D564" s="5">
        <f>YEAR(C564)</f>
        <v/>
      </c>
      <c r="E564" s="5">
        <f>MONTH(C564)</f>
        <v/>
      </c>
      <c r="F564" s="38" t="inlineStr">
        <is>
          <t>NFV  :TENDA ATACADO LTDA</t>
        </is>
      </c>
      <c r="G564" s="38" t="inlineStr">
        <is>
          <t>MARIO FRUGIS (01.04.01)</t>
        </is>
      </c>
      <c r="H564" s="38" t="inlineStr">
        <is>
          <t>NFV</t>
        </is>
      </c>
      <c r="I564" s="40" t="n">
        <v>13.68</v>
      </c>
      <c r="J564" s="40" t="n">
        <v>0</v>
      </c>
      <c r="K564" s="6">
        <f>I564-J564</f>
        <v/>
      </c>
      <c r="L564" s="6">
        <f>IF(H564="DISTRATO",0,I564)</f>
        <v/>
      </c>
    </row>
    <row r="565">
      <c r="A565" s="38" t="inlineStr">
        <is>
          <t>Conta corrente MFRUGIS08.XLS</t>
        </is>
      </c>
      <c r="B565" s="39" t="n">
        <v>39702</v>
      </c>
      <c r="C565" s="4" t="n">
        <v>39692</v>
      </c>
      <c r="D565" s="5">
        <f>YEAR(C565)</f>
        <v/>
      </c>
      <c r="E565" s="5">
        <f>MONTH(C565)</f>
        <v/>
      </c>
      <c r="F565" s="38" t="inlineStr">
        <is>
          <t>NFV  :TENDA ATACADO LTDA</t>
        </is>
      </c>
      <c r="G565" s="38" t="inlineStr">
        <is>
          <t>MARIO FRUGIS (01.04.01)</t>
        </is>
      </c>
      <c r="H565" s="38" t="inlineStr">
        <is>
          <t>NFV</t>
        </is>
      </c>
      <c r="I565" s="40" t="n">
        <v>33.13</v>
      </c>
      <c r="J565" s="40" t="n">
        <v>0</v>
      </c>
      <c r="K565" s="6">
        <f>I565-J565</f>
        <v/>
      </c>
      <c r="L565" s="6">
        <f>IF(H565="DISTRATO",0,I565)</f>
        <v/>
      </c>
    </row>
    <row r="566">
      <c r="A566" s="38" t="inlineStr">
        <is>
          <t>Conta corrente MFRUGIS08.XLS</t>
        </is>
      </c>
      <c r="B566" s="39" t="n">
        <v>39702</v>
      </c>
      <c r="C566" s="4" t="n">
        <v>39692</v>
      </c>
      <c r="D566" s="5">
        <f>YEAR(C566)</f>
        <v/>
      </c>
      <c r="E566" s="5">
        <f>MONTH(C566)</f>
        <v/>
      </c>
      <c r="F566" s="38" t="inlineStr">
        <is>
          <t>NFV  :TENDA ATACADO LTDA</t>
        </is>
      </c>
      <c r="G566" s="38" t="inlineStr">
        <is>
          <t>MARIO FRUGIS (01.04.01)</t>
        </is>
      </c>
      <c r="H566" s="38" t="inlineStr">
        <is>
          <t>NFV</t>
        </is>
      </c>
      <c r="I566" s="40" t="n">
        <v>66.79000000000001</v>
      </c>
      <c r="J566" s="40" t="n">
        <v>0</v>
      </c>
      <c r="K566" s="6">
        <f>I566-J566</f>
        <v/>
      </c>
      <c r="L566" s="6">
        <f>IF(H566="DISTRATO",0,I566)</f>
        <v/>
      </c>
    </row>
    <row r="567">
      <c r="A567" s="38" t="inlineStr">
        <is>
          <t>Conta corrente MFRUGIS08.XLS</t>
        </is>
      </c>
      <c r="B567" s="39" t="n">
        <v>39702</v>
      </c>
      <c r="C567" s="4" t="n">
        <v>39692</v>
      </c>
      <c r="D567" s="5">
        <f>YEAR(C567)</f>
        <v/>
      </c>
      <c r="E567" s="5">
        <f>MONTH(C567)</f>
        <v/>
      </c>
      <c r="F567" s="38" t="inlineStr">
        <is>
          <t>NFV  :TENDA ATACADO LTDA</t>
        </is>
      </c>
      <c r="G567" s="38" t="inlineStr">
        <is>
          <t>MARIO FRUGIS (01.04.01)</t>
        </is>
      </c>
      <c r="H567" s="38" t="inlineStr">
        <is>
          <t>NFV</t>
        </is>
      </c>
      <c r="I567" s="40" t="n">
        <v>32.52</v>
      </c>
      <c r="J567" s="40" t="n">
        <v>0</v>
      </c>
      <c r="K567" s="6">
        <f>I567-J567</f>
        <v/>
      </c>
      <c r="L567" s="6">
        <f>IF(H567="DISTRATO",0,I567)</f>
        <v/>
      </c>
    </row>
    <row r="568">
      <c r="A568" s="38" t="inlineStr">
        <is>
          <t>Conta corrente MFRUGIS08.XLS</t>
        </is>
      </c>
      <c r="B568" s="39" t="n">
        <v>39702</v>
      </c>
      <c r="C568" s="4" t="n">
        <v>39692</v>
      </c>
      <c r="D568" s="5">
        <f>YEAR(C568)</f>
        <v/>
      </c>
      <c r="E568" s="5">
        <f>MONTH(C568)</f>
        <v/>
      </c>
      <c r="F568" s="38" t="inlineStr">
        <is>
          <t>NFV  :TENDA ATACADO LTDA</t>
        </is>
      </c>
      <c r="G568" s="38" t="inlineStr">
        <is>
          <t>MARIO FRUGIS (01.04.01)</t>
        </is>
      </c>
      <c r="H568" s="38" t="inlineStr">
        <is>
          <t>NFV</t>
        </is>
      </c>
      <c r="I568" s="40" t="n">
        <v>27.37</v>
      </c>
      <c r="J568" s="40" t="n">
        <v>0</v>
      </c>
      <c r="K568" s="6">
        <f>I568-J568</f>
        <v/>
      </c>
      <c r="L568" s="6">
        <f>IF(H568="DISTRATO",0,I568)</f>
        <v/>
      </c>
    </row>
    <row r="569">
      <c r="A569" s="38" t="inlineStr">
        <is>
          <t>Conta corrente MFRUGIS08.XLS</t>
        </is>
      </c>
      <c r="B569" s="39" t="n">
        <v>39702</v>
      </c>
      <c r="C569" s="4" t="n">
        <v>39692</v>
      </c>
      <c r="D569" s="5">
        <f>YEAR(C569)</f>
        <v/>
      </c>
      <c r="E569" s="5">
        <f>MONTH(C569)</f>
        <v/>
      </c>
      <c r="F569" s="38" t="inlineStr">
        <is>
          <t>NFV  :TENDA ATACADO LTDA</t>
        </is>
      </c>
      <c r="G569" s="38" t="inlineStr">
        <is>
          <t>MARIO FRUGIS (01.04.01)</t>
        </is>
      </c>
      <c r="H569" s="38" t="inlineStr">
        <is>
          <t>NFV</t>
        </is>
      </c>
      <c r="I569" s="40" t="n">
        <v>38.88</v>
      </c>
      <c r="J569" s="40" t="n">
        <v>0</v>
      </c>
      <c r="K569" s="6">
        <f>I569-J569</f>
        <v/>
      </c>
      <c r="L569" s="6">
        <f>IF(H569="DISTRATO",0,I569)</f>
        <v/>
      </c>
    </row>
    <row r="570">
      <c r="A570" s="38" t="inlineStr">
        <is>
          <t>Conta corrente MFRUGIS08.XLS</t>
        </is>
      </c>
      <c r="B570" s="39" t="n">
        <v>39702</v>
      </c>
      <c r="C570" s="4" t="n">
        <v>39692</v>
      </c>
      <c r="D570" s="5">
        <f>YEAR(C570)</f>
        <v/>
      </c>
      <c r="E570" s="5">
        <f>MONTH(C570)</f>
        <v/>
      </c>
      <c r="F570" s="38" t="inlineStr">
        <is>
          <t>NFV  :TENDA ATACADO LTDA</t>
        </is>
      </c>
      <c r="G570" s="38" t="inlineStr">
        <is>
          <t>MARIO FRUGIS (01.04.01)</t>
        </is>
      </c>
      <c r="H570" s="38" t="inlineStr">
        <is>
          <t>NFV</t>
        </is>
      </c>
      <c r="I570" s="40" t="n">
        <v>29.15</v>
      </c>
      <c r="J570" s="40" t="n">
        <v>0</v>
      </c>
      <c r="K570" s="6">
        <f>I570-J570</f>
        <v/>
      </c>
      <c r="L570" s="6">
        <f>IF(H570="DISTRATO",0,I570)</f>
        <v/>
      </c>
    </row>
    <row r="571">
      <c r="A571" s="38" t="inlineStr">
        <is>
          <t>Conta corrente MFRUGIS08.XLS</t>
        </is>
      </c>
      <c r="B571" s="39" t="n">
        <v>39702</v>
      </c>
      <c r="C571" s="4" t="n">
        <v>39692</v>
      </c>
      <c r="D571" s="5">
        <f>YEAR(C571)</f>
        <v/>
      </c>
      <c r="E571" s="5">
        <f>MONTH(C571)</f>
        <v/>
      </c>
      <c r="F571" s="38" t="inlineStr">
        <is>
          <t>NFV  :TENDA ATACADO LTDA</t>
        </is>
      </c>
      <c r="G571" s="38" t="inlineStr">
        <is>
          <t>MARIO FRUGIS (01.04.01)</t>
        </is>
      </c>
      <c r="H571" s="38" t="inlineStr">
        <is>
          <t>NFV</t>
        </is>
      </c>
      <c r="I571" s="40" t="n">
        <v>140.48</v>
      </c>
      <c r="J571" s="40" t="n">
        <v>0</v>
      </c>
      <c r="K571" s="6">
        <f>I571-J571</f>
        <v/>
      </c>
      <c r="L571" s="6">
        <f>IF(H571="DISTRATO",0,I571)</f>
        <v/>
      </c>
    </row>
    <row r="572">
      <c r="A572" s="38" t="inlineStr">
        <is>
          <t>Conta corrente MFRUGIS08.XLS</t>
        </is>
      </c>
      <c r="B572" s="39" t="n">
        <v>39702</v>
      </c>
      <c r="C572" s="4" t="n">
        <v>39692</v>
      </c>
      <c r="D572" s="5">
        <f>YEAR(C572)</f>
        <v/>
      </c>
      <c r="E572" s="5">
        <f>MONTH(C572)</f>
        <v/>
      </c>
      <c r="F572" s="38" t="inlineStr">
        <is>
          <t>NFV  :TENDA ATACADO LTDA</t>
        </is>
      </c>
      <c r="G572" s="38" t="inlineStr">
        <is>
          <t>MARIO FRUGIS (01.04.01)</t>
        </is>
      </c>
      <c r="H572" s="38" t="inlineStr">
        <is>
          <t>NFV</t>
        </is>
      </c>
      <c r="I572" s="40" t="n">
        <v>129.05</v>
      </c>
      <c r="J572" s="40" t="n">
        <v>0</v>
      </c>
      <c r="K572" s="6">
        <f>I572-J572</f>
        <v/>
      </c>
      <c r="L572" s="6">
        <f>IF(H572="DISTRATO",0,I572)</f>
        <v/>
      </c>
    </row>
    <row r="573">
      <c r="A573" s="38" t="inlineStr">
        <is>
          <t>Conta corrente MFRUGIS08.XLS</t>
        </is>
      </c>
      <c r="B573" s="39" t="n">
        <v>39702</v>
      </c>
      <c r="C573" s="4" t="n">
        <v>39692</v>
      </c>
      <c r="D573" s="5">
        <f>YEAR(C573)</f>
        <v/>
      </c>
      <c r="E573" s="5">
        <f>MONTH(C573)</f>
        <v/>
      </c>
      <c r="F573" s="38" t="inlineStr">
        <is>
          <t>NFV  :TENDA ATACADO LTDA</t>
        </is>
      </c>
      <c r="G573" s="38" t="inlineStr">
        <is>
          <t>MARIO FRUGIS (01.04.01)</t>
        </is>
      </c>
      <c r="H573" s="38" t="inlineStr">
        <is>
          <t>NFV</t>
        </is>
      </c>
      <c r="I573" s="40" t="n">
        <v>19.44</v>
      </c>
      <c r="J573" s="40" t="n">
        <v>0</v>
      </c>
      <c r="K573" s="6">
        <f>I573-J573</f>
        <v/>
      </c>
      <c r="L573" s="6">
        <f>IF(H573="DISTRATO",0,I573)</f>
        <v/>
      </c>
    </row>
    <row r="574">
      <c r="A574" s="38" t="inlineStr">
        <is>
          <t>Conta corrente MFRUGIS08.XLS</t>
        </is>
      </c>
      <c r="B574" s="39" t="n">
        <v>39702</v>
      </c>
      <c r="C574" s="4" t="n">
        <v>39692</v>
      </c>
      <c r="D574" s="5">
        <f>YEAR(C574)</f>
        <v/>
      </c>
      <c r="E574" s="5">
        <f>MONTH(C574)</f>
        <v/>
      </c>
      <c r="F574" s="38" t="inlineStr">
        <is>
          <t>NFV  :TENDA ATACADO LTDA</t>
        </is>
      </c>
      <c r="G574" s="38" t="inlineStr">
        <is>
          <t>MARIO FRUGIS (01.04.01)</t>
        </is>
      </c>
      <c r="H574" s="38" t="inlineStr">
        <is>
          <t>NFV</t>
        </is>
      </c>
      <c r="I574" s="40" t="n">
        <v>83.8</v>
      </c>
      <c r="J574" s="40" t="n">
        <v>0</v>
      </c>
      <c r="K574" s="6">
        <f>I574-J574</f>
        <v/>
      </c>
      <c r="L574" s="6">
        <f>IF(H574="DISTRATO",0,I574)</f>
        <v/>
      </c>
    </row>
    <row r="575">
      <c r="A575" s="38" t="inlineStr">
        <is>
          <t>Conta corrente MFRUGIS08.XLS</t>
        </is>
      </c>
      <c r="B575" s="39" t="n">
        <v>39703</v>
      </c>
      <c r="C575" s="4" t="n">
        <v>39692</v>
      </c>
      <c r="D575" s="5">
        <f>YEAR(C575)</f>
        <v/>
      </c>
      <c r="E575" s="5">
        <f>MONTH(C575)</f>
        <v/>
      </c>
      <c r="F575" s="38" t="inlineStr">
        <is>
          <t>NFV  :TENDA ATACADO LTDA</t>
        </is>
      </c>
      <c r="G575" s="38" t="inlineStr">
        <is>
          <t>MARIO FRUGIS (01.04.01)</t>
        </is>
      </c>
      <c r="H575" s="38" t="inlineStr">
        <is>
          <t>NFV</t>
        </is>
      </c>
      <c r="I575" s="40" t="n">
        <v>122.1</v>
      </c>
      <c r="J575" s="40" t="n">
        <v>0</v>
      </c>
      <c r="K575" s="6">
        <f>I575-J575</f>
        <v/>
      </c>
      <c r="L575" s="6">
        <f>IF(H575="DISTRATO",0,I575)</f>
        <v/>
      </c>
    </row>
    <row r="576">
      <c r="A576" s="38" t="inlineStr">
        <is>
          <t>Conta corrente MFRUGIS08.XLS</t>
        </is>
      </c>
      <c r="B576" s="39" t="n">
        <v>39703</v>
      </c>
      <c r="C576" s="4" t="n">
        <v>39692</v>
      </c>
      <c r="D576" s="5">
        <f>YEAR(C576)</f>
        <v/>
      </c>
      <c r="E576" s="5">
        <f>MONTH(C576)</f>
        <v/>
      </c>
      <c r="F576" s="38" t="inlineStr">
        <is>
          <t>NFV  :TENDA ATACADO LTDA</t>
        </is>
      </c>
      <c r="G576" s="38" t="inlineStr">
        <is>
          <t>MARIO FRUGIS (01.04.01)</t>
        </is>
      </c>
      <c r="H576" s="38" t="inlineStr">
        <is>
          <t>NFV</t>
        </is>
      </c>
      <c r="I576" s="40" t="n">
        <v>90.98</v>
      </c>
      <c r="J576" s="40" t="n">
        <v>0</v>
      </c>
      <c r="K576" s="6">
        <f>I576-J576</f>
        <v/>
      </c>
      <c r="L576" s="6">
        <f>IF(H576="DISTRATO",0,I576)</f>
        <v/>
      </c>
    </row>
    <row r="577">
      <c r="A577" s="38" t="inlineStr">
        <is>
          <t>Conta corrente MFRUGIS08.XLS</t>
        </is>
      </c>
      <c r="B577" s="39" t="n">
        <v>39703</v>
      </c>
      <c r="C577" s="4" t="n">
        <v>39692</v>
      </c>
      <c r="D577" s="5">
        <f>YEAR(C577)</f>
        <v/>
      </c>
      <c r="E577" s="5">
        <f>MONTH(C577)</f>
        <v/>
      </c>
      <c r="F577" s="38" t="inlineStr">
        <is>
          <t>NFV  :TENDA ATACADO LTDA</t>
        </is>
      </c>
      <c r="G577" s="38" t="inlineStr">
        <is>
          <t>MARIO FRUGIS (01.04.01)</t>
        </is>
      </c>
      <c r="H577" s="38" t="inlineStr">
        <is>
          <t>NFV</t>
        </is>
      </c>
      <c r="I577" s="40" t="n">
        <v>46.04</v>
      </c>
      <c r="J577" s="40" t="n">
        <v>0</v>
      </c>
      <c r="K577" s="6">
        <f>I577-J577</f>
        <v/>
      </c>
      <c r="L577" s="6">
        <f>IF(H577="DISTRATO",0,I577)</f>
        <v/>
      </c>
    </row>
    <row r="578">
      <c r="A578" s="38" t="inlineStr">
        <is>
          <t>Conta corrente MFRUGIS08.XLS</t>
        </is>
      </c>
      <c r="B578" s="39" t="n">
        <v>39703</v>
      </c>
      <c r="C578" s="4" t="n">
        <v>39692</v>
      </c>
      <c r="D578" s="5">
        <f>YEAR(C578)</f>
        <v/>
      </c>
      <c r="E578" s="5">
        <f>MONTH(C578)</f>
        <v/>
      </c>
      <c r="F578" s="38" t="inlineStr">
        <is>
          <t>NFV  :TENDA ATACADO LTDA</t>
        </is>
      </c>
      <c r="G578" s="38" t="inlineStr">
        <is>
          <t>MARIO FRUGIS (01.04.01)</t>
        </is>
      </c>
      <c r="H578" s="38" t="inlineStr">
        <is>
          <t>NFV</t>
        </is>
      </c>
      <c r="I578" s="40" t="n">
        <v>27.36</v>
      </c>
      <c r="J578" s="40" t="n">
        <v>0</v>
      </c>
      <c r="K578" s="6">
        <f>I578-J578</f>
        <v/>
      </c>
      <c r="L578" s="6">
        <f>IF(H578="DISTRATO",0,I578)</f>
        <v/>
      </c>
    </row>
    <row r="579">
      <c r="A579" s="38" t="inlineStr">
        <is>
          <t>Conta corrente MFRUGIS08.XLS</t>
        </is>
      </c>
      <c r="B579" s="39" t="n">
        <v>39703</v>
      </c>
      <c r="C579" s="4" t="n">
        <v>39692</v>
      </c>
      <c r="D579" s="5">
        <f>YEAR(C579)</f>
        <v/>
      </c>
      <c r="E579" s="5">
        <f>MONTH(C579)</f>
        <v/>
      </c>
      <c r="F579" s="38" t="inlineStr">
        <is>
          <t>NFV  :TENDA ATACADO LTDA</t>
        </is>
      </c>
      <c r="G579" s="38" t="inlineStr">
        <is>
          <t>MARIO FRUGIS (01.04.01)</t>
        </is>
      </c>
      <c r="H579" s="38" t="inlineStr">
        <is>
          <t>NFV</t>
        </is>
      </c>
      <c r="I579" s="40" t="n">
        <v>27.37</v>
      </c>
      <c r="J579" s="40" t="n">
        <v>0</v>
      </c>
      <c r="K579" s="6">
        <f>I579-J579</f>
        <v/>
      </c>
      <c r="L579" s="6">
        <f>IF(H579="DISTRATO",0,I579)</f>
        <v/>
      </c>
    </row>
    <row r="580">
      <c r="A580" s="38" t="inlineStr">
        <is>
          <t>Conta corrente MFRUGIS08.XLS</t>
        </is>
      </c>
      <c r="B580" s="39" t="n">
        <v>39703</v>
      </c>
      <c r="C580" s="4" t="n">
        <v>39692</v>
      </c>
      <c r="D580" s="5">
        <f>YEAR(C580)</f>
        <v/>
      </c>
      <c r="E580" s="5">
        <f>MONTH(C580)</f>
        <v/>
      </c>
      <c r="F580" s="38" t="inlineStr">
        <is>
          <t>NFV  :TENDA ATACADO LTDA</t>
        </is>
      </c>
      <c r="G580" s="38" t="inlineStr">
        <is>
          <t>MARIO FRUGIS (01.04.01)</t>
        </is>
      </c>
      <c r="H580" s="38" t="inlineStr">
        <is>
          <t>NFV</t>
        </is>
      </c>
      <c r="I580" s="40" t="n">
        <v>13.68</v>
      </c>
      <c r="J580" s="40" t="n">
        <v>0</v>
      </c>
      <c r="K580" s="6">
        <f>I580-J580</f>
        <v/>
      </c>
      <c r="L580" s="6">
        <f>IF(H580="DISTRATO",0,I580)</f>
        <v/>
      </c>
    </row>
    <row r="581">
      <c r="A581" s="38" t="inlineStr">
        <is>
          <t>Conta corrente MFRUGIS08.XLS</t>
        </is>
      </c>
      <c r="B581" s="39" t="n">
        <v>39703</v>
      </c>
      <c r="C581" s="4" t="n">
        <v>39692</v>
      </c>
      <c r="D581" s="5">
        <f>YEAR(C581)</f>
        <v/>
      </c>
      <c r="E581" s="5">
        <f>MONTH(C581)</f>
        <v/>
      </c>
      <c r="F581" s="38" t="inlineStr">
        <is>
          <t>NFV  :TENDA ATACADO LTDA</t>
        </is>
      </c>
      <c r="G581" s="38" t="inlineStr">
        <is>
          <t>MARIO FRUGIS (01.04.01)</t>
        </is>
      </c>
      <c r="H581" s="38" t="inlineStr">
        <is>
          <t>NFV</t>
        </is>
      </c>
      <c r="I581" s="40" t="n">
        <v>44.4</v>
      </c>
      <c r="J581" s="40" t="n">
        <v>0</v>
      </c>
      <c r="K581" s="6">
        <f>I581-J581</f>
        <v/>
      </c>
      <c r="L581" s="6">
        <f>IF(H581="DISTRATO",0,I581)</f>
        <v/>
      </c>
    </row>
    <row r="582">
      <c r="A582" s="38" t="inlineStr">
        <is>
          <t>Conta corrente MFRUGIS08.XLS</t>
        </is>
      </c>
      <c r="B582" s="39" t="n">
        <v>39703</v>
      </c>
      <c r="C582" s="4" t="n">
        <v>39692</v>
      </c>
      <c r="D582" s="5">
        <f>YEAR(C582)</f>
        <v/>
      </c>
      <c r="E582" s="5">
        <f>MONTH(C582)</f>
        <v/>
      </c>
      <c r="F582" s="38" t="inlineStr">
        <is>
          <t>NFV  :TENDA ATACADO LTDA</t>
        </is>
      </c>
      <c r="G582" s="38" t="inlineStr">
        <is>
          <t>MARIO FRUGIS (01.04.01)</t>
        </is>
      </c>
      <c r="H582" s="38" t="inlineStr">
        <is>
          <t>NFV</t>
        </is>
      </c>
      <c r="I582" s="40" t="n">
        <v>19.72</v>
      </c>
      <c r="J582" s="40" t="n">
        <v>0</v>
      </c>
      <c r="K582" s="6">
        <f>I582-J582</f>
        <v/>
      </c>
      <c r="L582" s="6">
        <f>IF(H582="DISTRATO",0,I582)</f>
        <v/>
      </c>
    </row>
    <row r="583">
      <c r="A583" s="38" t="inlineStr">
        <is>
          <t>Conta corrente MFRUGIS08.XLS</t>
        </is>
      </c>
      <c r="B583" s="39" t="n">
        <v>39707</v>
      </c>
      <c r="C583" s="4" t="n">
        <v>39692</v>
      </c>
      <c r="D583" s="5">
        <f>YEAR(C583)</f>
        <v/>
      </c>
      <c r="E583" s="5">
        <f>MONTH(C583)</f>
        <v/>
      </c>
      <c r="F583" s="38" t="inlineStr">
        <is>
          <t>DEV  :TENDA ATACADO LTDA</t>
        </is>
      </c>
      <c r="G583" s="38" t="inlineStr">
        <is>
          <t>MARIO FRUGIS (01.04.01)</t>
        </is>
      </c>
      <c r="H583" s="38" t="inlineStr">
        <is>
          <t>DEVOLUCAO</t>
        </is>
      </c>
      <c r="I583" s="40" t="n">
        <v>-13.82</v>
      </c>
      <c r="J583" s="40" t="n">
        <v>0</v>
      </c>
      <c r="K583" s="6">
        <f>I583-J583</f>
        <v/>
      </c>
      <c r="L583" s="6">
        <f>IF(H583="DISTRATO",0,I583)</f>
        <v/>
      </c>
    </row>
    <row r="584">
      <c r="A584" s="38" t="inlineStr">
        <is>
          <t>Conta corrente MFRUGIS08.XLS</t>
        </is>
      </c>
      <c r="B584" s="39" t="n">
        <v>39709</v>
      </c>
      <c r="C584" s="4" t="n">
        <v>39692</v>
      </c>
      <c r="D584" s="5">
        <f>YEAR(C584)</f>
        <v/>
      </c>
      <c r="E584" s="5">
        <f>MONTH(C584)</f>
        <v/>
      </c>
      <c r="F584" s="38" t="inlineStr">
        <is>
          <t>BONIF:TENDA ATACADO LTDA</t>
        </is>
      </c>
      <c r="G584" s="38" t="inlineStr">
        <is>
          <t>MARIO FRUGIS (01.04.01)</t>
        </is>
      </c>
      <c r="H584" s="38" t="inlineStr">
        <is>
          <t>BONIFICACAO</t>
        </is>
      </c>
      <c r="I584" s="40" t="n">
        <v>-14.53</v>
      </c>
      <c r="J584" s="40" t="n">
        <v>0</v>
      </c>
      <c r="K584" s="6">
        <f>I584-J584</f>
        <v/>
      </c>
      <c r="L584" s="6">
        <f>IF(H584="DISTRATO",0,I584)</f>
        <v/>
      </c>
    </row>
    <row r="585">
      <c r="A585" s="38" t="inlineStr">
        <is>
          <t>Conta corrente MFRUGIS08.XLS</t>
        </is>
      </c>
      <c r="B585" s="39" t="n">
        <v>39709</v>
      </c>
      <c r="C585" s="4" t="n">
        <v>39692</v>
      </c>
      <c r="D585" s="5">
        <f>YEAR(C585)</f>
        <v/>
      </c>
      <c r="E585" s="5">
        <f>MONTH(C585)</f>
        <v/>
      </c>
      <c r="F585" s="38" t="inlineStr">
        <is>
          <t>NFV  :TENDA ATACADO LTDA</t>
        </is>
      </c>
      <c r="G585" s="38" t="inlineStr">
        <is>
          <t>MARIO FRUGIS (01.04.01)</t>
        </is>
      </c>
      <c r="H585" s="38" t="inlineStr">
        <is>
          <t>NFV</t>
        </is>
      </c>
      <c r="I585" s="40" t="n">
        <v>79.33</v>
      </c>
      <c r="J585" s="40" t="n">
        <v>0</v>
      </c>
      <c r="K585" s="6">
        <f>I585-J585</f>
        <v/>
      </c>
      <c r="L585" s="6">
        <f>IF(H585="DISTRATO",0,I585)</f>
        <v/>
      </c>
    </row>
    <row r="586">
      <c r="A586" s="38" t="inlineStr">
        <is>
          <t>Conta corrente MFRUGIS08.XLS</t>
        </is>
      </c>
      <c r="B586" s="39" t="n">
        <v>39709</v>
      </c>
      <c r="C586" s="4" t="n">
        <v>39692</v>
      </c>
      <c r="D586" s="5">
        <f>YEAR(C586)</f>
        <v/>
      </c>
      <c r="E586" s="5">
        <f>MONTH(C586)</f>
        <v/>
      </c>
      <c r="F586" s="38" t="inlineStr">
        <is>
          <t>NFV  :TENDA ATACADO LTDA</t>
        </is>
      </c>
      <c r="G586" s="38" t="inlineStr">
        <is>
          <t>MARIO FRUGIS (01.04.01)</t>
        </is>
      </c>
      <c r="H586" s="38" t="inlineStr">
        <is>
          <t>NFV</t>
        </is>
      </c>
      <c r="I586" s="40" t="n">
        <v>75.12</v>
      </c>
      <c r="J586" s="40" t="n">
        <v>0</v>
      </c>
      <c r="K586" s="6">
        <f>I586-J586</f>
        <v/>
      </c>
      <c r="L586" s="6">
        <f>IF(H586="DISTRATO",0,I586)</f>
        <v/>
      </c>
    </row>
    <row r="587">
      <c r="A587" s="38" t="inlineStr">
        <is>
          <t>Conta corrente MFRUGIS08.XLS</t>
        </is>
      </c>
      <c r="B587" s="39" t="n">
        <v>39720</v>
      </c>
      <c r="C587" s="4" t="n">
        <v>39692</v>
      </c>
      <c r="D587" s="5">
        <f>YEAR(C587)</f>
        <v/>
      </c>
      <c r="E587" s="5">
        <f>MONTH(C587)</f>
        <v/>
      </c>
      <c r="F587" s="38" t="inlineStr">
        <is>
          <t>NFV  :TENDA ATACADO LTDA</t>
        </is>
      </c>
      <c r="G587" s="38" t="inlineStr">
        <is>
          <t>MARIO FRUGIS (01.04.01)</t>
        </is>
      </c>
      <c r="H587" s="38" t="inlineStr">
        <is>
          <t>NFV</t>
        </is>
      </c>
      <c r="I587" s="40" t="n">
        <v>56.11</v>
      </c>
      <c r="J587" s="40" t="n">
        <v>0</v>
      </c>
      <c r="K587" s="6">
        <f>I587-J587</f>
        <v/>
      </c>
      <c r="L587" s="6">
        <f>IF(H587="DISTRATO",0,I587)</f>
        <v/>
      </c>
    </row>
    <row r="588">
      <c r="A588" s="38" t="inlineStr">
        <is>
          <t>Conta corrente MFRUGIS08.XLS</t>
        </is>
      </c>
      <c r="B588" s="39" t="n">
        <v>39720</v>
      </c>
      <c r="C588" s="4" t="n">
        <v>39692</v>
      </c>
      <c r="D588" s="5">
        <f>YEAR(C588)</f>
        <v/>
      </c>
      <c r="E588" s="5">
        <f>MONTH(C588)</f>
        <v/>
      </c>
      <c r="F588" s="38" t="inlineStr">
        <is>
          <t>NFV  :TENDA ATACADO LTDA</t>
        </is>
      </c>
      <c r="G588" s="38" t="inlineStr">
        <is>
          <t>MARIO FRUGIS (01.04.01)</t>
        </is>
      </c>
      <c r="H588" s="38" t="inlineStr">
        <is>
          <t>NFV</t>
        </is>
      </c>
      <c r="I588" s="40" t="n">
        <v>8.640000000000001</v>
      </c>
      <c r="J588" s="40" t="n">
        <v>0</v>
      </c>
      <c r="K588" s="6">
        <f>I588-J588</f>
        <v/>
      </c>
      <c r="L588" s="6">
        <f>IF(H588="DISTRATO",0,I588)</f>
        <v/>
      </c>
    </row>
    <row r="589">
      <c r="A589" s="38" t="inlineStr">
        <is>
          <t>Conta corrente MFRUGIS08.XLS</t>
        </is>
      </c>
      <c r="B589" s="39" t="n">
        <v>39720</v>
      </c>
      <c r="C589" s="4" t="n">
        <v>39692</v>
      </c>
      <c r="D589" s="5">
        <f>YEAR(C589)</f>
        <v/>
      </c>
      <c r="E589" s="5">
        <f>MONTH(C589)</f>
        <v/>
      </c>
      <c r="F589" s="38" t="inlineStr">
        <is>
          <t>NFV  :TENDA ATACADO LTDA</t>
        </is>
      </c>
      <c r="G589" s="38" t="inlineStr">
        <is>
          <t>MARIO FRUGIS (01.04.01)</t>
        </is>
      </c>
      <c r="H589" s="38" t="inlineStr">
        <is>
          <t>NFV</t>
        </is>
      </c>
      <c r="I589" s="40" t="n">
        <v>59.47</v>
      </c>
      <c r="J589" s="40" t="n">
        <v>0</v>
      </c>
      <c r="K589" s="6">
        <f>I589-J589</f>
        <v/>
      </c>
      <c r="L589" s="6">
        <f>IF(H589="DISTRATO",0,I589)</f>
        <v/>
      </c>
    </row>
    <row r="590">
      <c r="A590" s="38" t="inlineStr">
        <is>
          <t>Conta corrente MFRUGIS08.XLS</t>
        </is>
      </c>
      <c r="B590" s="39" t="n">
        <v>39720</v>
      </c>
      <c r="C590" s="4" t="n">
        <v>39692</v>
      </c>
      <c r="D590" s="5">
        <f>YEAR(C590)</f>
        <v/>
      </c>
      <c r="E590" s="5">
        <f>MONTH(C590)</f>
        <v/>
      </c>
      <c r="F590" s="38" t="inlineStr">
        <is>
          <t>NFV  :TENDA ATACADO LTDA</t>
        </is>
      </c>
      <c r="G590" s="38" t="inlineStr">
        <is>
          <t>MARIO FRUGIS (01.04.01)</t>
        </is>
      </c>
      <c r="H590" s="38" t="inlineStr">
        <is>
          <t>NFV</t>
        </is>
      </c>
      <c r="I590" s="40" t="n">
        <v>8.640000000000001</v>
      </c>
      <c r="J590" s="40" t="n">
        <v>0</v>
      </c>
      <c r="K590" s="6">
        <f>I590-J590</f>
        <v/>
      </c>
      <c r="L590" s="6">
        <f>IF(H590="DISTRATO",0,I590)</f>
        <v/>
      </c>
    </row>
    <row r="591">
      <c r="A591" s="38" t="inlineStr">
        <is>
          <t>Conta corrente MFRUGIS08.XLS</t>
        </is>
      </c>
      <c r="B591" s="39" t="n">
        <v>39720</v>
      </c>
      <c r="C591" s="4" t="n">
        <v>39692</v>
      </c>
      <c r="D591" s="5">
        <f>YEAR(C591)</f>
        <v/>
      </c>
      <c r="E591" s="5">
        <f>MONTH(C591)</f>
        <v/>
      </c>
      <c r="F591" s="38" t="inlineStr">
        <is>
          <t>NFV  :TENDA ATACADO LTDA</t>
        </is>
      </c>
      <c r="G591" s="38" t="inlineStr">
        <is>
          <t>MARIO FRUGIS (01.04.01)</t>
        </is>
      </c>
      <c r="H591" s="38" t="inlineStr">
        <is>
          <t>NFV</t>
        </is>
      </c>
      <c r="I591" s="40" t="n">
        <v>13.29</v>
      </c>
      <c r="J591" s="40" t="n">
        <v>0</v>
      </c>
      <c r="K591" s="6">
        <f>I591-J591</f>
        <v/>
      </c>
      <c r="L591" s="6">
        <f>IF(H591="DISTRATO",0,I591)</f>
        <v/>
      </c>
    </row>
    <row r="592">
      <c r="A592" s="38" t="inlineStr">
        <is>
          <t>Conta corrente MFRUGIS08.XLS</t>
        </is>
      </c>
      <c r="B592" s="39" t="n">
        <v>39720</v>
      </c>
      <c r="C592" s="4" t="n">
        <v>39692</v>
      </c>
      <c r="D592" s="5">
        <f>YEAR(C592)</f>
        <v/>
      </c>
      <c r="E592" s="5">
        <f>MONTH(C592)</f>
        <v/>
      </c>
      <c r="F592" s="38" t="inlineStr">
        <is>
          <t>NFV  :TENDA ATACADO LTDA</t>
        </is>
      </c>
      <c r="G592" s="38" t="inlineStr">
        <is>
          <t>MARIO FRUGIS (01.04.01)</t>
        </is>
      </c>
      <c r="H592" s="38" t="inlineStr">
        <is>
          <t>NFV</t>
        </is>
      </c>
      <c r="I592" s="40" t="n">
        <v>16.35</v>
      </c>
      <c r="J592" s="40" t="n">
        <v>0</v>
      </c>
      <c r="K592" s="6">
        <f>I592-J592</f>
        <v/>
      </c>
      <c r="L592" s="6">
        <f>IF(H592="DISTRATO",0,I592)</f>
        <v/>
      </c>
    </row>
    <row r="593">
      <c r="A593" s="38" t="inlineStr">
        <is>
          <t>Conta corrente MFRUGIS08.XLS</t>
        </is>
      </c>
      <c r="B593" s="39" t="n">
        <v>39720</v>
      </c>
      <c r="C593" s="4" t="n">
        <v>39692</v>
      </c>
      <c r="D593" s="5">
        <f>YEAR(C593)</f>
        <v/>
      </c>
      <c r="E593" s="5">
        <f>MONTH(C593)</f>
        <v/>
      </c>
      <c r="F593" s="38" t="inlineStr">
        <is>
          <t>NFV  :TENDA ATACADO LTDA</t>
        </is>
      </c>
      <c r="G593" s="38" t="inlineStr">
        <is>
          <t>MARIO FRUGIS (01.04.01)</t>
        </is>
      </c>
      <c r="H593" s="38" t="inlineStr">
        <is>
          <t>NFV</t>
        </is>
      </c>
      <c r="I593" s="40" t="n">
        <v>34.04</v>
      </c>
      <c r="J593" s="40" t="n">
        <v>0</v>
      </c>
      <c r="K593" s="6">
        <f>I593-J593</f>
        <v/>
      </c>
      <c r="L593" s="6">
        <f>IF(H593="DISTRATO",0,I593)</f>
        <v/>
      </c>
    </row>
    <row r="594">
      <c r="A594" s="38" t="inlineStr">
        <is>
          <t>Conta corrente MFRUGIS08.XLS</t>
        </is>
      </c>
      <c r="B594" s="39" t="n">
        <v>39721</v>
      </c>
      <c r="C594" s="4" t="n">
        <v>39692</v>
      </c>
      <c r="D594" s="5">
        <f>YEAR(C594)</f>
        <v/>
      </c>
      <c r="E594" s="5">
        <f>MONTH(C594)</f>
        <v/>
      </c>
      <c r="F594" s="38" t="inlineStr">
        <is>
          <t>BONIF:TENDA ATACADO LTDA</t>
        </is>
      </c>
      <c r="G594" s="38" t="inlineStr">
        <is>
          <t>MARIO FRUGIS (01.04.01)</t>
        </is>
      </c>
      <c r="H594" s="38" t="inlineStr">
        <is>
          <t>BONIFICACAO</t>
        </is>
      </c>
      <c r="I594" s="40" t="n">
        <v>-24.56</v>
      </c>
      <c r="J594" s="40" t="n">
        <v>0</v>
      </c>
      <c r="K594" s="6">
        <f>I594-J594</f>
        <v/>
      </c>
      <c r="L594" s="6">
        <f>IF(H594="DISTRATO",0,I594)</f>
        <v/>
      </c>
    </row>
    <row r="595">
      <c r="A595" s="38" t="inlineStr">
        <is>
          <t>Conta corrente MFRUGIS08.XLS</t>
        </is>
      </c>
      <c r="B595" s="39" t="n">
        <v>39721</v>
      </c>
      <c r="C595" s="4" t="n">
        <v>39692</v>
      </c>
      <c r="D595" s="5">
        <f>YEAR(C595)</f>
        <v/>
      </c>
      <c r="E595" s="5">
        <f>MONTH(C595)</f>
        <v/>
      </c>
      <c r="F595" s="38" t="inlineStr">
        <is>
          <t>BONIF:TENDA ATACADO LTDA</t>
        </is>
      </c>
      <c r="G595" s="38" t="inlineStr">
        <is>
          <t>MARIO FRUGIS (01.04.01)</t>
        </is>
      </c>
      <c r="H595" s="38" t="inlineStr">
        <is>
          <t>BONIFICACAO</t>
        </is>
      </c>
      <c r="I595" s="40" t="n">
        <v>-24.56</v>
      </c>
      <c r="J595" s="40" t="n">
        <v>0</v>
      </c>
      <c r="K595" s="6">
        <f>I595-J595</f>
        <v/>
      </c>
      <c r="L595" s="6">
        <f>IF(H595="DISTRATO",0,I595)</f>
        <v/>
      </c>
    </row>
    <row r="596">
      <c r="A596" s="38" t="inlineStr">
        <is>
          <t>Conta corrente MFRUGIS08.XLS</t>
        </is>
      </c>
      <c r="B596" s="39" t="n">
        <v>39721</v>
      </c>
      <c r="C596" s="4" t="n">
        <v>39692</v>
      </c>
      <c r="D596" s="5">
        <f>YEAR(C596)</f>
        <v/>
      </c>
      <c r="E596" s="5">
        <f>MONTH(C596)</f>
        <v/>
      </c>
      <c r="F596" s="38" t="inlineStr">
        <is>
          <t>BONIF:TENDA ATACADO LTDA</t>
        </is>
      </c>
      <c r="G596" s="38" t="inlineStr">
        <is>
          <t>MARIO FRUGIS (01.04.01)</t>
        </is>
      </c>
      <c r="H596" s="38" t="inlineStr">
        <is>
          <t>BONIFICACAO</t>
        </is>
      </c>
      <c r="I596" s="40" t="n">
        <v>-24.56</v>
      </c>
      <c r="J596" s="40" t="n">
        <v>0</v>
      </c>
      <c r="K596" s="6">
        <f>I596-J596</f>
        <v/>
      </c>
      <c r="L596" s="6">
        <f>IF(H596="DISTRATO",0,I596)</f>
        <v/>
      </c>
    </row>
    <row r="597">
      <c r="A597" s="38" t="inlineStr">
        <is>
          <t>Conta corrente MFRUGIS08.XLS</t>
        </is>
      </c>
      <c r="B597" s="39" t="n">
        <v>39721</v>
      </c>
      <c r="C597" s="4" t="n">
        <v>39692</v>
      </c>
      <c r="D597" s="5">
        <f>YEAR(C597)</f>
        <v/>
      </c>
      <c r="E597" s="5">
        <f>MONTH(C597)</f>
        <v/>
      </c>
      <c r="F597" s="38" t="inlineStr">
        <is>
          <t>DIFERENCA                             1. (ajuste de % do Tenda)</t>
        </is>
      </c>
      <c r="G597" s="38" t="inlineStr">
        <is>
          <t>MARIO FRUGIS (01.04.01)</t>
        </is>
      </c>
      <c r="H597" s="38" t="inlineStr">
        <is>
          <t>AJUSTE % TENDA</t>
        </is>
      </c>
      <c r="I597" s="40" t="n">
        <v>1310.62</v>
      </c>
      <c r="J597" s="40" t="n">
        <v>0</v>
      </c>
      <c r="K597" s="6">
        <f>I597-J597</f>
        <v/>
      </c>
      <c r="L597" s="6">
        <f>IF(H597="DISTRATO",0,I597)</f>
        <v/>
      </c>
    </row>
    <row r="598">
      <c r="A598" s="38" t="inlineStr">
        <is>
          <t>Conta corrente MFRUGIS08.XLS</t>
        </is>
      </c>
      <c r="B598" s="39" t="n">
        <v>39721</v>
      </c>
      <c r="C598" s="4" t="n">
        <v>39692</v>
      </c>
      <c r="D598" s="5">
        <f>YEAR(C598)</f>
        <v/>
      </c>
      <c r="E598" s="5">
        <f>MONTH(C598)</f>
        <v/>
      </c>
      <c r="F598" s="38" t="inlineStr">
        <is>
          <t>NFV  :TENDA ATACADO LTDA</t>
        </is>
      </c>
      <c r="G598" s="38" t="inlineStr">
        <is>
          <t>MARIO FRUGIS (01.04.01)</t>
        </is>
      </c>
      <c r="H598" s="38" t="inlineStr">
        <is>
          <t>NFV</t>
        </is>
      </c>
      <c r="I598" s="40" t="n">
        <v>88.34</v>
      </c>
      <c r="J598" s="40" t="n">
        <v>0</v>
      </c>
      <c r="K598" s="6">
        <f>I598-J598</f>
        <v/>
      </c>
      <c r="L598" s="6">
        <f>IF(H598="DISTRATO",0,I598)</f>
        <v/>
      </c>
    </row>
    <row r="599">
      <c r="A599" s="38" t="inlineStr">
        <is>
          <t>Conta corrente MFRUGIS08.XLS</t>
        </is>
      </c>
      <c r="B599" s="39" t="n">
        <v>39721</v>
      </c>
      <c r="C599" s="4" t="n">
        <v>39692</v>
      </c>
      <c r="D599" s="5">
        <f>YEAR(C599)</f>
        <v/>
      </c>
      <c r="E599" s="5">
        <f>MONTH(C599)</f>
        <v/>
      </c>
      <c r="F599" s="38" t="inlineStr">
        <is>
          <t>NFV  :TENDA ATACADO LTDA</t>
        </is>
      </c>
      <c r="G599" s="38" t="inlineStr">
        <is>
          <t>MARIO FRUGIS (01.04.01)</t>
        </is>
      </c>
      <c r="H599" s="38" t="inlineStr">
        <is>
          <t>NFV</t>
        </is>
      </c>
      <c r="I599" s="40" t="n">
        <v>165.72</v>
      </c>
      <c r="J599" s="40" t="n">
        <v>0</v>
      </c>
      <c r="K599" s="6">
        <f>I599-J599</f>
        <v/>
      </c>
      <c r="L599" s="6">
        <f>IF(H599="DISTRATO",0,I599)</f>
        <v/>
      </c>
    </row>
    <row r="600">
      <c r="A600" s="38" t="inlineStr">
        <is>
          <t>Conta corrente MFRUGIS08.XLS</t>
        </is>
      </c>
      <c r="B600" s="39" t="n">
        <v>39721</v>
      </c>
      <c r="C600" s="4" t="n">
        <v>39692</v>
      </c>
      <c r="D600" s="5">
        <f>YEAR(C600)</f>
        <v/>
      </c>
      <c r="E600" s="5">
        <f>MONTH(C600)</f>
        <v/>
      </c>
      <c r="F600" s="38" t="inlineStr">
        <is>
          <t>NFV  :TENDA ATACADO LTDA</t>
        </is>
      </c>
      <c r="G600" s="38" t="inlineStr">
        <is>
          <t>MARIO FRUGIS (01.04.01)</t>
        </is>
      </c>
      <c r="H600" s="38" t="inlineStr">
        <is>
          <t>NFV</t>
        </is>
      </c>
      <c r="I600" s="40" t="n">
        <v>131.84</v>
      </c>
      <c r="J600" s="40" t="n">
        <v>0</v>
      </c>
      <c r="K600" s="6">
        <f>I600-J600</f>
        <v/>
      </c>
      <c r="L600" s="6">
        <f>IF(H600="DISTRATO",0,I600)</f>
        <v/>
      </c>
    </row>
    <row r="601">
      <c r="A601" s="38" t="inlineStr">
        <is>
          <t>Conta corrente MFRUGIS08.XLS</t>
        </is>
      </c>
      <c r="B601" s="39" t="n">
        <v>39737</v>
      </c>
      <c r="C601" s="4" t="n">
        <v>39722</v>
      </c>
      <c r="D601" s="5">
        <f>YEAR(C601)</f>
        <v/>
      </c>
      <c r="E601" s="5">
        <f>MONTH(C601)</f>
        <v/>
      </c>
      <c r="F601" s="38" t="inlineStr">
        <is>
          <t>NFV  :TENDA ATACADO LTDA</t>
        </is>
      </c>
      <c r="G601" s="38" t="inlineStr">
        <is>
          <t>MARIO FRUGIS (01.04.01)</t>
        </is>
      </c>
      <c r="H601" s="38" t="inlineStr">
        <is>
          <t>NFV</t>
        </is>
      </c>
      <c r="I601" s="40" t="n">
        <v>97.58</v>
      </c>
      <c r="J601" s="40" t="n">
        <v>0</v>
      </c>
      <c r="K601" s="6">
        <f>I601-J601</f>
        <v/>
      </c>
      <c r="L601" s="6">
        <f>IF(H601="DISTRATO",0,I601)</f>
        <v/>
      </c>
    </row>
    <row r="602">
      <c r="A602" s="38" t="inlineStr">
        <is>
          <t>Conta corrente MFRUGIS08.XLS</t>
        </is>
      </c>
      <c r="B602" s="39" t="n">
        <v>39737</v>
      </c>
      <c r="C602" s="4" t="n">
        <v>39722</v>
      </c>
      <c r="D602" s="5">
        <f>YEAR(C602)</f>
        <v/>
      </c>
      <c r="E602" s="5">
        <f>MONTH(C602)</f>
        <v/>
      </c>
      <c r="F602" s="38" t="inlineStr">
        <is>
          <t>NFV  :TENDA ATACADO LTDA</t>
        </is>
      </c>
      <c r="G602" s="38" t="inlineStr">
        <is>
          <t>MARIO FRUGIS (01.04.01)</t>
        </is>
      </c>
      <c r="H602" s="38" t="inlineStr">
        <is>
          <t>NFV</t>
        </is>
      </c>
      <c r="I602" s="40" t="n">
        <v>70.14</v>
      </c>
      <c r="J602" s="40" t="n">
        <v>0</v>
      </c>
      <c r="K602" s="6">
        <f>I602-J602</f>
        <v/>
      </c>
      <c r="L602" s="6">
        <f>IF(H602="DISTRATO",0,I602)</f>
        <v/>
      </c>
    </row>
    <row r="603">
      <c r="A603" s="38" t="inlineStr">
        <is>
          <t>Conta corrente MFRUGIS08.XLS</t>
        </is>
      </c>
      <c r="B603" s="39" t="n">
        <v>39737</v>
      </c>
      <c r="C603" s="4" t="n">
        <v>39722</v>
      </c>
      <c r="D603" s="5">
        <f>YEAR(C603)</f>
        <v/>
      </c>
      <c r="E603" s="5">
        <f>MONTH(C603)</f>
        <v/>
      </c>
      <c r="F603" s="38" t="inlineStr">
        <is>
          <t>NFV  :TENDA ATACADO LTDA</t>
        </is>
      </c>
      <c r="G603" s="38" t="inlineStr">
        <is>
          <t>MARIO FRUGIS (01.04.01)</t>
        </is>
      </c>
      <c r="H603" s="38" t="inlineStr">
        <is>
          <t>NFV</t>
        </is>
      </c>
      <c r="I603" s="40" t="n">
        <v>82.3</v>
      </c>
      <c r="J603" s="40" t="n">
        <v>0</v>
      </c>
      <c r="K603" s="6">
        <f>I603-J603</f>
        <v/>
      </c>
      <c r="L603" s="6">
        <f>IF(H603="DISTRATO",0,I603)</f>
        <v/>
      </c>
    </row>
    <row r="604">
      <c r="A604" s="38" t="inlineStr">
        <is>
          <t>Conta corrente MFRUGIS08.XLS</t>
        </is>
      </c>
      <c r="B604" s="39" t="n">
        <v>39737</v>
      </c>
      <c r="C604" s="4" t="n">
        <v>39722</v>
      </c>
      <c r="D604" s="5">
        <f>YEAR(C604)</f>
        <v/>
      </c>
      <c r="E604" s="5">
        <f>MONTH(C604)</f>
        <v/>
      </c>
      <c r="F604" s="38" t="inlineStr">
        <is>
          <t>NFV  :TENDA ATACADO LTDA</t>
        </is>
      </c>
      <c r="G604" s="38" t="inlineStr">
        <is>
          <t>MARIO FRUGIS (01.04.01)</t>
        </is>
      </c>
      <c r="H604" s="38" t="inlineStr">
        <is>
          <t>NFV</t>
        </is>
      </c>
      <c r="I604" s="40" t="n">
        <v>81.22</v>
      </c>
      <c r="J604" s="40" t="n">
        <v>0</v>
      </c>
      <c r="K604" s="6">
        <f>I604-J604</f>
        <v/>
      </c>
      <c r="L604" s="6">
        <f>IF(H604="DISTRATO",0,I604)</f>
        <v/>
      </c>
    </row>
    <row r="605">
      <c r="A605" s="38" t="inlineStr">
        <is>
          <t>Conta corrente MFRUGIS08.XLS</t>
        </is>
      </c>
      <c r="B605" s="39" t="n">
        <v>39737</v>
      </c>
      <c r="C605" s="4" t="n">
        <v>39722</v>
      </c>
      <c r="D605" s="5">
        <f>YEAR(C605)</f>
        <v/>
      </c>
      <c r="E605" s="5">
        <f>MONTH(C605)</f>
        <v/>
      </c>
      <c r="F605" s="38" t="inlineStr">
        <is>
          <t>NFV  :TENDA ATACADO LTDA</t>
        </is>
      </c>
      <c r="G605" s="38" t="inlineStr">
        <is>
          <t>MARIO FRUGIS (01.04.01)</t>
        </is>
      </c>
      <c r="H605" s="38" t="inlineStr">
        <is>
          <t>NFV</t>
        </is>
      </c>
      <c r="I605" s="40" t="n">
        <v>100.37</v>
      </c>
      <c r="J605" s="40" t="n">
        <v>0</v>
      </c>
      <c r="K605" s="6">
        <f>I605-J605</f>
        <v/>
      </c>
      <c r="L605" s="6">
        <f>IF(H605="DISTRATO",0,I605)</f>
        <v/>
      </c>
    </row>
    <row r="606">
      <c r="A606" s="38" t="inlineStr">
        <is>
          <t>Conta corrente MFRUGIS08.XLS</t>
        </is>
      </c>
      <c r="B606" s="39" t="n">
        <v>39737</v>
      </c>
      <c r="C606" s="4" t="n">
        <v>39722</v>
      </c>
      <c r="D606" s="5">
        <f>YEAR(C606)</f>
        <v/>
      </c>
      <c r="E606" s="5">
        <f>MONTH(C606)</f>
        <v/>
      </c>
      <c r="F606" s="38" t="inlineStr">
        <is>
          <t>NFV  :TENDA ATACADO LTDA</t>
        </is>
      </c>
      <c r="G606" s="38" t="inlineStr">
        <is>
          <t>MARIO FRUGIS (01.04.01)</t>
        </is>
      </c>
      <c r="H606" s="38" t="inlineStr">
        <is>
          <t>NFV</t>
        </is>
      </c>
      <c r="I606" s="40" t="n">
        <v>44.91</v>
      </c>
      <c r="J606" s="40" t="n">
        <v>0</v>
      </c>
      <c r="K606" s="6">
        <f>I606-J606</f>
        <v/>
      </c>
      <c r="L606" s="6">
        <f>IF(H606="DISTRATO",0,I606)</f>
        <v/>
      </c>
    </row>
    <row r="607">
      <c r="A607" s="38" t="inlineStr">
        <is>
          <t>Conta corrente MFRUGIS08.XLS</t>
        </is>
      </c>
      <c r="B607" s="39" t="n">
        <v>39737</v>
      </c>
      <c r="C607" s="4" t="n">
        <v>39722</v>
      </c>
      <c r="D607" s="5">
        <f>YEAR(C607)</f>
        <v/>
      </c>
      <c r="E607" s="5">
        <f>MONTH(C607)</f>
        <v/>
      </c>
      <c r="F607" s="38" t="inlineStr">
        <is>
          <t>NFV  :TENDA ATACADO LTDA</t>
        </is>
      </c>
      <c r="G607" s="38" t="inlineStr">
        <is>
          <t>MARIO FRUGIS (01.04.01)</t>
        </is>
      </c>
      <c r="H607" s="38" t="inlineStr">
        <is>
          <t>NFV</t>
        </is>
      </c>
      <c r="I607" s="40" t="n">
        <v>30.7</v>
      </c>
      <c r="J607" s="40" t="n">
        <v>0</v>
      </c>
      <c r="K607" s="6">
        <f>I607-J607</f>
        <v/>
      </c>
      <c r="L607" s="6">
        <f>IF(H607="DISTRATO",0,I607)</f>
        <v/>
      </c>
    </row>
    <row r="608">
      <c r="A608" s="38" t="inlineStr">
        <is>
          <t>Conta corrente MFRUGIS08.XLS</t>
        </is>
      </c>
      <c r="B608" s="39" t="n">
        <v>39737</v>
      </c>
      <c r="C608" s="4" t="n">
        <v>39722</v>
      </c>
      <c r="D608" s="5">
        <f>YEAR(C608)</f>
        <v/>
      </c>
      <c r="E608" s="5">
        <f>MONTH(C608)</f>
        <v/>
      </c>
      <c r="F608" s="38" t="inlineStr">
        <is>
          <t>NFV  :TENDA ATACADO LTDA</t>
        </is>
      </c>
      <c r="G608" s="38" t="inlineStr">
        <is>
          <t>MARIO FRUGIS (01.04.01)</t>
        </is>
      </c>
      <c r="H608" s="38" t="inlineStr">
        <is>
          <t>NFV</t>
        </is>
      </c>
      <c r="I608" s="40" t="n">
        <v>56.01</v>
      </c>
      <c r="J608" s="40" t="n">
        <v>0</v>
      </c>
      <c r="K608" s="6">
        <f>I608-J608</f>
        <v/>
      </c>
      <c r="L608" s="6">
        <f>IF(H608="DISTRATO",0,I608)</f>
        <v/>
      </c>
    </row>
    <row r="609">
      <c r="A609" s="38" t="inlineStr">
        <is>
          <t>Conta corrente MFRUGIS08.XLS</t>
        </is>
      </c>
      <c r="B609" s="39" t="n">
        <v>39737</v>
      </c>
      <c r="C609" s="4" t="n">
        <v>39722</v>
      </c>
      <c r="D609" s="5">
        <f>YEAR(C609)</f>
        <v/>
      </c>
      <c r="E609" s="5">
        <f>MONTH(C609)</f>
        <v/>
      </c>
      <c r="F609" s="38" t="inlineStr">
        <is>
          <t>NFV  :TENDA ATACADO LTDA</t>
        </is>
      </c>
      <c r="G609" s="38" t="inlineStr">
        <is>
          <t>MARIO FRUGIS (01.04.01)</t>
        </is>
      </c>
      <c r="H609" s="38" t="inlineStr">
        <is>
          <t>NFV</t>
        </is>
      </c>
      <c r="I609" s="40" t="n">
        <v>60.46</v>
      </c>
      <c r="J609" s="40" t="n">
        <v>0</v>
      </c>
      <c r="K609" s="6">
        <f>I609-J609</f>
        <v/>
      </c>
      <c r="L609" s="6">
        <f>IF(H609="DISTRATO",0,I609)</f>
        <v/>
      </c>
    </row>
    <row r="610">
      <c r="A610" s="38" t="inlineStr">
        <is>
          <t>Conta corrente MFRUGIS08.XLS</t>
        </is>
      </c>
      <c r="B610" s="39" t="n">
        <v>39738</v>
      </c>
      <c r="C610" s="4" t="n">
        <v>39722</v>
      </c>
      <c r="D610" s="5">
        <f>YEAR(C610)</f>
        <v/>
      </c>
      <c r="E610" s="5">
        <f>MONTH(C610)</f>
        <v/>
      </c>
      <c r="F610" s="38" t="inlineStr">
        <is>
          <t>NFV  :TENDA ATACADO LTDA</t>
        </is>
      </c>
      <c r="G610" s="38" t="inlineStr">
        <is>
          <t>MARIO FRUGIS (01.04.01)</t>
        </is>
      </c>
      <c r="H610" s="38" t="inlineStr">
        <is>
          <t>NFV</t>
        </is>
      </c>
      <c r="I610" s="40" t="n">
        <v>78.16</v>
      </c>
      <c r="J610" s="40" t="n">
        <v>0</v>
      </c>
      <c r="K610" s="6">
        <f>I610-J610</f>
        <v/>
      </c>
      <c r="L610" s="6">
        <f>IF(H610="DISTRATO",0,I610)</f>
        <v/>
      </c>
    </row>
    <row r="611">
      <c r="A611" s="38" t="inlineStr">
        <is>
          <t>Conta corrente MFRUGIS08.XLS</t>
        </is>
      </c>
      <c r="B611" s="39" t="n">
        <v>39738</v>
      </c>
      <c r="C611" s="4" t="n">
        <v>39722</v>
      </c>
      <c r="D611" s="5">
        <f>YEAR(C611)</f>
        <v/>
      </c>
      <c r="E611" s="5">
        <f>MONTH(C611)</f>
        <v/>
      </c>
      <c r="F611" s="38" t="inlineStr">
        <is>
          <t>NFV  :TENDA ATACADO LTDA</t>
        </is>
      </c>
      <c r="G611" s="38" t="inlineStr">
        <is>
          <t>MARIO FRUGIS (01.04.01)</t>
        </is>
      </c>
      <c r="H611" s="38" t="inlineStr">
        <is>
          <t>NFV</t>
        </is>
      </c>
      <c r="I611" s="40" t="n">
        <v>61.93</v>
      </c>
      <c r="J611" s="40" t="n">
        <v>0</v>
      </c>
      <c r="K611" s="6">
        <f>I611-J611</f>
        <v/>
      </c>
      <c r="L611" s="6">
        <f>IF(H611="DISTRATO",0,I611)</f>
        <v/>
      </c>
    </row>
    <row r="612">
      <c r="A612" s="38" t="inlineStr">
        <is>
          <t>Conta corrente MFRUGIS08.XLS</t>
        </is>
      </c>
      <c r="B612" s="39" t="n">
        <v>39748</v>
      </c>
      <c r="C612" s="4" t="n">
        <v>39722</v>
      </c>
      <c r="D612" s="5">
        <f>YEAR(C612)</f>
        <v/>
      </c>
      <c r="E612" s="5">
        <f>MONTH(C612)</f>
        <v/>
      </c>
      <c r="F612" s="38" t="inlineStr">
        <is>
          <t>NFV  :TENDA ATACADO LTDA</t>
        </is>
      </c>
      <c r="G612" s="38" t="inlineStr">
        <is>
          <t>MARIO FRUGIS (01.04.01)</t>
        </is>
      </c>
      <c r="H612" s="38" t="inlineStr">
        <is>
          <t>NFV</t>
        </is>
      </c>
      <c r="I612" s="40" t="n">
        <v>64.09</v>
      </c>
      <c r="J612" s="40" t="n">
        <v>0</v>
      </c>
      <c r="K612" s="6">
        <f>I612-J612</f>
        <v/>
      </c>
      <c r="L612" s="6">
        <f>IF(H612="DISTRATO",0,I612)</f>
        <v/>
      </c>
    </row>
    <row r="613">
      <c r="A613" s="38" t="inlineStr">
        <is>
          <t>Conta corrente MFRUGIS08.XLS</t>
        </is>
      </c>
      <c r="B613" s="39" t="n">
        <v>39748</v>
      </c>
      <c r="C613" s="4" t="n">
        <v>39722</v>
      </c>
      <c r="D613" s="5">
        <f>YEAR(C613)</f>
        <v/>
      </c>
      <c r="E613" s="5">
        <f>MONTH(C613)</f>
        <v/>
      </c>
      <c r="F613" s="38" t="inlineStr">
        <is>
          <t>NFV  :TENDA ATACADO LTDA</t>
        </is>
      </c>
      <c r="G613" s="38" t="inlineStr">
        <is>
          <t>MARIO FRUGIS (01.04.01)</t>
        </is>
      </c>
      <c r="H613" s="38" t="inlineStr">
        <is>
          <t>NFV</t>
        </is>
      </c>
      <c r="I613" s="40" t="n">
        <v>41.05</v>
      </c>
      <c r="J613" s="40" t="n">
        <v>0</v>
      </c>
      <c r="K613" s="6">
        <f>I613-J613</f>
        <v/>
      </c>
      <c r="L613" s="6">
        <f>IF(H613="DISTRATO",0,I613)</f>
        <v/>
      </c>
    </row>
    <row r="614">
      <c r="A614" s="38" t="inlineStr">
        <is>
          <t>Conta corrente MFRUGIS08.XLS</t>
        </is>
      </c>
      <c r="B614" s="39" t="n">
        <v>39748</v>
      </c>
      <c r="C614" s="4" t="n">
        <v>39722</v>
      </c>
      <c r="D614" s="5">
        <f>YEAR(C614)</f>
        <v/>
      </c>
      <c r="E614" s="5">
        <f>MONTH(C614)</f>
        <v/>
      </c>
      <c r="F614" s="38" t="inlineStr">
        <is>
          <t>NFV  :TENDA ATACADO LTDA</t>
        </is>
      </c>
      <c r="G614" s="38" t="inlineStr">
        <is>
          <t>MARIO FRUGIS (01.04.01)</t>
        </is>
      </c>
      <c r="H614" s="38" t="inlineStr">
        <is>
          <t>NFV</t>
        </is>
      </c>
      <c r="I614" s="40" t="n">
        <v>31.32</v>
      </c>
      <c r="J614" s="40" t="n">
        <v>0</v>
      </c>
      <c r="K614" s="6">
        <f>I614-J614</f>
        <v/>
      </c>
      <c r="L614" s="6">
        <f>IF(H614="DISTRATO",0,I614)</f>
        <v/>
      </c>
    </row>
    <row r="615">
      <c r="A615" s="38" t="inlineStr">
        <is>
          <t>Conta corrente MFRUGIS08.XLS</t>
        </is>
      </c>
      <c r="B615" s="39" t="n">
        <v>39748</v>
      </c>
      <c r="C615" s="4" t="n">
        <v>39722</v>
      </c>
      <c r="D615" s="5">
        <f>YEAR(C615)</f>
        <v/>
      </c>
      <c r="E615" s="5">
        <f>MONTH(C615)</f>
        <v/>
      </c>
      <c r="F615" s="38" t="inlineStr">
        <is>
          <t>NFV  :TENDA ATACADO LTDA</t>
        </is>
      </c>
      <c r="G615" s="38" t="inlineStr">
        <is>
          <t>MARIO FRUGIS (01.04.01)</t>
        </is>
      </c>
      <c r="H615" s="38" t="inlineStr">
        <is>
          <t>NFV</t>
        </is>
      </c>
      <c r="I615" s="40" t="n">
        <v>49.95</v>
      </c>
      <c r="J615" s="40" t="n">
        <v>0</v>
      </c>
      <c r="K615" s="6">
        <f>I615-J615</f>
        <v/>
      </c>
      <c r="L615" s="6">
        <f>IF(H615="DISTRATO",0,I615)</f>
        <v/>
      </c>
    </row>
    <row r="616">
      <c r="A616" s="38" t="inlineStr">
        <is>
          <t>Conta corrente MFRUGIS08.XLS</t>
        </is>
      </c>
      <c r="B616" s="39" t="n">
        <v>39748</v>
      </c>
      <c r="C616" s="4" t="n">
        <v>39722</v>
      </c>
      <c r="D616" s="5">
        <f>YEAR(C616)</f>
        <v/>
      </c>
      <c r="E616" s="5">
        <f>MONTH(C616)</f>
        <v/>
      </c>
      <c r="F616" s="38" t="inlineStr">
        <is>
          <t>NFV  :TENDA ATACADO LTDA</t>
        </is>
      </c>
      <c r="G616" s="38" t="inlineStr">
        <is>
          <t>MARIO FRUGIS (01.04.01)</t>
        </is>
      </c>
      <c r="H616" s="38" t="inlineStr">
        <is>
          <t>NFV</t>
        </is>
      </c>
      <c r="I616" s="40" t="n">
        <v>85.70999999999999</v>
      </c>
      <c r="J616" s="40" t="n">
        <v>0</v>
      </c>
      <c r="K616" s="6">
        <f>I616-J616</f>
        <v/>
      </c>
      <c r="L616" s="6">
        <f>IF(H616="DISTRATO",0,I616)</f>
        <v/>
      </c>
    </row>
    <row r="617">
      <c r="A617" s="38" t="inlineStr">
        <is>
          <t>Conta corrente MFRUGIS08.XLS</t>
        </is>
      </c>
      <c r="B617" s="39" t="n">
        <v>39748</v>
      </c>
      <c r="C617" s="4" t="n">
        <v>39722</v>
      </c>
      <c r="D617" s="5">
        <f>YEAR(C617)</f>
        <v/>
      </c>
      <c r="E617" s="5">
        <f>MONTH(C617)</f>
        <v/>
      </c>
      <c r="F617" s="38" t="inlineStr">
        <is>
          <t>NFV  :TENDA ATACADO LTDA</t>
        </is>
      </c>
      <c r="G617" s="38" t="inlineStr">
        <is>
          <t>MARIO FRUGIS (01.04.01)</t>
        </is>
      </c>
      <c r="H617" s="38" t="inlineStr">
        <is>
          <t>NFV</t>
        </is>
      </c>
      <c r="I617" s="40" t="n">
        <v>62.67</v>
      </c>
      <c r="J617" s="40" t="n">
        <v>0</v>
      </c>
      <c r="K617" s="6">
        <f>I617-J617</f>
        <v/>
      </c>
      <c r="L617" s="6">
        <f>IF(H617="DISTRATO",0,I617)</f>
        <v/>
      </c>
    </row>
    <row r="618">
      <c r="A618" s="38" t="inlineStr">
        <is>
          <t>Conta corrente MFRUGIS08.XLS</t>
        </is>
      </c>
      <c r="B618" s="39" t="n">
        <v>39748</v>
      </c>
      <c r="C618" s="4" t="n">
        <v>39722</v>
      </c>
      <c r="D618" s="5">
        <f>YEAR(C618)</f>
        <v/>
      </c>
      <c r="E618" s="5">
        <f>MONTH(C618)</f>
        <v/>
      </c>
      <c r="F618" s="38" t="inlineStr">
        <is>
          <t>NFV  :TENDA ATACADO LTDA</t>
        </is>
      </c>
      <c r="G618" s="38" t="inlineStr">
        <is>
          <t>MARIO FRUGIS (01.04.01)</t>
        </is>
      </c>
      <c r="H618" s="38" t="inlineStr">
        <is>
          <t>NFV</t>
        </is>
      </c>
      <c r="I618" s="40" t="n">
        <v>23.39</v>
      </c>
      <c r="J618" s="40" t="n">
        <v>0</v>
      </c>
      <c r="K618" s="6">
        <f>I618-J618</f>
        <v/>
      </c>
      <c r="L618" s="6">
        <f>IF(H618="DISTRATO",0,I618)</f>
        <v/>
      </c>
    </row>
    <row r="619">
      <c r="A619" s="38" t="inlineStr">
        <is>
          <t>Conta corrente MFRUGIS08.XLS</t>
        </is>
      </c>
      <c r="B619" s="39" t="n">
        <v>39748</v>
      </c>
      <c r="C619" s="4" t="n">
        <v>39722</v>
      </c>
      <c r="D619" s="5">
        <f>YEAR(C619)</f>
        <v/>
      </c>
      <c r="E619" s="5">
        <f>MONTH(C619)</f>
        <v/>
      </c>
      <c r="F619" s="38" t="inlineStr">
        <is>
          <t>NFV  :TENDA ATACADO LTDA</t>
        </is>
      </c>
      <c r="G619" s="38" t="inlineStr">
        <is>
          <t>MARIO FRUGIS (01.04.01)</t>
        </is>
      </c>
      <c r="H619" s="38" t="inlineStr">
        <is>
          <t>NFV</t>
        </is>
      </c>
      <c r="I619" s="40" t="n">
        <v>74.19</v>
      </c>
      <c r="J619" s="40" t="n">
        <v>0</v>
      </c>
      <c r="K619" s="6">
        <f>I619-J619</f>
        <v/>
      </c>
      <c r="L619" s="6">
        <f>IF(H619="DISTRATO",0,I619)</f>
        <v/>
      </c>
    </row>
    <row r="620">
      <c r="A620" s="38" t="inlineStr">
        <is>
          <t>Conta corrente MFRUGIS08.XLS</t>
        </is>
      </c>
      <c r="B620" s="39" t="n">
        <v>39748</v>
      </c>
      <c r="C620" s="4" t="n">
        <v>39722</v>
      </c>
      <c r="D620" s="5">
        <f>YEAR(C620)</f>
        <v/>
      </c>
      <c r="E620" s="5">
        <f>MONTH(C620)</f>
        <v/>
      </c>
      <c r="F620" s="38" t="inlineStr">
        <is>
          <t>NFV  :TENDA ATACADO LTDA</t>
        </is>
      </c>
      <c r="G620" s="38" t="inlineStr">
        <is>
          <t>MARIO FRUGIS (01.04.01)</t>
        </is>
      </c>
      <c r="H620" s="38" t="inlineStr">
        <is>
          <t>NFV</t>
        </is>
      </c>
      <c r="I620" s="40" t="n">
        <v>27.04</v>
      </c>
      <c r="J620" s="40" t="n">
        <v>0</v>
      </c>
      <c r="K620" s="6">
        <f>I620-J620</f>
        <v/>
      </c>
      <c r="L620" s="6">
        <f>IF(H620="DISTRATO",0,I620)</f>
        <v/>
      </c>
    </row>
    <row r="621">
      <c r="A621" s="38" t="inlineStr">
        <is>
          <t>Conta corrente MFRUGIS08.XLS</t>
        </is>
      </c>
      <c r="B621" s="39" t="n">
        <v>39749</v>
      </c>
      <c r="C621" s="4" t="n">
        <v>39722</v>
      </c>
      <c r="D621" s="5">
        <f>YEAR(C621)</f>
        <v/>
      </c>
      <c r="E621" s="5">
        <f>MONTH(C621)</f>
        <v/>
      </c>
      <c r="F621" s="38" t="inlineStr">
        <is>
          <t>NFV  :TENDA ATACADO LTDA</t>
        </is>
      </c>
      <c r="G621" s="38" t="inlineStr">
        <is>
          <t>MARIO FRUGIS (01.04.01)</t>
        </is>
      </c>
      <c r="H621" s="38" t="inlineStr">
        <is>
          <t>NFV</t>
        </is>
      </c>
      <c r="I621" s="40" t="n">
        <v>21.6</v>
      </c>
      <c r="J621" s="40" t="n">
        <v>0</v>
      </c>
      <c r="K621" s="6">
        <f>I621-J621</f>
        <v/>
      </c>
      <c r="L621" s="6">
        <f>IF(H621="DISTRATO",0,I621)</f>
        <v/>
      </c>
    </row>
    <row r="622">
      <c r="A622" s="38" t="inlineStr">
        <is>
          <t>Conta corrente MFRUGIS08.XLS</t>
        </is>
      </c>
      <c r="B622" s="39" t="n">
        <v>39751</v>
      </c>
      <c r="C622" s="4" t="n">
        <v>39722</v>
      </c>
      <c r="D622" s="5">
        <f>YEAR(C622)</f>
        <v/>
      </c>
      <c r="E622" s="5">
        <f>MONTH(C622)</f>
        <v/>
      </c>
      <c r="F622" s="38" t="inlineStr">
        <is>
          <t>NFV  :TENDA ATACADO LTDA</t>
        </is>
      </c>
      <c r="G622" s="38" t="inlineStr">
        <is>
          <t>MARIO FRUGIS (01.04.01)</t>
        </is>
      </c>
      <c r="H622" s="38" t="inlineStr">
        <is>
          <t>NFV</t>
        </is>
      </c>
      <c r="I622" s="40" t="n">
        <v>59.33</v>
      </c>
      <c r="J622" s="40" t="n">
        <v>0</v>
      </c>
      <c r="K622" s="6">
        <f>I622-J622</f>
        <v/>
      </c>
      <c r="L622" s="6">
        <f>IF(H622="DISTRATO",0,I622)</f>
        <v/>
      </c>
    </row>
    <row r="623">
      <c r="A623" s="38" t="inlineStr">
        <is>
          <t>Conta corrente MFRUGIS08.XLS</t>
        </is>
      </c>
      <c r="B623" s="39" t="n">
        <v>39751</v>
      </c>
      <c r="C623" s="4" t="n">
        <v>39722</v>
      </c>
      <c r="D623" s="5">
        <f>YEAR(C623)</f>
        <v/>
      </c>
      <c r="E623" s="5">
        <f>MONTH(C623)</f>
        <v/>
      </c>
      <c r="F623" s="38" t="inlineStr">
        <is>
          <t>NFV  :TENDA ATACADO LTDA</t>
        </is>
      </c>
      <c r="G623" s="38" t="inlineStr">
        <is>
          <t>MARIO FRUGIS (01.04.01)</t>
        </is>
      </c>
      <c r="H623" s="38" t="inlineStr">
        <is>
          <t>NFV</t>
        </is>
      </c>
      <c r="I623" s="40" t="n">
        <v>95.97</v>
      </c>
      <c r="J623" s="40" t="n">
        <v>0</v>
      </c>
      <c r="K623" s="6">
        <f>I623-J623</f>
        <v/>
      </c>
      <c r="L623" s="6">
        <f>IF(H623="DISTRATO",0,I623)</f>
        <v/>
      </c>
    </row>
    <row r="624">
      <c r="A624" s="38" t="inlineStr">
        <is>
          <t>Conta corrente MFRUGIS08.XLS</t>
        </is>
      </c>
      <c r="B624" s="39" t="n">
        <v>39751</v>
      </c>
      <c r="C624" s="4" t="n">
        <v>39722</v>
      </c>
      <c r="D624" s="5">
        <f>YEAR(C624)</f>
        <v/>
      </c>
      <c r="E624" s="5">
        <f>MONTH(C624)</f>
        <v/>
      </c>
      <c r="F624" s="38" t="inlineStr">
        <is>
          <t>NFV  :TENDA ATACADO LTDA</t>
        </is>
      </c>
      <c r="G624" s="38" t="inlineStr">
        <is>
          <t>MARIO FRUGIS (01.04.01)</t>
        </is>
      </c>
      <c r="H624" s="38" t="inlineStr">
        <is>
          <t>NFV</t>
        </is>
      </c>
      <c r="I624" s="40" t="n">
        <v>48.11</v>
      </c>
      <c r="J624" s="40" t="n">
        <v>0</v>
      </c>
      <c r="K624" s="6">
        <f>I624-J624</f>
        <v/>
      </c>
      <c r="L624" s="6">
        <f>IF(H624="DISTRATO",0,I624)</f>
        <v/>
      </c>
    </row>
    <row r="625">
      <c r="A625" s="38" t="inlineStr">
        <is>
          <t>Conta corrente MFRUGIS08.XLS</t>
        </is>
      </c>
      <c r="B625" s="39" t="n">
        <v>39751</v>
      </c>
      <c r="C625" s="4" t="n">
        <v>39722</v>
      </c>
      <c r="D625" s="5">
        <f>YEAR(C625)</f>
        <v/>
      </c>
      <c r="E625" s="5">
        <f>MONTH(C625)</f>
        <v/>
      </c>
      <c r="F625" s="38" t="inlineStr">
        <is>
          <t>NFV  :TENDA ATACADO LTDA</t>
        </is>
      </c>
      <c r="G625" s="38" t="inlineStr">
        <is>
          <t>MARIO FRUGIS (01.04.01)</t>
        </is>
      </c>
      <c r="H625" s="38" t="inlineStr">
        <is>
          <t>NFV</t>
        </is>
      </c>
      <c r="I625" s="40" t="n">
        <v>38.48</v>
      </c>
      <c r="J625" s="40" t="n">
        <v>0</v>
      </c>
      <c r="K625" s="6">
        <f>I625-J625</f>
        <v/>
      </c>
      <c r="L625" s="6">
        <f>IF(H625="DISTRATO",0,I625)</f>
        <v/>
      </c>
    </row>
    <row r="626">
      <c r="A626" s="38" t="inlineStr">
        <is>
          <t>Conta corrente MFRUGIS08.XLS</t>
        </is>
      </c>
      <c r="B626" s="39" t="n">
        <v>39751</v>
      </c>
      <c r="C626" s="4" t="n">
        <v>39722</v>
      </c>
      <c r="D626" s="5">
        <f>YEAR(C626)</f>
        <v/>
      </c>
      <c r="E626" s="5">
        <f>MONTH(C626)</f>
        <v/>
      </c>
      <c r="F626" s="38" t="inlineStr">
        <is>
          <t>NFV  :TENDA ATACADO LTDA</t>
        </is>
      </c>
      <c r="G626" s="38" t="inlineStr">
        <is>
          <t>MARIO FRUGIS (01.04.01)</t>
        </is>
      </c>
      <c r="H626" s="38" t="inlineStr">
        <is>
          <t>NFV</t>
        </is>
      </c>
      <c r="I626" s="40" t="n">
        <v>47.3</v>
      </c>
      <c r="J626" s="40" t="n">
        <v>0</v>
      </c>
      <c r="K626" s="6">
        <f>I626-J626</f>
        <v/>
      </c>
      <c r="L626" s="6">
        <f>IF(H626="DISTRATO",0,I626)</f>
        <v/>
      </c>
    </row>
    <row r="627">
      <c r="A627" s="38" t="inlineStr">
        <is>
          <t>Conta corrente MFRUGIS08.XLS</t>
        </is>
      </c>
      <c r="B627" s="39" t="n">
        <v>39751</v>
      </c>
      <c r="C627" s="4" t="n">
        <v>39722</v>
      </c>
      <c r="D627" s="5">
        <f>YEAR(C627)</f>
        <v/>
      </c>
      <c r="E627" s="5">
        <f>MONTH(C627)</f>
        <v/>
      </c>
      <c r="F627" s="38" t="inlineStr">
        <is>
          <t>NFV  :TENDA ATACADO LTDA</t>
        </is>
      </c>
      <c r="G627" s="38" t="inlineStr">
        <is>
          <t>MARIO FRUGIS (01.04.01)</t>
        </is>
      </c>
      <c r="H627" s="38" t="inlineStr">
        <is>
          <t>NFV</t>
        </is>
      </c>
      <c r="I627" s="40" t="n">
        <v>44.39</v>
      </c>
      <c r="J627" s="40" t="n">
        <v>0</v>
      </c>
      <c r="K627" s="6">
        <f>I627-J627</f>
        <v/>
      </c>
      <c r="L627" s="6">
        <f>IF(H627="DISTRATO",0,I627)</f>
        <v/>
      </c>
    </row>
    <row r="628">
      <c r="A628" s="38" t="inlineStr">
        <is>
          <t>Conta corrente MFRUGIS08.XLS</t>
        </is>
      </c>
      <c r="B628" s="39" t="n">
        <v>39751</v>
      </c>
      <c r="C628" s="4" t="n">
        <v>39722</v>
      </c>
      <c r="D628" s="5">
        <f>YEAR(C628)</f>
        <v/>
      </c>
      <c r="E628" s="5">
        <f>MONTH(C628)</f>
        <v/>
      </c>
      <c r="F628" s="38" t="inlineStr">
        <is>
          <t>NFV  :TENDA ATACADO LTDA</t>
        </is>
      </c>
      <c r="G628" s="38" t="inlineStr">
        <is>
          <t>MARIO FRUGIS (01.04.01)</t>
        </is>
      </c>
      <c r="H628" s="38" t="inlineStr">
        <is>
          <t>NFV</t>
        </is>
      </c>
      <c r="I628" s="40" t="n">
        <v>56.24</v>
      </c>
      <c r="J628" s="40" t="n">
        <v>0</v>
      </c>
      <c r="K628" s="6">
        <f>I628-J628</f>
        <v/>
      </c>
      <c r="L628" s="6">
        <f>IF(H628="DISTRATO",0,I628)</f>
        <v/>
      </c>
    </row>
    <row r="629">
      <c r="A629" s="38" t="inlineStr">
        <is>
          <t>Conta corrente MFRUGIS08.XLS</t>
        </is>
      </c>
      <c r="B629" s="39" t="n">
        <v>39751</v>
      </c>
      <c r="C629" s="4" t="n">
        <v>39722</v>
      </c>
      <c r="D629" s="5">
        <f>YEAR(C629)</f>
        <v/>
      </c>
      <c r="E629" s="5">
        <f>MONTH(C629)</f>
        <v/>
      </c>
      <c r="F629" s="38" t="inlineStr">
        <is>
          <t>NFV  :TENDA ATACADO LTDA</t>
        </is>
      </c>
      <c r="G629" s="38" t="inlineStr">
        <is>
          <t>MARIO FRUGIS (01.04.01)</t>
        </is>
      </c>
      <c r="H629" s="38" t="inlineStr">
        <is>
          <t>NFV</t>
        </is>
      </c>
      <c r="I629" s="40" t="n">
        <v>72.58</v>
      </c>
      <c r="J629" s="40" t="n">
        <v>0</v>
      </c>
      <c r="K629" s="6">
        <f>I629-J629</f>
        <v/>
      </c>
      <c r="L629" s="6">
        <f>IF(H629="DISTRATO",0,I629)</f>
        <v/>
      </c>
    </row>
    <row r="630">
      <c r="A630" s="38" t="inlineStr">
        <is>
          <t>Conta corrente MFRUGIS08.XLS</t>
        </is>
      </c>
      <c r="B630" s="39" t="n">
        <v>39751</v>
      </c>
      <c r="C630" s="4" t="n">
        <v>39722</v>
      </c>
      <c r="D630" s="5">
        <f>YEAR(C630)</f>
        <v/>
      </c>
      <c r="E630" s="5">
        <f>MONTH(C630)</f>
        <v/>
      </c>
      <c r="F630" s="38" t="inlineStr">
        <is>
          <t>NFV  :TENDA ATACADO LTDA</t>
        </is>
      </c>
      <c r="G630" s="38" t="inlineStr">
        <is>
          <t>MARIO FRUGIS (01.04.01)</t>
        </is>
      </c>
      <c r="H630" s="38" t="inlineStr">
        <is>
          <t>NFV</t>
        </is>
      </c>
      <c r="I630" s="40" t="n">
        <v>27.23</v>
      </c>
      <c r="J630" s="40" t="n">
        <v>0</v>
      </c>
      <c r="K630" s="6">
        <f>I630-J630</f>
        <v/>
      </c>
      <c r="L630" s="6">
        <f>IF(H630="DISTRATO",0,I630)</f>
        <v/>
      </c>
    </row>
    <row r="631">
      <c r="A631" s="38" t="inlineStr">
        <is>
          <t>Conta corrente MFRUGIS08.XLS</t>
        </is>
      </c>
      <c r="B631" s="39" t="n">
        <v>39752</v>
      </c>
      <c r="C631" s="4" t="n">
        <v>39722</v>
      </c>
      <c r="D631" s="5">
        <f>YEAR(C631)</f>
        <v/>
      </c>
      <c r="E631" s="5">
        <f>MONTH(C631)</f>
        <v/>
      </c>
      <c r="F631" s="38" t="inlineStr">
        <is>
          <t>BONIF:TENDA ATACADO LTDA</t>
        </is>
      </c>
      <c r="G631" s="38" t="inlineStr">
        <is>
          <t>MARIO FRUGIS (01.04.01)</t>
        </is>
      </c>
      <c r="H631" s="38" t="inlineStr">
        <is>
          <t>BONIFICACAO</t>
        </is>
      </c>
      <c r="I631" s="40" t="n">
        <v>-14.53</v>
      </c>
      <c r="J631" s="40" t="n">
        <v>0</v>
      </c>
      <c r="K631" s="6">
        <f>I631-J631</f>
        <v/>
      </c>
      <c r="L631" s="6">
        <f>IF(H631="DISTRATO",0,I631)</f>
        <v/>
      </c>
    </row>
    <row r="632">
      <c r="A632" s="38" t="inlineStr">
        <is>
          <t>Conta corrente MFRUGIS08.XLS</t>
        </is>
      </c>
      <c r="B632" s="39" t="n">
        <v>39752</v>
      </c>
      <c r="C632" s="4" t="n">
        <v>39722</v>
      </c>
      <c r="D632" s="5">
        <f>YEAR(C632)</f>
        <v/>
      </c>
      <c r="E632" s="5">
        <f>MONTH(C632)</f>
        <v/>
      </c>
      <c r="F632" s="38" t="inlineStr">
        <is>
          <t>BONIF:TENDA ATACADO LTDA</t>
        </is>
      </c>
      <c r="G632" s="38" t="inlineStr">
        <is>
          <t>MARIO FRUGIS (01.04.01)</t>
        </is>
      </c>
      <c r="H632" s="38" t="inlineStr">
        <is>
          <t>BONIFICACAO</t>
        </is>
      </c>
      <c r="I632" s="40" t="n">
        <v>-46.01</v>
      </c>
      <c r="J632" s="40" t="n">
        <v>0</v>
      </c>
      <c r="K632" s="6">
        <f>I632-J632</f>
        <v/>
      </c>
      <c r="L632" s="6">
        <f>IF(H632="DISTRATO",0,I632)</f>
        <v/>
      </c>
    </row>
    <row r="633">
      <c r="A633" s="38" t="inlineStr">
        <is>
          <t>Conta corrente MFRUGIS08.XLS</t>
        </is>
      </c>
      <c r="B633" s="39" t="n">
        <v>39752</v>
      </c>
      <c r="C633" s="4" t="n">
        <v>39722</v>
      </c>
      <c r="D633" s="5">
        <f>YEAR(C633)</f>
        <v/>
      </c>
      <c r="E633" s="5">
        <f>MONTH(C633)</f>
        <v/>
      </c>
      <c r="F633" s="38" t="inlineStr">
        <is>
          <t>DIFERENCA                             1. (ajuste de % do Tenda)</t>
        </is>
      </c>
      <c r="G633" s="38" t="inlineStr">
        <is>
          <t>MARIO FRUGIS (01.04.01)</t>
        </is>
      </c>
      <c r="H633" s="38" t="inlineStr">
        <is>
          <t>AJUSTE % TENDA</t>
        </is>
      </c>
      <c r="I633" s="40" t="n">
        <v>1036.19</v>
      </c>
      <c r="J633" s="40" t="n">
        <v>0</v>
      </c>
      <c r="K633" s="6">
        <f>I633-J633</f>
        <v/>
      </c>
      <c r="L633" s="6">
        <f>IF(H633="DISTRATO",0,I633)</f>
        <v/>
      </c>
    </row>
    <row r="634">
      <c r="A634" s="38" t="inlineStr">
        <is>
          <t>Conta corrente MFRUGIS08.XLS</t>
        </is>
      </c>
      <c r="B634" s="39" t="n">
        <v>39752</v>
      </c>
      <c r="C634" s="4" t="n">
        <v>39722</v>
      </c>
      <c r="D634" s="5">
        <f>YEAR(C634)</f>
        <v/>
      </c>
      <c r="E634" s="5">
        <f>MONTH(C634)</f>
        <v/>
      </c>
      <c r="F634" s="38" t="inlineStr">
        <is>
          <t>NFV  :TENDA ATACADO LTDA</t>
        </is>
      </c>
      <c r="G634" s="38" t="inlineStr">
        <is>
          <t>MARIO FRUGIS (01.04.01)</t>
        </is>
      </c>
      <c r="H634" s="38" t="inlineStr">
        <is>
          <t>NFV</t>
        </is>
      </c>
      <c r="I634" s="40" t="n">
        <v>69.68000000000001</v>
      </c>
      <c r="J634" s="40" t="n">
        <v>0</v>
      </c>
      <c r="K634" s="6">
        <f>I634-J634</f>
        <v/>
      </c>
      <c r="L634" s="6">
        <f>IF(H634="DISTRATO",0,I634)</f>
        <v/>
      </c>
    </row>
    <row r="635">
      <c r="A635" s="38" t="inlineStr">
        <is>
          <t>Conta corrente MFRUGIS08.XLS</t>
        </is>
      </c>
      <c r="B635" s="39" t="n">
        <v>39765</v>
      </c>
      <c r="C635" s="4" t="n">
        <v>39753</v>
      </c>
      <c r="D635" s="5">
        <f>YEAR(C635)</f>
        <v/>
      </c>
      <c r="E635" s="5">
        <f>MONTH(C635)</f>
        <v/>
      </c>
      <c r="F635" s="38" t="inlineStr">
        <is>
          <t>NFV  :TENDA ATACADO LTDA</t>
        </is>
      </c>
      <c r="G635" s="38" t="inlineStr">
        <is>
          <t>MARIO FRUGIS (01.04.01)</t>
        </is>
      </c>
      <c r="H635" s="38" t="inlineStr">
        <is>
          <t>NFV</t>
        </is>
      </c>
      <c r="I635" s="40" t="n">
        <v>64.45999999999999</v>
      </c>
      <c r="J635" s="40" t="n">
        <v>0</v>
      </c>
      <c r="K635" s="6">
        <f>I635-J635</f>
        <v/>
      </c>
      <c r="L635" s="6">
        <f>IF(H635="DISTRATO",0,I635)</f>
        <v/>
      </c>
    </row>
    <row r="636">
      <c r="A636" s="38" t="inlineStr">
        <is>
          <t>Conta corrente MFRUGIS08.XLS</t>
        </is>
      </c>
      <c r="B636" s="39" t="n">
        <v>39765</v>
      </c>
      <c r="C636" s="4" t="n">
        <v>39753</v>
      </c>
      <c r="D636" s="5">
        <f>YEAR(C636)</f>
        <v/>
      </c>
      <c r="E636" s="5">
        <f>MONTH(C636)</f>
        <v/>
      </c>
      <c r="F636" s="38" t="inlineStr">
        <is>
          <t>NFV  :TENDA ATACADO LTDA</t>
        </is>
      </c>
      <c r="G636" s="38" t="inlineStr">
        <is>
          <t>MARIO FRUGIS (01.04.01)</t>
        </is>
      </c>
      <c r="H636" s="38" t="inlineStr">
        <is>
          <t>NFV</t>
        </is>
      </c>
      <c r="I636" s="40" t="n">
        <v>95.78</v>
      </c>
      <c r="J636" s="40" t="n">
        <v>0</v>
      </c>
      <c r="K636" s="6">
        <f>I636-J636</f>
        <v/>
      </c>
      <c r="L636" s="6">
        <f>IF(H636="DISTRATO",0,I636)</f>
        <v/>
      </c>
    </row>
    <row r="637">
      <c r="A637" s="38" t="inlineStr">
        <is>
          <t>Conta corrente MFRUGIS08.XLS</t>
        </is>
      </c>
      <c r="B637" s="39" t="n">
        <v>39765</v>
      </c>
      <c r="C637" s="4" t="n">
        <v>39753</v>
      </c>
      <c r="D637" s="5">
        <f>YEAR(C637)</f>
        <v/>
      </c>
      <c r="E637" s="5">
        <f>MONTH(C637)</f>
        <v/>
      </c>
      <c r="F637" s="38" t="inlineStr">
        <is>
          <t>NFV  :TENDA ATACADO LTDA</t>
        </is>
      </c>
      <c r="G637" s="38" t="inlineStr">
        <is>
          <t>MARIO FRUGIS (01.04.01)</t>
        </is>
      </c>
      <c r="H637" s="38" t="inlineStr">
        <is>
          <t>NFV</t>
        </is>
      </c>
      <c r="I637" s="40" t="n">
        <v>71.23999999999999</v>
      </c>
      <c r="J637" s="40" t="n">
        <v>0</v>
      </c>
      <c r="K637" s="6">
        <f>I637-J637</f>
        <v/>
      </c>
      <c r="L637" s="6">
        <f>IF(H637="DISTRATO",0,I637)</f>
        <v/>
      </c>
    </row>
    <row r="638">
      <c r="A638" s="38" t="inlineStr">
        <is>
          <t>Conta corrente MFRUGIS08.XLS</t>
        </is>
      </c>
      <c r="B638" s="39" t="n">
        <v>39765</v>
      </c>
      <c r="C638" s="4" t="n">
        <v>39753</v>
      </c>
      <c r="D638" s="5">
        <f>YEAR(C638)</f>
        <v/>
      </c>
      <c r="E638" s="5">
        <f>MONTH(C638)</f>
        <v/>
      </c>
      <c r="F638" s="38" t="inlineStr">
        <is>
          <t>NFV  :TENDA ATACADO LTDA</t>
        </is>
      </c>
      <c r="G638" s="38" t="inlineStr">
        <is>
          <t>MARIO FRUGIS (01.04.01)</t>
        </is>
      </c>
      <c r="H638" s="38" t="inlineStr">
        <is>
          <t>NFV</t>
        </is>
      </c>
      <c r="I638" s="40" t="n">
        <v>12.95</v>
      </c>
      <c r="J638" s="40" t="n">
        <v>0</v>
      </c>
      <c r="K638" s="6">
        <f>I638-J638</f>
        <v/>
      </c>
      <c r="L638" s="6">
        <f>IF(H638="DISTRATO",0,I638)</f>
        <v/>
      </c>
    </row>
    <row r="639">
      <c r="A639" s="38" t="inlineStr">
        <is>
          <t>Conta corrente MFRUGIS08.XLS</t>
        </is>
      </c>
      <c r="B639" s="39" t="n">
        <v>39765</v>
      </c>
      <c r="C639" s="4" t="n">
        <v>39753</v>
      </c>
      <c r="D639" s="5">
        <f>YEAR(C639)</f>
        <v/>
      </c>
      <c r="E639" s="5">
        <f>MONTH(C639)</f>
        <v/>
      </c>
      <c r="F639" s="38" t="inlineStr">
        <is>
          <t>NFV  :TENDA ATACADO LTDA</t>
        </is>
      </c>
      <c r="G639" s="38" t="inlineStr">
        <is>
          <t>MARIO FRUGIS (01.04.01)</t>
        </is>
      </c>
      <c r="H639" s="38" t="inlineStr">
        <is>
          <t>NFV</t>
        </is>
      </c>
      <c r="I639" s="40" t="n">
        <v>68.13</v>
      </c>
      <c r="J639" s="40" t="n">
        <v>0</v>
      </c>
      <c r="K639" s="6">
        <f>I639-J639</f>
        <v/>
      </c>
      <c r="L639" s="6">
        <f>IF(H639="DISTRATO",0,I639)</f>
        <v/>
      </c>
    </row>
    <row r="640">
      <c r="A640" s="38" t="inlineStr">
        <is>
          <t>Conta corrente MFRUGIS08.XLS</t>
        </is>
      </c>
      <c r="B640" s="39" t="n">
        <v>39765</v>
      </c>
      <c r="C640" s="4" t="n">
        <v>39753</v>
      </c>
      <c r="D640" s="5">
        <f>YEAR(C640)</f>
        <v/>
      </c>
      <c r="E640" s="5">
        <f>MONTH(C640)</f>
        <v/>
      </c>
      <c r="F640" s="38" t="inlineStr">
        <is>
          <t>NFV  :TENDA ATACADO LTDA</t>
        </is>
      </c>
      <c r="G640" s="38" t="inlineStr">
        <is>
          <t>MARIO FRUGIS (01.04.01)</t>
        </is>
      </c>
      <c r="H640" s="38" t="inlineStr">
        <is>
          <t>NFV</t>
        </is>
      </c>
      <c r="I640" s="40" t="n">
        <v>27.4</v>
      </c>
      <c r="J640" s="40" t="n">
        <v>0</v>
      </c>
      <c r="K640" s="6">
        <f>I640-J640</f>
        <v/>
      </c>
      <c r="L640" s="6">
        <f>IF(H640="DISTRATO",0,I640)</f>
        <v/>
      </c>
    </row>
    <row r="641">
      <c r="A641" s="38" t="inlineStr">
        <is>
          <t>Conta corrente MFRUGIS08.XLS</t>
        </is>
      </c>
      <c r="B641" s="39" t="n">
        <v>39765</v>
      </c>
      <c r="C641" s="4" t="n">
        <v>39753</v>
      </c>
      <c r="D641" s="5">
        <f>YEAR(C641)</f>
        <v/>
      </c>
      <c r="E641" s="5">
        <f>MONTH(C641)</f>
        <v/>
      </c>
      <c r="F641" s="38" t="inlineStr">
        <is>
          <t>NFV  :TENDA ATACADO LTDA</t>
        </is>
      </c>
      <c r="G641" s="38" t="inlineStr">
        <is>
          <t>MARIO FRUGIS (01.04.01)</t>
        </is>
      </c>
      <c r="H641" s="38" t="inlineStr">
        <is>
          <t>NFV</t>
        </is>
      </c>
      <c r="I641" s="40" t="n">
        <v>27.23</v>
      </c>
      <c r="J641" s="40" t="n">
        <v>0</v>
      </c>
      <c r="K641" s="6">
        <f>I641-J641</f>
        <v/>
      </c>
      <c r="L641" s="6">
        <f>IF(H641="DISTRATO",0,I641)</f>
        <v/>
      </c>
    </row>
    <row r="642">
      <c r="A642" s="38" t="inlineStr">
        <is>
          <t>Conta corrente MFRUGIS08.XLS</t>
        </is>
      </c>
      <c r="B642" s="39" t="n">
        <v>39765</v>
      </c>
      <c r="C642" s="4" t="n">
        <v>39753</v>
      </c>
      <c r="D642" s="5">
        <f>YEAR(C642)</f>
        <v/>
      </c>
      <c r="E642" s="5">
        <f>MONTH(C642)</f>
        <v/>
      </c>
      <c r="F642" s="38" t="inlineStr">
        <is>
          <t>NFV  :TENDA ATACADO LTDA</t>
        </is>
      </c>
      <c r="G642" s="38" t="inlineStr">
        <is>
          <t>MARIO FRUGIS (01.04.01)</t>
        </is>
      </c>
      <c r="H642" s="38" t="inlineStr">
        <is>
          <t>NFV</t>
        </is>
      </c>
      <c r="I642" s="40" t="n">
        <v>89.09999999999999</v>
      </c>
      <c r="J642" s="40" t="n">
        <v>0</v>
      </c>
      <c r="K642" s="6">
        <f>I642-J642</f>
        <v/>
      </c>
      <c r="L642" s="6">
        <f>IF(H642="DISTRATO",0,I642)</f>
        <v/>
      </c>
    </row>
    <row r="643">
      <c r="A643" s="38" t="inlineStr">
        <is>
          <t>Conta corrente MFRUGIS08.XLS</t>
        </is>
      </c>
      <c r="B643" s="39" t="n">
        <v>39765</v>
      </c>
      <c r="C643" s="4" t="n">
        <v>39753</v>
      </c>
      <c r="D643" s="5">
        <f>YEAR(C643)</f>
        <v/>
      </c>
      <c r="E643" s="5">
        <f>MONTH(C643)</f>
        <v/>
      </c>
      <c r="F643" s="38" t="inlineStr">
        <is>
          <t>NFV  :TENDA ATACADO LTDA</t>
        </is>
      </c>
      <c r="G643" s="38" t="inlineStr">
        <is>
          <t>MARIO FRUGIS (01.04.01)</t>
        </is>
      </c>
      <c r="H643" s="38" t="inlineStr">
        <is>
          <t>NFV</t>
        </is>
      </c>
      <c r="I643" s="40" t="n">
        <v>56.55</v>
      </c>
      <c r="J643" s="40" t="n">
        <v>0</v>
      </c>
      <c r="K643" s="6">
        <f>I643-J643</f>
        <v/>
      </c>
      <c r="L643" s="6">
        <f>IF(H643="DISTRATO",0,I643)</f>
        <v/>
      </c>
    </row>
    <row r="644">
      <c r="A644" s="38" t="inlineStr">
        <is>
          <t>Conta corrente MFRUGIS08.XLS</t>
        </is>
      </c>
      <c r="B644" s="39" t="n">
        <v>39765</v>
      </c>
      <c r="C644" s="4" t="n">
        <v>39753</v>
      </c>
      <c r="D644" s="5">
        <f>YEAR(C644)</f>
        <v/>
      </c>
      <c r="E644" s="5">
        <f>MONTH(C644)</f>
        <v/>
      </c>
      <c r="F644" s="38" t="inlineStr">
        <is>
          <t>NFV  :TENDA ATACADO LTDA</t>
        </is>
      </c>
      <c r="G644" s="38" t="inlineStr">
        <is>
          <t>MARIO FRUGIS (01.04.01)</t>
        </is>
      </c>
      <c r="H644" s="38" t="inlineStr">
        <is>
          <t>NFV</t>
        </is>
      </c>
      <c r="I644" s="40" t="n">
        <v>68.56999999999999</v>
      </c>
      <c r="J644" s="40" t="n">
        <v>0</v>
      </c>
      <c r="K644" s="6">
        <f>I644-J644</f>
        <v/>
      </c>
      <c r="L644" s="6">
        <f>IF(H644="DISTRATO",0,I644)</f>
        <v/>
      </c>
    </row>
    <row r="645">
      <c r="A645" s="38" t="inlineStr">
        <is>
          <t>Conta corrente MFRUGIS08.XLS</t>
        </is>
      </c>
      <c r="B645" s="39" t="n">
        <v>39765</v>
      </c>
      <c r="C645" s="4" t="n">
        <v>39753</v>
      </c>
      <c r="D645" s="5">
        <f>YEAR(C645)</f>
        <v/>
      </c>
      <c r="E645" s="5">
        <f>MONTH(C645)</f>
        <v/>
      </c>
      <c r="F645" s="38" t="inlineStr">
        <is>
          <t>NFV  :TENDA ATACADO LTDA</t>
        </is>
      </c>
      <c r="G645" s="38" t="inlineStr">
        <is>
          <t>MARIO FRUGIS (01.04.01)</t>
        </is>
      </c>
      <c r="H645" s="38" t="inlineStr">
        <is>
          <t>NFV</t>
        </is>
      </c>
      <c r="I645" s="40" t="n">
        <v>33.08</v>
      </c>
      <c r="J645" s="40" t="n">
        <v>0</v>
      </c>
      <c r="K645" s="6">
        <f>I645-J645</f>
        <v/>
      </c>
      <c r="L645" s="6">
        <f>IF(H645="DISTRATO",0,I645)</f>
        <v/>
      </c>
    </row>
    <row r="646">
      <c r="A646" s="38" t="inlineStr">
        <is>
          <t>Conta corrente MFRUGIS08.XLS</t>
        </is>
      </c>
      <c r="B646" s="39" t="n">
        <v>39766</v>
      </c>
      <c r="C646" s="4" t="n">
        <v>39753</v>
      </c>
      <c r="D646" s="5">
        <f>YEAR(C646)</f>
        <v/>
      </c>
      <c r="E646" s="5">
        <f>MONTH(C646)</f>
        <v/>
      </c>
      <c r="F646" s="38" t="inlineStr">
        <is>
          <t>BONIF:TENDA ATACADO LTDA</t>
        </is>
      </c>
      <c r="G646" s="38" t="inlineStr">
        <is>
          <t>MARIO FRUGIS (01.04.01)</t>
        </is>
      </c>
      <c r="H646" s="38" t="inlineStr">
        <is>
          <t>BONIFICACAO</t>
        </is>
      </c>
      <c r="I646" s="40" t="n">
        <v>-39.64</v>
      </c>
      <c r="J646" s="40" t="n">
        <v>0</v>
      </c>
      <c r="K646" s="6">
        <f>I646-J646</f>
        <v/>
      </c>
      <c r="L646" s="6">
        <f>IF(H646="DISTRATO",0,I646)</f>
        <v/>
      </c>
    </row>
    <row r="647">
      <c r="A647" s="38" t="inlineStr">
        <is>
          <t>Conta corrente MFRUGIS08.XLS</t>
        </is>
      </c>
      <c r="B647" s="39" t="n">
        <v>39766</v>
      </c>
      <c r="C647" s="4" t="n">
        <v>39753</v>
      </c>
      <c r="D647" s="5">
        <f>YEAR(C647)</f>
        <v/>
      </c>
      <c r="E647" s="5">
        <f>MONTH(C647)</f>
        <v/>
      </c>
      <c r="F647" s="38" t="inlineStr">
        <is>
          <t>BONIF:TENDA ATACADO LTDA</t>
        </is>
      </c>
      <c r="G647" s="38" t="inlineStr">
        <is>
          <t>MARIO FRUGIS (01.04.01)</t>
        </is>
      </c>
      <c r="H647" s="38" t="inlineStr">
        <is>
          <t>BONIFICACAO</t>
        </is>
      </c>
      <c r="I647" s="40" t="n">
        <v>-39.64</v>
      </c>
      <c r="J647" s="40" t="n">
        <v>0</v>
      </c>
      <c r="K647" s="6">
        <f>I647-J647</f>
        <v/>
      </c>
      <c r="L647" s="6">
        <f>IF(H647="DISTRATO",0,I647)</f>
        <v/>
      </c>
    </row>
    <row r="648">
      <c r="A648" s="38" t="inlineStr">
        <is>
          <t>Conta corrente MFRUGIS08.XLS</t>
        </is>
      </c>
      <c r="B648" s="39" t="n">
        <v>39766</v>
      </c>
      <c r="C648" s="4" t="n">
        <v>39753</v>
      </c>
      <c r="D648" s="5">
        <f>YEAR(C648)</f>
        <v/>
      </c>
      <c r="E648" s="5">
        <f>MONTH(C648)</f>
        <v/>
      </c>
      <c r="F648" s="38" t="inlineStr">
        <is>
          <t>NFV  :TENDA ATACADO LTDA</t>
        </is>
      </c>
      <c r="G648" s="38" t="inlineStr">
        <is>
          <t>MARIO FRUGIS (01.04.01)</t>
        </is>
      </c>
      <c r="H648" s="38" t="inlineStr">
        <is>
          <t>NFV</t>
        </is>
      </c>
      <c r="I648" s="40" t="n">
        <v>117.19</v>
      </c>
      <c r="J648" s="40" t="n">
        <v>0</v>
      </c>
      <c r="K648" s="6">
        <f>I648-J648</f>
        <v/>
      </c>
      <c r="L648" s="6">
        <f>IF(H648="DISTRATO",0,I648)</f>
        <v/>
      </c>
    </row>
    <row r="649">
      <c r="A649" s="38" t="inlineStr">
        <is>
          <t>Conta corrente MFRUGIS08.XLS</t>
        </is>
      </c>
      <c r="B649" s="39" t="n">
        <v>39766</v>
      </c>
      <c r="C649" s="4" t="n">
        <v>39753</v>
      </c>
      <c r="D649" s="5">
        <f>YEAR(C649)</f>
        <v/>
      </c>
      <c r="E649" s="5">
        <f>MONTH(C649)</f>
        <v/>
      </c>
      <c r="F649" s="38" t="inlineStr">
        <is>
          <t>NFV  :TENDA ATACADO LTDA</t>
        </is>
      </c>
      <c r="G649" s="38" t="inlineStr">
        <is>
          <t>MARIO FRUGIS (01.04.01)</t>
        </is>
      </c>
      <c r="H649" s="38" t="inlineStr">
        <is>
          <t>NFV</t>
        </is>
      </c>
      <c r="I649" s="40" t="n">
        <v>128.71</v>
      </c>
      <c r="J649" s="40" t="n">
        <v>0</v>
      </c>
      <c r="K649" s="6">
        <f>I649-J649</f>
        <v/>
      </c>
      <c r="L649" s="6">
        <f>IF(H649="DISTRATO",0,I649)</f>
        <v/>
      </c>
    </row>
    <row r="650">
      <c r="A650" s="38" t="inlineStr">
        <is>
          <t>Conta corrente MFRUGIS08.XLS</t>
        </is>
      </c>
      <c r="B650" s="39" t="n">
        <v>39773</v>
      </c>
      <c r="C650" s="4" t="n">
        <v>39753</v>
      </c>
      <c r="D650" s="5">
        <f>YEAR(C650)</f>
        <v/>
      </c>
      <c r="E650" s="5">
        <f>MONTH(C650)</f>
        <v/>
      </c>
      <c r="F650" s="38" t="inlineStr">
        <is>
          <t>NFV  :TENDA ATACADO LTDA</t>
        </is>
      </c>
      <c r="G650" s="38" t="inlineStr">
        <is>
          <t>MARIO FRUGIS (01.04.01)</t>
        </is>
      </c>
      <c r="H650" s="38" t="inlineStr">
        <is>
          <t>NFV</t>
        </is>
      </c>
      <c r="I650" s="40" t="n">
        <v>48.56</v>
      </c>
      <c r="J650" s="40" t="n">
        <v>0</v>
      </c>
      <c r="K650" s="6">
        <f>I650-J650</f>
        <v/>
      </c>
      <c r="L650" s="6">
        <f>IF(H650="DISTRATO",0,I650)</f>
        <v/>
      </c>
    </row>
    <row r="651">
      <c r="A651" s="38" t="inlineStr">
        <is>
          <t>Conta corrente MFRUGIS08.XLS</t>
        </is>
      </c>
      <c r="B651" s="39" t="n">
        <v>39776</v>
      </c>
      <c r="C651" s="4" t="n">
        <v>39753</v>
      </c>
      <c r="D651" s="5">
        <f>YEAR(C651)</f>
        <v/>
      </c>
      <c r="E651" s="5">
        <f>MONTH(C651)</f>
        <v/>
      </c>
      <c r="F651" s="38" t="inlineStr">
        <is>
          <t>NFV  :TENDA ATACADO LTDA</t>
        </is>
      </c>
      <c r="G651" s="38" t="inlineStr">
        <is>
          <t>MARIO FRUGIS (01.04.01)</t>
        </is>
      </c>
      <c r="H651" s="38" t="inlineStr">
        <is>
          <t>NFV</t>
        </is>
      </c>
      <c r="I651" s="40" t="n">
        <v>48.56</v>
      </c>
      <c r="J651" s="40" t="n">
        <v>0</v>
      </c>
      <c r="K651" s="6">
        <f>I651-J651</f>
        <v/>
      </c>
      <c r="L651" s="6">
        <f>IF(H651="DISTRATO",0,I651)</f>
        <v/>
      </c>
    </row>
    <row r="652">
      <c r="A652" s="38" t="inlineStr">
        <is>
          <t>Conta corrente MFRUGIS08.XLS</t>
        </is>
      </c>
      <c r="B652" s="39" t="n">
        <v>39776</v>
      </c>
      <c r="C652" s="4" t="n">
        <v>39753</v>
      </c>
      <c r="D652" s="5">
        <f>YEAR(C652)</f>
        <v/>
      </c>
      <c r="E652" s="5">
        <f>MONTH(C652)</f>
        <v/>
      </c>
      <c r="F652" s="38" t="inlineStr">
        <is>
          <t>NFV  :TENDA ATACADO LTDA</t>
        </is>
      </c>
      <c r="G652" s="38" t="inlineStr">
        <is>
          <t>MARIO FRUGIS (01.04.01)</t>
        </is>
      </c>
      <c r="H652" s="38" t="inlineStr">
        <is>
          <t>NFV</t>
        </is>
      </c>
      <c r="I652" s="40" t="n">
        <v>48.56</v>
      </c>
      <c r="J652" s="40" t="n">
        <v>0</v>
      </c>
      <c r="K652" s="6">
        <f>I652-J652</f>
        <v/>
      </c>
      <c r="L652" s="6">
        <f>IF(H652="DISTRATO",0,I652)</f>
        <v/>
      </c>
    </row>
    <row r="653">
      <c r="A653" s="38" t="inlineStr">
        <is>
          <t>Conta corrente MFRUGIS08.XLS</t>
        </is>
      </c>
      <c r="B653" s="39" t="n">
        <v>39776</v>
      </c>
      <c r="C653" s="4" t="n">
        <v>39753</v>
      </c>
      <c r="D653" s="5">
        <f>YEAR(C653)</f>
        <v/>
      </c>
      <c r="E653" s="5">
        <f>MONTH(C653)</f>
        <v/>
      </c>
      <c r="F653" s="38" t="inlineStr">
        <is>
          <t>NFV  :TENDA ATACADO LTDA</t>
        </is>
      </c>
      <c r="G653" s="38" t="inlineStr">
        <is>
          <t>MARIO FRUGIS (01.04.01)</t>
        </is>
      </c>
      <c r="H653" s="38" t="inlineStr">
        <is>
          <t>NFV</t>
        </is>
      </c>
      <c r="I653" s="40" t="n">
        <v>48.56</v>
      </c>
      <c r="J653" s="40" t="n">
        <v>0</v>
      </c>
      <c r="K653" s="6">
        <f>I653-J653</f>
        <v/>
      </c>
      <c r="L653" s="6">
        <f>IF(H653="DISTRATO",0,I653)</f>
        <v/>
      </c>
    </row>
    <row r="654">
      <c r="A654" s="38" t="inlineStr">
        <is>
          <t>Conta corrente MFRUGIS08.XLS</t>
        </is>
      </c>
      <c r="B654" s="39" t="n">
        <v>39776</v>
      </c>
      <c r="C654" s="4" t="n">
        <v>39753</v>
      </c>
      <c r="D654" s="5">
        <f>YEAR(C654)</f>
        <v/>
      </c>
      <c r="E654" s="5">
        <f>MONTH(C654)</f>
        <v/>
      </c>
      <c r="F654" s="38" t="inlineStr">
        <is>
          <t>NFV  :TENDA ATACADO LTDA</t>
        </is>
      </c>
      <c r="G654" s="38" t="inlineStr">
        <is>
          <t>MARIO FRUGIS (01.04.01)</t>
        </is>
      </c>
      <c r="H654" s="38" t="inlineStr">
        <is>
          <t>NFV</t>
        </is>
      </c>
      <c r="I654" s="40" t="n">
        <v>48.56</v>
      </c>
      <c r="J654" s="40" t="n">
        <v>0</v>
      </c>
      <c r="K654" s="6">
        <f>I654-J654</f>
        <v/>
      </c>
      <c r="L654" s="6">
        <f>IF(H654="DISTRATO",0,I654)</f>
        <v/>
      </c>
    </row>
    <row r="655">
      <c r="A655" s="38" t="inlineStr">
        <is>
          <t>Conta corrente MFRUGIS08.XLS</t>
        </is>
      </c>
      <c r="B655" s="39" t="n">
        <v>39776</v>
      </c>
      <c r="C655" s="4" t="n">
        <v>39753</v>
      </c>
      <c r="D655" s="5">
        <f>YEAR(C655)</f>
        <v/>
      </c>
      <c r="E655" s="5">
        <f>MONTH(C655)</f>
        <v/>
      </c>
      <c r="F655" s="38" t="inlineStr">
        <is>
          <t>NFV  :TENDA ATACADO LTDA</t>
        </is>
      </c>
      <c r="G655" s="38" t="inlineStr">
        <is>
          <t>MARIO FRUGIS (01.04.01)</t>
        </is>
      </c>
      <c r="H655" s="38" t="inlineStr">
        <is>
          <t>NFV</t>
        </is>
      </c>
      <c r="I655" s="40" t="n">
        <v>6.46</v>
      </c>
      <c r="J655" s="40" t="n">
        <v>0</v>
      </c>
      <c r="K655" s="6">
        <f>I655-J655</f>
        <v/>
      </c>
      <c r="L655" s="6">
        <f>IF(H655="DISTRATO",0,I655)</f>
        <v/>
      </c>
    </row>
    <row r="656">
      <c r="A656" s="38" t="inlineStr">
        <is>
          <t>Conta corrente MFRUGIS08.XLS</t>
        </is>
      </c>
      <c r="B656" s="39" t="n">
        <v>39776</v>
      </c>
      <c r="C656" s="4" t="n">
        <v>39753</v>
      </c>
      <c r="D656" s="5">
        <f>YEAR(C656)</f>
        <v/>
      </c>
      <c r="E656" s="5">
        <f>MONTH(C656)</f>
        <v/>
      </c>
      <c r="F656" s="38" t="inlineStr">
        <is>
          <t>NFV  :TENDA ATACADO LTDA</t>
        </is>
      </c>
      <c r="G656" s="38" t="inlineStr">
        <is>
          <t>MARIO FRUGIS (01.04.01)</t>
        </is>
      </c>
      <c r="H656" s="38" t="inlineStr">
        <is>
          <t>NFV</t>
        </is>
      </c>
      <c r="I656" s="40" t="n">
        <v>48.56</v>
      </c>
      <c r="J656" s="40" t="n">
        <v>0</v>
      </c>
      <c r="K656" s="6">
        <f>I656-J656</f>
        <v/>
      </c>
      <c r="L656" s="6">
        <f>IF(H656="DISTRATO",0,I656)</f>
        <v/>
      </c>
    </row>
    <row r="657">
      <c r="A657" s="38" t="inlineStr">
        <is>
          <t>Conta corrente MFRUGIS08.XLS</t>
        </is>
      </c>
      <c r="B657" s="39" t="n">
        <v>39776</v>
      </c>
      <c r="C657" s="4" t="n">
        <v>39753</v>
      </c>
      <c r="D657" s="5">
        <f>YEAR(C657)</f>
        <v/>
      </c>
      <c r="E657" s="5">
        <f>MONTH(C657)</f>
        <v/>
      </c>
      <c r="F657" s="38" t="inlineStr">
        <is>
          <t>NFV  :TENDA ATACADO LTDA</t>
        </is>
      </c>
      <c r="G657" s="38" t="inlineStr">
        <is>
          <t>MARIO FRUGIS (01.04.01)</t>
        </is>
      </c>
      <c r="H657" s="38" t="inlineStr">
        <is>
          <t>NFV</t>
        </is>
      </c>
      <c r="I657" s="40" t="n">
        <v>48.56</v>
      </c>
      <c r="J657" s="40" t="n">
        <v>0</v>
      </c>
      <c r="K657" s="6">
        <f>I657-J657</f>
        <v/>
      </c>
      <c r="L657" s="6">
        <f>IF(H657="DISTRATO",0,I657)</f>
        <v/>
      </c>
    </row>
    <row r="658">
      <c r="A658" s="38" t="inlineStr">
        <is>
          <t>Conta corrente MFRUGIS08.XLS</t>
        </is>
      </c>
      <c r="B658" s="39" t="n">
        <v>39776</v>
      </c>
      <c r="C658" s="4" t="n">
        <v>39753</v>
      </c>
      <c r="D658" s="5">
        <f>YEAR(C658)</f>
        <v/>
      </c>
      <c r="E658" s="5">
        <f>MONTH(C658)</f>
        <v/>
      </c>
      <c r="F658" s="38" t="inlineStr">
        <is>
          <t>NFV  :TENDA ATACADO LTDA</t>
        </is>
      </c>
      <c r="G658" s="38" t="inlineStr">
        <is>
          <t>MARIO FRUGIS (01.04.01)</t>
        </is>
      </c>
      <c r="H658" s="38" t="inlineStr">
        <is>
          <t>NFV</t>
        </is>
      </c>
      <c r="I658" s="40" t="n">
        <v>48.56</v>
      </c>
      <c r="J658" s="40" t="n">
        <v>0</v>
      </c>
      <c r="K658" s="6">
        <f>I658-J658</f>
        <v/>
      </c>
      <c r="L658" s="6">
        <f>IF(H658="DISTRATO",0,I658)</f>
        <v/>
      </c>
    </row>
    <row r="659">
      <c r="A659" s="38" t="inlineStr">
        <is>
          <t>Conta corrente MFRUGIS08.XLS</t>
        </is>
      </c>
      <c r="B659" s="39" t="n">
        <v>39776</v>
      </c>
      <c r="C659" s="4" t="n">
        <v>39753</v>
      </c>
      <c r="D659" s="5">
        <f>YEAR(C659)</f>
        <v/>
      </c>
      <c r="E659" s="5">
        <f>MONTH(C659)</f>
        <v/>
      </c>
      <c r="F659" s="38" t="inlineStr">
        <is>
          <t>NFV  :TENDA ATACADO LTDA</t>
        </is>
      </c>
      <c r="G659" s="38" t="inlineStr">
        <is>
          <t>MARIO FRUGIS (01.04.01)</t>
        </is>
      </c>
      <c r="H659" s="38" t="inlineStr">
        <is>
          <t>NFV</t>
        </is>
      </c>
      <c r="I659" s="40" t="n">
        <v>48.56</v>
      </c>
      <c r="J659" s="40" t="n">
        <v>0</v>
      </c>
      <c r="K659" s="6">
        <f>I659-J659</f>
        <v/>
      </c>
      <c r="L659" s="6">
        <f>IF(H659="DISTRATO",0,I659)</f>
        <v/>
      </c>
    </row>
    <row r="660">
      <c r="A660" s="38" t="inlineStr">
        <is>
          <t>Conta corrente MFRUGIS08.XLS</t>
        </is>
      </c>
      <c r="B660" s="39" t="n">
        <v>39776</v>
      </c>
      <c r="C660" s="4" t="n">
        <v>39753</v>
      </c>
      <c r="D660" s="5">
        <f>YEAR(C660)</f>
        <v/>
      </c>
      <c r="E660" s="5">
        <f>MONTH(C660)</f>
        <v/>
      </c>
      <c r="F660" s="38" t="inlineStr">
        <is>
          <t>NFV  :TENDA ATACADO LTDA</t>
        </is>
      </c>
      <c r="G660" s="38" t="inlineStr">
        <is>
          <t>MARIO FRUGIS (01.04.01)</t>
        </is>
      </c>
      <c r="H660" s="38" t="inlineStr">
        <is>
          <t>NFV</t>
        </is>
      </c>
      <c r="I660" s="40" t="n">
        <v>48.56</v>
      </c>
      <c r="J660" s="40" t="n">
        <v>0</v>
      </c>
      <c r="K660" s="6">
        <f>I660-J660</f>
        <v/>
      </c>
      <c r="L660" s="6">
        <f>IF(H660="DISTRATO",0,I660)</f>
        <v/>
      </c>
    </row>
    <row r="661">
      <c r="A661" s="38" t="inlineStr">
        <is>
          <t>Conta corrente MFRUGIS08.XLS</t>
        </is>
      </c>
      <c r="B661" s="39" t="n">
        <v>39776</v>
      </c>
      <c r="C661" s="4" t="n">
        <v>39753</v>
      </c>
      <c r="D661" s="5">
        <f>YEAR(C661)</f>
        <v/>
      </c>
      <c r="E661" s="5">
        <f>MONTH(C661)</f>
        <v/>
      </c>
      <c r="F661" s="38" t="inlineStr">
        <is>
          <t>NFV  :TENDA ATACADO LTDA</t>
        </is>
      </c>
      <c r="G661" s="38" t="inlineStr">
        <is>
          <t>MARIO FRUGIS (01.04.01)</t>
        </is>
      </c>
      <c r="H661" s="38" t="inlineStr">
        <is>
          <t>NFV</t>
        </is>
      </c>
      <c r="I661" s="40" t="n">
        <v>48.56</v>
      </c>
      <c r="J661" s="40" t="n">
        <v>0</v>
      </c>
      <c r="K661" s="6">
        <f>I661-J661</f>
        <v/>
      </c>
      <c r="L661" s="6">
        <f>IF(H661="DISTRATO",0,I661)</f>
        <v/>
      </c>
    </row>
    <row r="662">
      <c r="A662" s="38" t="inlineStr">
        <is>
          <t>Conta corrente MFRUGIS08.XLS</t>
        </is>
      </c>
      <c r="B662" s="39" t="n">
        <v>39779</v>
      </c>
      <c r="C662" s="4" t="n">
        <v>39753</v>
      </c>
      <c r="D662" s="5">
        <f>YEAR(C662)</f>
        <v/>
      </c>
      <c r="E662" s="5">
        <f>MONTH(C662)</f>
        <v/>
      </c>
      <c r="F662" s="38" t="inlineStr">
        <is>
          <t>NFV  :TENDA ATACADO LTDA</t>
        </is>
      </c>
      <c r="G662" s="38" t="inlineStr">
        <is>
          <t>MARIO FRUGIS (01.04.01)</t>
        </is>
      </c>
      <c r="H662" s="38" t="inlineStr">
        <is>
          <t>NFV</t>
        </is>
      </c>
      <c r="I662" s="40" t="n">
        <v>18.74</v>
      </c>
      <c r="J662" s="40" t="n">
        <v>0</v>
      </c>
      <c r="K662" s="6">
        <f>I662-J662</f>
        <v/>
      </c>
      <c r="L662" s="6">
        <f>IF(H662="DISTRATO",0,I662)</f>
        <v/>
      </c>
    </row>
    <row r="663">
      <c r="A663" s="38" t="inlineStr">
        <is>
          <t>Conta corrente MFRUGIS08.XLS</t>
        </is>
      </c>
      <c r="B663" s="39" t="n">
        <v>39779</v>
      </c>
      <c r="C663" s="4" t="n">
        <v>39753</v>
      </c>
      <c r="D663" s="5">
        <f>YEAR(C663)</f>
        <v/>
      </c>
      <c r="E663" s="5">
        <f>MONTH(C663)</f>
        <v/>
      </c>
      <c r="F663" s="38" t="inlineStr">
        <is>
          <t>NFV  :TENDA ATACADO LTDA</t>
        </is>
      </c>
      <c r="G663" s="38" t="inlineStr">
        <is>
          <t>MARIO FRUGIS (01.04.01)</t>
        </is>
      </c>
      <c r="H663" s="38" t="inlineStr">
        <is>
          <t>NFV</t>
        </is>
      </c>
      <c r="I663" s="40" t="n">
        <v>26.45</v>
      </c>
      <c r="J663" s="40" t="n">
        <v>0</v>
      </c>
      <c r="K663" s="6">
        <f>I663-J663</f>
        <v/>
      </c>
      <c r="L663" s="6">
        <f>IF(H663="DISTRATO",0,I663)</f>
        <v/>
      </c>
    </row>
    <row r="664">
      <c r="A664" s="38" t="inlineStr">
        <is>
          <t>Conta corrente MFRUGIS08.XLS</t>
        </is>
      </c>
      <c r="B664" s="39" t="n">
        <v>39779</v>
      </c>
      <c r="C664" s="4" t="n">
        <v>39753</v>
      </c>
      <c r="D664" s="5">
        <f>YEAR(C664)</f>
        <v/>
      </c>
      <c r="E664" s="5">
        <f>MONTH(C664)</f>
        <v/>
      </c>
      <c r="F664" s="38" t="inlineStr">
        <is>
          <t>NFV  :TENDA ATACADO LTDA</t>
        </is>
      </c>
      <c r="G664" s="38" t="inlineStr">
        <is>
          <t>MARIO FRUGIS (01.04.01)</t>
        </is>
      </c>
      <c r="H664" s="38" t="inlineStr">
        <is>
          <t>NFV</t>
        </is>
      </c>
      <c r="I664" s="40" t="n">
        <v>13.29</v>
      </c>
      <c r="J664" s="40" t="n">
        <v>0</v>
      </c>
      <c r="K664" s="6">
        <f>I664-J664</f>
        <v/>
      </c>
      <c r="L664" s="6">
        <f>IF(H664="DISTRATO",0,I664)</f>
        <v/>
      </c>
    </row>
    <row r="665">
      <c r="A665" s="38" t="inlineStr">
        <is>
          <t>Conta corrente MFRUGIS08.XLS</t>
        </is>
      </c>
      <c r="B665" s="39" t="n">
        <v>39780</v>
      </c>
      <c r="C665" s="4" t="n">
        <v>39753</v>
      </c>
      <c r="D665" s="5">
        <f>YEAR(C665)</f>
        <v/>
      </c>
      <c r="E665" s="5">
        <f>MONTH(C665)</f>
        <v/>
      </c>
      <c r="F665" s="38" t="inlineStr">
        <is>
          <t>BONIF:TENDA ATACADO LTDA</t>
        </is>
      </c>
      <c r="G665" s="38" t="inlineStr">
        <is>
          <t>MARIO FRUGIS (01.04.01)</t>
        </is>
      </c>
      <c r="H665" s="38" t="inlineStr">
        <is>
          <t>BONIFICACAO</t>
        </is>
      </c>
      <c r="I665" s="40" t="n">
        <v>-19.49</v>
      </c>
      <c r="J665" s="40" t="n">
        <v>0</v>
      </c>
      <c r="K665" s="6">
        <f>I665-J665</f>
        <v/>
      </c>
      <c r="L665" s="6">
        <f>IF(H665="DISTRATO",0,I665)</f>
        <v/>
      </c>
    </row>
    <row r="666">
      <c r="A666" s="38" t="inlineStr">
        <is>
          <t>Conta corrente MFRUGIS08.XLS</t>
        </is>
      </c>
      <c r="B666" s="39" t="n">
        <v>39780</v>
      </c>
      <c r="C666" s="4" t="n">
        <v>39753</v>
      </c>
      <c r="D666" s="5">
        <f>YEAR(C666)</f>
        <v/>
      </c>
      <c r="E666" s="5">
        <f>MONTH(C666)</f>
        <v/>
      </c>
      <c r="F666" s="38" t="inlineStr">
        <is>
          <t>BONIF:TENDA ATACADO LTDA</t>
        </is>
      </c>
      <c r="G666" s="38" t="inlineStr">
        <is>
          <t>MARIO FRUGIS (01.04.01)</t>
        </is>
      </c>
      <c r="H666" s="38" t="inlineStr">
        <is>
          <t>BONIFICACAO</t>
        </is>
      </c>
      <c r="I666" s="40" t="n">
        <v>-19.49</v>
      </c>
      <c r="J666" s="40" t="n">
        <v>0</v>
      </c>
      <c r="K666" s="6">
        <f>I666-J666</f>
        <v/>
      </c>
      <c r="L666" s="6">
        <f>IF(H666="DISTRATO",0,I666)</f>
        <v/>
      </c>
    </row>
    <row r="667">
      <c r="A667" s="38" t="inlineStr">
        <is>
          <t>Conta corrente MFRUGIS08.XLS</t>
        </is>
      </c>
      <c r="B667" s="39" t="n">
        <v>39780</v>
      </c>
      <c r="C667" s="4" t="n">
        <v>39753</v>
      </c>
      <c r="D667" s="5">
        <f>YEAR(C667)</f>
        <v/>
      </c>
      <c r="E667" s="5">
        <f>MONTH(C667)</f>
        <v/>
      </c>
      <c r="F667" s="38" t="inlineStr">
        <is>
          <t>BONIF:TENDA ATACADO LTDA</t>
        </is>
      </c>
      <c r="G667" s="38" t="inlineStr">
        <is>
          <t>MARIO FRUGIS (01.04.01)</t>
        </is>
      </c>
      <c r="H667" s="38" t="inlineStr">
        <is>
          <t>BONIFICACAO</t>
        </is>
      </c>
      <c r="I667" s="40" t="n">
        <v>-51.01</v>
      </c>
      <c r="J667" s="40" t="n">
        <v>0</v>
      </c>
      <c r="K667" s="6">
        <f>I667-J667</f>
        <v/>
      </c>
      <c r="L667" s="6">
        <f>IF(H667="DISTRATO",0,I667)</f>
        <v/>
      </c>
    </row>
    <row r="668">
      <c r="A668" s="38" t="inlineStr">
        <is>
          <t>Conta corrente MFRUGIS08.XLS</t>
        </is>
      </c>
      <c r="B668" s="39" t="n">
        <v>39780</v>
      </c>
      <c r="C668" s="4" t="n">
        <v>39753</v>
      </c>
      <c r="D668" s="5">
        <f>YEAR(C668)</f>
        <v/>
      </c>
      <c r="E668" s="5">
        <f>MONTH(C668)</f>
        <v/>
      </c>
      <c r="F668" s="38" t="inlineStr">
        <is>
          <t>BONIF:TENDA ATACADO LTDA</t>
        </is>
      </c>
      <c r="G668" s="38" t="inlineStr">
        <is>
          <t>MARIO FRUGIS (01.04.01)</t>
        </is>
      </c>
      <c r="H668" s="38" t="inlineStr">
        <is>
          <t>BONIFICACAO</t>
        </is>
      </c>
      <c r="I668" s="40" t="n">
        <v>-51.01</v>
      </c>
      <c r="J668" s="40" t="n">
        <v>0</v>
      </c>
      <c r="K668" s="6">
        <f>I668-J668</f>
        <v/>
      </c>
      <c r="L668" s="6">
        <f>IF(H668="DISTRATO",0,I668)</f>
        <v/>
      </c>
    </row>
    <row r="669">
      <c r="A669" s="38" t="inlineStr">
        <is>
          <t>Conta corrente MFRUGIS08.XLS</t>
        </is>
      </c>
      <c r="B669" s="39" t="n">
        <v>39780</v>
      </c>
      <c r="C669" s="4" t="n">
        <v>39753</v>
      </c>
      <c r="D669" s="5">
        <f>YEAR(C669)</f>
        <v/>
      </c>
      <c r="E669" s="5">
        <f>MONTH(C669)</f>
        <v/>
      </c>
      <c r="F669" s="38" t="inlineStr">
        <is>
          <t>BONIF:TENDA ATACADO LTDA</t>
        </is>
      </c>
      <c r="G669" s="38" t="inlineStr">
        <is>
          <t>MARIO FRUGIS (01.04.01)</t>
        </is>
      </c>
      <c r="H669" s="38" t="inlineStr">
        <is>
          <t>BONIFICACAO</t>
        </is>
      </c>
      <c r="I669" s="40" t="n">
        <v>-54.86</v>
      </c>
      <c r="J669" s="40" t="n">
        <v>0</v>
      </c>
      <c r="K669" s="6">
        <f>I669-J669</f>
        <v/>
      </c>
      <c r="L669" s="6">
        <f>IF(H669="DISTRATO",0,I669)</f>
        <v/>
      </c>
    </row>
    <row r="670">
      <c r="A670" s="38" t="inlineStr">
        <is>
          <t>Conta corrente MFRUGIS08.XLS</t>
        </is>
      </c>
      <c r="B670" s="39" t="n">
        <v>39780</v>
      </c>
      <c r="C670" s="4" t="n">
        <v>39753</v>
      </c>
      <c r="D670" s="5">
        <f>YEAR(C670)</f>
        <v/>
      </c>
      <c r="E670" s="5">
        <f>MONTH(C670)</f>
        <v/>
      </c>
      <c r="F670" s="38" t="inlineStr">
        <is>
          <t>DIF (ajuste de % do Tenda)</t>
        </is>
      </c>
      <c r="G670" s="38" t="inlineStr">
        <is>
          <t>MARIO FRUGIS (01.04.01)</t>
        </is>
      </c>
      <c r="H670" s="38" t="inlineStr">
        <is>
          <t>AJUSTE % TENDA</t>
        </is>
      </c>
      <c r="I670" s="40" t="n">
        <v>-0.03</v>
      </c>
      <c r="J670" s="40" t="n">
        <v>0</v>
      </c>
      <c r="K670" s="6">
        <f>I670-J670</f>
        <v/>
      </c>
      <c r="L670" s="6">
        <f>IF(H670="DISTRATO",0,I670)</f>
        <v/>
      </c>
    </row>
    <row r="671">
      <c r="A671" s="38" t="inlineStr">
        <is>
          <t>Conta corrente MFRUGIS08.XLS</t>
        </is>
      </c>
      <c r="B671" s="39" t="n">
        <v>39780</v>
      </c>
      <c r="C671" s="4" t="n">
        <v>39753</v>
      </c>
      <c r="D671" s="5">
        <f>YEAR(C671)</f>
        <v/>
      </c>
      <c r="E671" s="5">
        <f>MONTH(C671)</f>
        <v/>
      </c>
      <c r="F671" s="38" t="inlineStr">
        <is>
          <t>DIFERENCA                             1. (ajuste de % do Tenda)</t>
        </is>
      </c>
      <c r="G671" s="38" t="inlineStr">
        <is>
          <t>MARIO FRUGIS (01.04.01)</t>
        </is>
      </c>
      <c r="H671" s="38" t="inlineStr">
        <is>
          <t>AJUSTE % TENDA</t>
        </is>
      </c>
      <c r="I671" s="40" t="n">
        <v>1407.88</v>
      </c>
      <c r="J671" s="40" t="n">
        <v>0</v>
      </c>
      <c r="K671" s="6">
        <f>I671-J671</f>
        <v/>
      </c>
      <c r="L671" s="6">
        <f>IF(H671="DISTRATO",0,I671)</f>
        <v/>
      </c>
    </row>
    <row r="672">
      <c r="A672" s="38" t="inlineStr">
        <is>
          <t>Conta corrente MFRUGIS08.XLS</t>
        </is>
      </c>
      <c r="B672" s="39" t="n">
        <v>39780</v>
      </c>
      <c r="C672" s="4" t="n">
        <v>39753</v>
      </c>
      <c r="D672" s="5">
        <f>YEAR(C672)</f>
        <v/>
      </c>
      <c r="E672" s="5">
        <f>MONTH(C672)</f>
        <v/>
      </c>
      <c r="F672" s="38" t="inlineStr">
        <is>
          <t>NFV  :TENDA ATACADO LTDA</t>
        </is>
      </c>
      <c r="G672" s="38" t="inlineStr">
        <is>
          <t>MARIO FRUGIS (01.04.01)</t>
        </is>
      </c>
      <c r="H672" s="38" t="inlineStr">
        <is>
          <t>NFV</t>
        </is>
      </c>
      <c r="I672" s="40" t="n">
        <v>23.35</v>
      </c>
      <c r="J672" s="40" t="n">
        <v>0</v>
      </c>
      <c r="K672" s="6">
        <f>I672-J672</f>
        <v/>
      </c>
      <c r="L672" s="6">
        <f>IF(H672="DISTRATO",0,I672)</f>
        <v/>
      </c>
    </row>
    <row r="673">
      <c r="A673" s="38" t="inlineStr">
        <is>
          <t>Conta corrente MFRUGIS08.XLS</t>
        </is>
      </c>
      <c r="B673" s="39" t="n">
        <v>39780</v>
      </c>
      <c r="C673" s="4" t="n">
        <v>39753</v>
      </c>
      <c r="D673" s="5">
        <f>YEAR(C673)</f>
        <v/>
      </c>
      <c r="E673" s="5">
        <f>MONTH(C673)</f>
        <v/>
      </c>
      <c r="F673" s="38" t="inlineStr">
        <is>
          <t>NFV  :TENDA ATACADO LTDA</t>
        </is>
      </c>
      <c r="G673" s="38" t="inlineStr">
        <is>
          <t>MARIO FRUGIS (01.04.01)</t>
        </is>
      </c>
      <c r="H673" s="38" t="inlineStr">
        <is>
          <t>NFV</t>
        </is>
      </c>
      <c r="I673" s="40" t="n">
        <v>22.62</v>
      </c>
      <c r="J673" s="40" t="n">
        <v>0</v>
      </c>
      <c r="K673" s="6">
        <f>I673-J673</f>
        <v/>
      </c>
      <c r="L673" s="6">
        <f>IF(H673="DISTRATO",0,I673)</f>
        <v/>
      </c>
    </row>
    <row r="674">
      <c r="A674" s="38" t="inlineStr">
        <is>
          <t>Conta corrente MFRUGIS08.XLS</t>
        </is>
      </c>
      <c r="B674" s="39" t="n">
        <v>39780</v>
      </c>
      <c r="C674" s="4" t="n">
        <v>39753</v>
      </c>
      <c r="D674" s="5">
        <f>YEAR(C674)</f>
        <v/>
      </c>
      <c r="E674" s="5">
        <f>MONTH(C674)</f>
        <v/>
      </c>
      <c r="F674" s="38" t="inlineStr">
        <is>
          <t>NFV  :TENDA ATACADO LTDA</t>
        </is>
      </c>
      <c r="G674" s="38" t="inlineStr">
        <is>
          <t>MARIO FRUGIS (01.04.01)</t>
        </is>
      </c>
      <c r="H674" s="38" t="inlineStr">
        <is>
          <t>NFV</t>
        </is>
      </c>
      <c r="I674" s="40" t="n">
        <v>15.24</v>
      </c>
      <c r="J674" s="40" t="n">
        <v>0</v>
      </c>
      <c r="K674" s="6">
        <f>I674-J674</f>
        <v/>
      </c>
      <c r="L674" s="6">
        <f>IF(H674="DISTRATO",0,I674)</f>
        <v/>
      </c>
    </row>
    <row r="675">
      <c r="A675" s="38" t="inlineStr">
        <is>
          <t>Conta corrente MFRUGIS08.XLS</t>
        </is>
      </c>
      <c r="B675" s="39" t="n">
        <v>39780</v>
      </c>
      <c r="C675" s="4" t="n">
        <v>39753</v>
      </c>
      <c r="D675" s="5">
        <f>YEAR(C675)</f>
        <v/>
      </c>
      <c r="E675" s="5">
        <f>MONTH(C675)</f>
        <v/>
      </c>
      <c r="F675" s="38" t="inlineStr">
        <is>
          <t>NFV  :TENDA ATACADO LTDA</t>
        </is>
      </c>
      <c r="G675" s="38" t="inlineStr">
        <is>
          <t>MARIO FRUGIS (01.04.01)</t>
        </is>
      </c>
      <c r="H675" s="38" t="inlineStr">
        <is>
          <t>NFV</t>
        </is>
      </c>
      <c r="I675" s="40" t="n">
        <v>7.92</v>
      </c>
      <c r="J675" s="40" t="n">
        <v>0</v>
      </c>
      <c r="K675" s="6">
        <f>I675-J675</f>
        <v/>
      </c>
      <c r="L675" s="6">
        <f>IF(H675="DISTRATO",0,I675)</f>
        <v/>
      </c>
    </row>
    <row r="676">
      <c r="A676" s="38" t="inlineStr">
        <is>
          <t>Conta corrente MFRUGIS08.XLS</t>
        </is>
      </c>
      <c r="B676" s="39" t="n">
        <v>39780</v>
      </c>
      <c r="C676" s="4" t="n">
        <v>39753</v>
      </c>
      <c r="D676" s="5">
        <f>YEAR(C676)</f>
        <v/>
      </c>
      <c r="E676" s="5">
        <f>MONTH(C676)</f>
        <v/>
      </c>
      <c r="F676" s="38" t="inlineStr">
        <is>
          <t>NFV  :TENDA ATACADO LTDA</t>
        </is>
      </c>
      <c r="G676" s="38" t="inlineStr">
        <is>
          <t>MARIO FRUGIS (01.04.01)</t>
        </is>
      </c>
      <c r="H676" s="38" t="inlineStr">
        <is>
          <t>NFV</t>
        </is>
      </c>
      <c r="I676" s="40" t="n">
        <v>8.539999999999999</v>
      </c>
      <c r="J676" s="40" t="n">
        <v>0</v>
      </c>
      <c r="K676" s="6">
        <f>I676-J676</f>
        <v/>
      </c>
      <c r="L676" s="6">
        <f>IF(H676="DISTRATO",0,I676)</f>
        <v/>
      </c>
    </row>
    <row r="677">
      <c r="A677" s="38" t="inlineStr">
        <is>
          <t>Conta corrente MFRUGIS08.XLS</t>
        </is>
      </c>
      <c r="B677" s="39" t="n">
        <v>39780</v>
      </c>
      <c r="C677" s="4" t="n">
        <v>39753</v>
      </c>
      <c r="D677" s="5">
        <f>YEAR(C677)</f>
        <v/>
      </c>
      <c r="E677" s="5">
        <f>MONTH(C677)</f>
        <v/>
      </c>
      <c r="F677" s="38" t="inlineStr">
        <is>
          <t>NFV  :TENDA ATACADO LTDA</t>
        </is>
      </c>
      <c r="G677" s="38" t="inlineStr">
        <is>
          <t>MARIO FRUGIS (01.04.01)</t>
        </is>
      </c>
      <c r="H677" s="38" t="inlineStr">
        <is>
          <t>NFV</t>
        </is>
      </c>
      <c r="I677" s="40" t="n">
        <v>32.38</v>
      </c>
      <c r="J677" s="40" t="n">
        <v>0</v>
      </c>
      <c r="K677" s="6">
        <f>I677-J677</f>
        <v/>
      </c>
      <c r="L677" s="6">
        <f>IF(H677="DISTRATO",0,I677)</f>
        <v/>
      </c>
    </row>
    <row r="678">
      <c r="A678" s="38" t="inlineStr">
        <is>
          <t>Conta corrente MFRUGIS08.XLS</t>
        </is>
      </c>
      <c r="B678" s="39" t="n">
        <v>39780</v>
      </c>
      <c r="C678" s="4" t="n">
        <v>39753</v>
      </c>
      <c r="D678" s="5">
        <f>YEAR(C678)</f>
        <v/>
      </c>
      <c r="E678" s="5">
        <f>MONTH(C678)</f>
        <v/>
      </c>
      <c r="F678" s="38" t="inlineStr">
        <is>
          <t>NFV  :TENDA ATACADO LTDA</t>
        </is>
      </c>
      <c r="G678" s="38" t="inlineStr">
        <is>
          <t>MARIO FRUGIS (01.04.01)</t>
        </is>
      </c>
      <c r="H678" s="38" t="inlineStr">
        <is>
          <t>NFV</t>
        </is>
      </c>
      <c r="I678" s="40" t="n">
        <v>56.24</v>
      </c>
      <c r="J678" s="40" t="n">
        <v>0</v>
      </c>
      <c r="K678" s="6">
        <f>I678-J678</f>
        <v/>
      </c>
      <c r="L678" s="6">
        <f>IF(H678="DISTRATO",0,I678)</f>
        <v/>
      </c>
    </row>
    <row r="679">
      <c r="A679" s="38" t="inlineStr">
        <is>
          <t>Conta corrente MFRUGIS08.XLS</t>
        </is>
      </c>
      <c r="B679" s="39" t="n">
        <v>39780</v>
      </c>
      <c r="C679" s="4" t="n">
        <v>39753</v>
      </c>
      <c r="D679" s="5">
        <f>YEAR(C679)</f>
        <v/>
      </c>
      <c r="E679" s="5">
        <f>MONTH(C679)</f>
        <v/>
      </c>
      <c r="F679" s="38" t="inlineStr">
        <is>
          <t>NFV  :TENDA ATACADO LTDA</t>
        </is>
      </c>
      <c r="G679" s="38" t="inlineStr">
        <is>
          <t>MARIO FRUGIS (01.04.01)</t>
        </is>
      </c>
      <c r="H679" s="38" t="inlineStr">
        <is>
          <t>NFV</t>
        </is>
      </c>
      <c r="I679" s="40" t="n">
        <v>15.85</v>
      </c>
      <c r="J679" s="40" t="n">
        <v>0</v>
      </c>
      <c r="K679" s="6">
        <f>I679-J679</f>
        <v/>
      </c>
      <c r="L679" s="6">
        <f>IF(H679="DISTRATO",0,I679)</f>
        <v/>
      </c>
    </row>
    <row r="680">
      <c r="A680" s="38" t="inlineStr">
        <is>
          <t>Conta corrente MFRUGIS08.XLS</t>
        </is>
      </c>
      <c r="B680" s="39" t="n">
        <v>39780</v>
      </c>
      <c r="C680" s="4" t="n">
        <v>39753</v>
      </c>
      <c r="D680" s="5">
        <f>YEAR(C680)</f>
        <v/>
      </c>
      <c r="E680" s="5">
        <f>MONTH(C680)</f>
        <v/>
      </c>
      <c r="F680" s="38" t="inlineStr">
        <is>
          <t>NFV  :TENDA ATACADO LTDA</t>
        </is>
      </c>
      <c r="G680" s="38" t="inlineStr">
        <is>
          <t>MARIO FRUGIS (01.04.01)</t>
        </is>
      </c>
      <c r="H680" s="38" t="inlineStr">
        <is>
          <t>NFV</t>
        </is>
      </c>
      <c r="I680" s="40" t="n">
        <v>54.65</v>
      </c>
      <c r="J680" s="40" t="n">
        <v>0</v>
      </c>
      <c r="K680" s="6">
        <f>I680-J680</f>
        <v/>
      </c>
      <c r="L680" s="6">
        <f>IF(H680="DISTRATO",0,I680)</f>
        <v/>
      </c>
    </row>
    <row r="681">
      <c r="A681" s="38" t="inlineStr">
        <is>
          <t>Conta corrente MFRUGIS08.XLS</t>
        </is>
      </c>
      <c r="B681" s="39" t="n">
        <v>39780</v>
      </c>
      <c r="C681" s="4" t="n">
        <v>39753</v>
      </c>
      <c r="D681" s="5">
        <f>YEAR(C681)</f>
        <v/>
      </c>
      <c r="E681" s="5">
        <f>MONTH(C681)</f>
        <v/>
      </c>
      <c r="F681" s="38" t="inlineStr">
        <is>
          <t>NFV  :TENDA ATACADO LTDA</t>
        </is>
      </c>
      <c r="G681" s="38" t="inlineStr">
        <is>
          <t>MARIO FRUGIS (01.04.01)</t>
        </is>
      </c>
      <c r="H681" s="38" t="inlineStr">
        <is>
          <t>NFV</t>
        </is>
      </c>
      <c r="I681" s="40" t="n">
        <v>63.97</v>
      </c>
      <c r="J681" s="40" t="n">
        <v>0</v>
      </c>
      <c r="K681" s="6">
        <f>I681-J681</f>
        <v/>
      </c>
      <c r="L681" s="6">
        <f>IF(H681="DISTRATO",0,I681)</f>
        <v/>
      </c>
    </row>
    <row r="682">
      <c r="A682" s="38" t="inlineStr">
        <is>
          <t>Conta corrente MFRUGIS08.XLS</t>
        </is>
      </c>
      <c r="B682" s="39" t="n">
        <v>39780</v>
      </c>
      <c r="C682" s="4" t="n">
        <v>39753</v>
      </c>
      <c r="D682" s="5">
        <f>YEAR(C682)</f>
        <v/>
      </c>
      <c r="E682" s="5">
        <f>MONTH(C682)</f>
        <v/>
      </c>
      <c r="F682" s="38" t="inlineStr">
        <is>
          <t>NFV  :TENDA ATACADO LTDA</t>
        </is>
      </c>
      <c r="G682" s="38" t="inlineStr">
        <is>
          <t>MARIO FRUGIS (01.04.01)</t>
        </is>
      </c>
      <c r="H682" s="38" t="inlineStr">
        <is>
          <t>NFV</t>
        </is>
      </c>
      <c r="I682" s="40" t="n">
        <v>15.54</v>
      </c>
      <c r="J682" s="40" t="n">
        <v>0</v>
      </c>
      <c r="K682" s="6">
        <f>I682-J682</f>
        <v/>
      </c>
      <c r="L682" s="6">
        <f>IF(H682="DISTRATO",0,I682)</f>
        <v/>
      </c>
    </row>
    <row r="683">
      <c r="A683" s="38" t="inlineStr">
        <is>
          <t>Conta corrente MFRUGIS08.XLS</t>
        </is>
      </c>
      <c r="B683" s="39" t="n">
        <v>39780</v>
      </c>
      <c r="C683" s="4" t="n">
        <v>39753</v>
      </c>
      <c r="D683" s="5">
        <f>YEAR(C683)</f>
        <v/>
      </c>
      <c r="E683" s="5">
        <f>MONTH(C683)</f>
        <v/>
      </c>
      <c r="F683" s="38" t="inlineStr">
        <is>
          <t>NFV  :TENDA ATACADO LTDA</t>
        </is>
      </c>
      <c r="G683" s="38" t="inlineStr">
        <is>
          <t>MARIO FRUGIS (01.04.01)</t>
        </is>
      </c>
      <c r="H683" s="38" t="inlineStr">
        <is>
          <t>NFV</t>
        </is>
      </c>
      <c r="I683" s="40" t="n">
        <v>15.54</v>
      </c>
      <c r="J683" s="40" t="n">
        <v>0</v>
      </c>
      <c r="K683" s="6">
        <f>I683-J683</f>
        <v/>
      </c>
      <c r="L683" s="6">
        <f>IF(H683="DISTRATO",0,I683)</f>
        <v/>
      </c>
    </row>
    <row r="684">
      <c r="A684" s="38" t="inlineStr">
        <is>
          <t>Conta corrente MFRUGIS08.XLS</t>
        </is>
      </c>
      <c r="B684" s="39" t="n">
        <v>39780</v>
      </c>
      <c r="C684" s="4" t="n">
        <v>39753</v>
      </c>
      <c r="D684" s="5">
        <f>YEAR(C684)</f>
        <v/>
      </c>
      <c r="E684" s="5">
        <f>MONTH(C684)</f>
        <v/>
      </c>
      <c r="F684" s="38" t="inlineStr">
        <is>
          <t>NFV  :TENDA ATACADO LTDA</t>
        </is>
      </c>
      <c r="G684" s="38" t="inlineStr">
        <is>
          <t>MARIO FRUGIS (01.04.01)</t>
        </is>
      </c>
      <c r="H684" s="38" t="inlineStr">
        <is>
          <t>NFV</t>
        </is>
      </c>
      <c r="I684" s="40" t="n">
        <v>7.92</v>
      </c>
      <c r="J684" s="40" t="n">
        <v>0</v>
      </c>
      <c r="K684" s="6">
        <f>I684-J684</f>
        <v/>
      </c>
      <c r="L684" s="6">
        <f>IF(H684="DISTRATO",0,I684)</f>
        <v/>
      </c>
    </row>
    <row r="685">
      <c r="A685" s="38" t="inlineStr">
        <is>
          <t>Conta corrente MFRUGIS08.XLS</t>
        </is>
      </c>
      <c r="B685" s="39" t="n">
        <v>39780</v>
      </c>
      <c r="C685" s="4" t="n">
        <v>39753</v>
      </c>
      <c r="D685" s="5">
        <f>YEAR(C685)</f>
        <v/>
      </c>
      <c r="E685" s="5">
        <f>MONTH(C685)</f>
        <v/>
      </c>
      <c r="F685" s="38" t="inlineStr">
        <is>
          <t>NFV  :TENDA ATACADO LTDA</t>
        </is>
      </c>
      <c r="G685" s="38" t="inlineStr">
        <is>
          <t>MARIO FRUGIS (01.04.01)</t>
        </is>
      </c>
      <c r="H685" s="38" t="inlineStr">
        <is>
          <t>NFV</t>
        </is>
      </c>
      <c r="I685" s="40" t="n">
        <v>64.25</v>
      </c>
      <c r="J685" s="40" t="n">
        <v>0</v>
      </c>
      <c r="K685" s="6">
        <f>I685-J685</f>
        <v/>
      </c>
      <c r="L685" s="6">
        <f>IF(H685="DISTRATO",0,I685)</f>
        <v/>
      </c>
    </row>
    <row r="686">
      <c r="A686" s="38" t="inlineStr">
        <is>
          <t>Conta corrente MFRUGIS08.XLS</t>
        </is>
      </c>
      <c r="B686" s="39" t="n">
        <v>39780</v>
      </c>
      <c r="C686" s="4" t="n">
        <v>39753</v>
      </c>
      <c r="D686" s="5">
        <f>YEAR(C686)</f>
        <v/>
      </c>
      <c r="E686" s="5">
        <f>MONTH(C686)</f>
        <v/>
      </c>
      <c r="F686" s="38" t="inlineStr">
        <is>
          <t>NFV  :TENDA ATACADO LTDA</t>
        </is>
      </c>
      <c r="G686" s="38" t="inlineStr">
        <is>
          <t>MARIO FRUGIS (01.04.01)</t>
        </is>
      </c>
      <c r="H686" s="38" t="inlineStr">
        <is>
          <t>NFV</t>
        </is>
      </c>
      <c r="I686" s="40" t="n">
        <v>15.54</v>
      </c>
      <c r="J686" s="40" t="n">
        <v>0</v>
      </c>
      <c r="K686" s="6">
        <f>I686-J686</f>
        <v/>
      </c>
      <c r="L686" s="6">
        <f>IF(H686="DISTRATO",0,I686)</f>
        <v/>
      </c>
    </row>
    <row r="687">
      <c r="A687" s="38" t="inlineStr">
        <is>
          <t>Conta corrente MFRUGIS08.XLS</t>
        </is>
      </c>
      <c r="B687" s="39" t="n">
        <v>39780</v>
      </c>
      <c r="C687" s="4" t="n">
        <v>39753</v>
      </c>
      <c r="D687" s="5">
        <f>YEAR(C687)</f>
        <v/>
      </c>
      <c r="E687" s="5">
        <f>MONTH(C687)</f>
        <v/>
      </c>
      <c r="F687" s="38" t="inlineStr">
        <is>
          <t>NFV  :TENDA ATACADO LTDA</t>
        </is>
      </c>
      <c r="G687" s="38" t="inlineStr">
        <is>
          <t>MARIO FRUGIS (01.04.01)</t>
        </is>
      </c>
      <c r="H687" s="38" t="inlineStr">
        <is>
          <t>NFV</t>
        </is>
      </c>
      <c r="I687" s="40" t="n">
        <v>15.85</v>
      </c>
      <c r="J687" s="40" t="n">
        <v>0</v>
      </c>
      <c r="K687" s="6">
        <f>I687-J687</f>
        <v/>
      </c>
      <c r="L687" s="6">
        <f>IF(H687="DISTRATO",0,I687)</f>
        <v/>
      </c>
    </row>
    <row r="688">
      <c r="A688" s="38" t="inlineStr">
        <is>
          <t>Conta corrente MFRUGIS08.XLS</t>
        </is>
      </c>
      <c r="B688" s="39" t="n">
        <v>39780</v>
      </c>
      <c r="C688" s="4" t="n">
        <v>39753</v>
      </c>
      <c r="D688" s="5">
        <f>YEAR(C688)</f>
        <v/>
      </c>
      <c r="E688" s="5">
        <f>MONTH(C688)</f>
        <v/>
      </c>
      <c r="F688" s="38" t="inlineStr">
        <is>
          <t>NFV  :TENDA ATACADO LTDA</t>
        </is>
      </c>
      <c r="G688" s="38" t="inlineStr">
        <is>
          <t>MARIO FRUGIS (01.04.01)</t>
        </is>
      </c>
      <c r="H688" s="38" t="inlineStr">
        <is>
          <t>NFV</t>
        </is>
      </c>
      <c r="I688" s="40" t="n">
        <v>25.57</v>
      </c>
      <c r="J688" s="40" t="n">
        <v>0</v>
      </c>
      <c r="K688" s="6">
        <f>I688-J688</f>
        <v/>
      </c>
      <c r="L688" s="6">
        <f>IF(H688="DISTRATO",0,I688)</f>
        <v/>
      </c>
    </row>
    <row r="689">
      <c r="A689" s="38" t="inlineStr">
        <is>
          <t>Conta corrente MFRUGIS08.XLS</t>
        </is>
      </c>
      <c r="B689" s="39" t="n">
        <v>39780</v>
      </c>
      <c r="C689" s="4" t="n">
        <v>39753</v>
      </c>
      <c r="D689" s="5">
        <f>YEAR(C689)</f>
        <v/>
      </c>
      <c r="E689" s="5">
        <f>MONTH(C689)</f>
        <v/>
      </c>
      <c r="F689" s="38" t="inlineStr">
        <is>
          <t>NFV  :TENDA ATACADO LTDA</t>
        </is>
      </c>
      <c r="G689" s="38" t="inlineStr">
        <is>
          <t>MARIO FRUGIS (01.04.01)</t>
        </is>
      </c>
      <c r="H689" s="38" t="inlineStr">
        <is>
          <t>NFV</t>
        </is>
      </c>
      <c r="I689" s="40" t="n">
        <v>43.02</v>
      </c>
      <c r="J689" s="40" t="n">
        <v>0</v>
      </c>
      <c r="K689" s="6">
        <f>I689-J689</f>
        <v/>
      </c>
      <c r="L689" s="6">
        <f>IF(H689="DISTRATO",0,I689)</f>
        <v/>
      </c>
    </row>
    <row r="690">
      <c r="A690" s="38" t="inlineStr">
        <is>
          <t>Conta corrente MFRUGIS08.XLS</t>
        </is>
      </c>
      <c r="B690" s="39" t="n">
        <v>39785</v>
      </c>
      <c r="C690" s="4" t="n">
        <v>39783</v>
      </c>
      <c r="D690" s="5">
        <f>YEAR(C690)</f>
        <v/>
      </c>
      <c r="E690" s="5">
        <f>MONTH(C690)</f>
        <v/>
      </c>
      <c r="F690" s="38" t="inlineStr">
        <is>
          <t>NFV  :TENDA ATACADO LTDA</t>
        </is>
      </c>
      <c r="G690" s="38" t="inlineStr">
        <is>
          <t>MARIO FRUGIS (01.04.01)</t>
        </is>
      </c>
      <c r="H690" s="38" t="inlineStr">
        <is>
          <t>NFV</t>
        </is>
      </c>
      <c r="I690" s="40" t="n">
        <v>58.79</v>
      </c>
      <c r="J690" s="40" t="n">
        <v>0</v>
      </c>
      <c r="K690" s="6">
        <f>I690-J690</f>
        <v/>
      </c>
      <c r="L690" s="6">
        <f>IF(H690="DISTRATO",0,I690)</f>
        <v/>
      </c>
    </row>
    <row r="691">
      <c r="A691" s="38" t="inlineStr">
        <is>
          <t>Conta corrente MFRUGIS08.XLS</t>
        </is>
      </c>
      <c r="B691" s="39" t="n">
        <v>39785</v>
      </c>
      <c r="C691" s="4" t="n">
        <v>39783</v>
      </c>
      <c r="D691" s="5">
        <f>YEAR(C691)</f>
        <v/>
      </c>
      <c r="E691" s="5">
        <f>MONTH(C691)</f>
        <v/>
      </c>
      <c r="F691" s="38" t="inlineStr">
        <is>
          <t>NFV  :TENDA ATACADO LTDA</t>
        </is>
      </c>
      <c r="G691" s="38" t="inlineStr">
        <is>
          <t>MARIO FRUGIS (01.04.01)</t>
        </is>
      </c>
      <c r="H691" s="38" t="inlineStr">
        <is>
          <t>NFV</t>
        </is>
      </c>
      <c r="I691" s="40" t="n">
        <v>27.34</v>
      </c>
      <c r="J691" s="40" t="n">
        <v>0</v>
      </c>
      <c r="K691" s="6">
        <f>I691-J691</f>
        <v/>
      </c>
      <c r="L691" s="6">
        <f>IF(H691="DISTRATO",0,I691)</f>
        <v/>
      </c>
    </row>
    <row r="692">
      <c r="A692" s="38" t="inlineStr">
        <is>
          <t>Conta corrente MFRUGIS08.XLS</t>
        </is>
      </c>
      <c r="B692" s="39" t="n">
        <v>39785</v>
      </c>
      <c r="C692" s="4" t="n">
        <v>39783</v>
      </c>
      <c r="D692" s="5">
        <f>YEAR(C692)</f>
        <v/>
      </c>
      <c r="E692" s="5">
        <f>MONTH(C692)</f>
        <v/>
      </c>
      <c r="F692" s="38" t="inlineStr">
        <is>
          <t>NFV  :TENDA ATACADO LTDA</t>
        </is>
      </c>
      <c r="G692" s="38" t="inlineStr">
        <is>
          <t>MARIO FRUGIS (01.04.01)</t>
        </is>
      </c>
      <c r="H692" s="38" t="inlineStr">
        <is>
          <t>NFV</t>
        </is>
      </c>
      <c r="I692" s="40" t="n">
        <v>68.19</v>
      </c>
      <c r="J692" s="40" t="n">
        <v>0</v>
      </c>
      <c r="K692" s="6">
        <f>I692-J692</f>
        <v/>
      </c>
      <c r="L692" s="6">
        <f>IF(H692="DISTRATO",0,I692)</f>
        <v/>
      </c>
    </row>
    <row r="693">
      <c r="A693" s="38" t="inlineStr">
        <is>
          <t>Conta corrente MFRUGIS08.XLS</t>
        </is>
      </c>
      <c r="B693" s="39" t="n">
        <v>39786</v>
      </c>
      <c r="C693" s="4" t="n">
        <v>39783</v>
      </c>
      <c r="D693" s="5">
        <f>YEAR(C693)</f>
        <v/>
      </c>
      <c r="E693" s="5">
        <f>MONTH(C693)</f>
        <v/>
      </c>
      <c r="F693" s="38" t="inlineStr">
        <is>
          <t>NFV  :TENDA ATACADO LTDA</t>
        </is>
      </c>
      <c r="G693" s="38" t="inlineStr">
        <is>
          <t>MARIO FRUGIS (01.04.01)</t>
        </is>
      </c>
      <c r="H693" s="38" t="inlineStr">
        <is>
          <t>NFV</t>
        </is>
      </c>
      <c r="I693" s="40" t="n">
        <v>71.73999999999999</v>
      </c>
      <c r="J693" s="40" t="n">
        <v>0</v>
      </c>
      <c r="K693" s="6">
        <f>I693-J693</f>
        <v/>
      </c>
      <c r="L693" s="6">
        <f>IF(H693="DISTRATO",0,I693)</f>
        <v/>
      </c>
    </row>
    <row r="694">
      <c r="A694" s="38" t="inlineStr">
        <is>
          <t>Conta corrente MFRUGIS08.XLS</t>
        </is>
      </c>
      <c r="B694" s="39" t="n">
        <v>39786</v>
      </c>
      <c r="C694" s="4" t="n">
        <v>39783</v>
      </c>
      <c r="D694" s="5">
        <f>YEAR(C694)</f>
        <v/>
      </c>
      <c r="E694" s="5">
        <f>MONTH(C694)</f>
        <v/>
      </c>
      <c r="F694" s="38" t="inlineStr">
        <is>
          <t>NFV  :TENDA ATACADO LTDA</t>
        </is>
      </c>
      <c r="G694" s="38" t="inlineStr">
        <is>
          <t>MARIO FRUGIS (01.04.01)</t>
        </is>
      </c>
      <c r="H694" s="38" t="inlineStr">
        <is>
          <t>NFV</t>
        </is>
      </c>
      <c r="I694" s="40" t="n">
        <v>52.9</v>
      </c>
      <c r="J694" s="40" t="n">
        <v>0</v>
      </c>
      <c r="K694" s="6">
        <f>I694-J694</f>
        <v/>
      </c>
      <c r="L694" s="6">
        <f>IF(H694="DISTRATO",0,I694)</f>
        <v/>
      </c>
    </row>
    <row r="695">
      <c r="A695" s="38" t="inlineStr">
        <is>
          <t>Conta corrente MFRUGIS08.XLS</t>
        </is>
      </c>
      <c r="B695" s="39" t="n">
        <v>39786</v>
      </c>
      <c r="C695" s="4" t="n">
        <v>39783</v>
      </c>
      <c r="D695" s="5">
        <f>YEAR(C695)</f>
        <v/>
      </c>
      <c r="E695" s="5">
        <f>MONTH(C695)</f>
        <v/>
      </c>
      <c r="F695" s="38" t="inlineStr">
        <is>
          <t>NFV  :TENDA ATACADO LTDA</t>
        </is>
      </c>
      <c r="G695" s="38" t="inlineStr">
        <is>
          <t>MARIO FRUGIS (01.04.01)</t>
        </is>
      </c>
      <c r="H695" s="38" t="inlineStr">
        <is>
          <t>NFV</t>
        </is>
      </c>
      <c r="I695" s="40" t="n">
        <v>44.99</v>
      </c>
      <c r="J695" s="40" t="n">
        <v>0</v>
      </c>
      <c r="K695" s="6">
        <f>I695-J695</f>
        <v/>
      </c>
      <c r="L695" s="6">
        <f>IF(H695="DISTRATO",0,I695)</f>
        <v/>
      </c>
    </row>
    <row r="696">
      <c r="A696" s="38" t="inlineStr">
        <is>
          <t>Conta corrente MFRUGIS08.XLS</t>
        </is>
      </c>
      <c r="B696" s="39" t="n">
        <v>39786</v>
      </c>
      <c r="C696" s="4" t="n">
        <v>39783</v>
      </c>
      <c r="D696" s="5">
        <f>YEAR(C696)</f>
        <v/>
      </c>
      <c r="E696" s="5">
        <f>MONTH(C696)</f>
        <v/>
      </c>
      <c r="F696" s="38" t="inlineStr">
        <is>
          <t>NFV  :TENDA ATACADO LTDA</t>
        </is>
      </c>
      <c r="G696" s="38" t="inlineStr">
        <is>
          <t>MARIO FRUGIS (01.04.01)</t>
        </is>
      </c>
      <c r="H696" s="38" t="inlineStr">
        <is>
          <t>NFV</t>
        </is>
      </c>
      <c r="I696" s="40" t="n">
        <v>12.83</v>
      </c>
      <c r="J696" s="40" t="n">
        <v>0</v>
      </c>
      <c r="K696" s="6">
        <f>I696-J696</f>
        <v/>
      </c>
      <c r="L696" s="6">
        <f>IF(H696="DISTRATO",0,I696)</f>
        <v/>
      </c>
    </row>
    <row r="697">
      <c r="A697" s="38" t="inlineStr">
        <is>
          <t>Conta corrente MFRUGIS08.XLS</t>
        </is>
      </c>
      <c r="B697" s="39" t="n">
        <v>39786</v>
      </c>
      <c r="C697" s="4" t="n">
        <v>39783</v>
      </c>
      <c r="D697" s="5">
        <f>YEAR(C697)</f>
        <v/>
      </c>
      <c r="E697" s="5">
        <f>MONTH(C697)</f>
        <v/>
      </c>
      <c r="F697" s="38" t="inlineStr">
        <is>
          <t>NFV  :TENDA ATACADO LTDA</t>
        </is>
      </c>
      <c r="G697" s="38" t="inlineStr">
        <is>
          <t>MARIO FRUGIS (01.04.01)</t>
        </is>
      </c>
      <c r="H697" s="38" t="inlineStr">
        <is>
          <t>NFV</t>
        </is>
      </c>
      <c r="I697" s="40" t="n">
        <v>67.15000000000001</v>
      </c>
      <c r="J697" s="40" t="n">
        <v>0</v>
      </c>
      <c r="K697" s="6">
        <f>I697-J697</f>
        <v/>
      </c>
      <c r="L697" s="6">
        <f>IF(H697="DISTRATO",0,I697)</f>
        <v/>
      </c>
    </row>
    <row r="698">
      <c r="A698" s="38" t="inlineStr">
        <is>
          <t>Conta corrente MFRUGIS08.XLS</t>
        </is>
      </c>
      <c r="B698" s="39" t="n">
        <v>39786</v>
      </c>
      <c r="C698" s="4" t="n">
        <v>39783</v>
      </c>
      <c r="D698" s="5">
        <f>YEAR(C698)</f>
        <v/>
      </c>
      <c r="E698" s="5">
        <f>MONTH(C698)</f>
        <v/>
      </c>
      <c r="F698" s="38" t="inlineStr">
        <is>
          <t>NFV  :TENDA ATACADO LTDA</t>
        </is>
      </c>
      <c r="G698" s="38" t="inlineStr">
        <is>
          <t>MARIO FRUGIS (01.04.01)</t>
        </is>
      </c>
      <c r="H698" s="38" t="inlineStr">
        <is>
          <t>NFV</t>
        </is>
      </c>
      <c r="I698" s="40" t="n">
        <v>63.39</v>
      </c>
      <c r="J698" s="40" t="n">
        <v>0</v>
      </c>
      <c r="K698" s="6">
        <f>I698-J698</f>
        <v/>
      </c>
      <c r="L698" s="6">
        <f>IF(H698="DISTRATO",0,I698)</f>
        <v/>
      </c>
    </row>
    <row r="699">
      <c r="A699" s="38" t="inlineStr">
        <is>
          <t>Conta corrente MFRUGIS08.XLS</t>
        </is>
      </c>
      <c r="B699" s="39" t="n">
        <v>39786</v>
      </c>
      <c r="C699" s="4" t="n">
        <v>39783</v>
      </c>
      <c r="D699" s="5">
        <f>YEAR(C699)</f>
        <v/>
      </c>
      <c r="E699" s="5">
        <f>MONTH(C699)</f>
        <v/>
      </c>
      <c r="F699" s="38" t="inlineStr">
        <is>
          <t>NFV  :TENDA ATACADO LTDA</t>
        </is>
      </c>
      <c r="G699" s="38" t="inlineStr">
        <is>
          <t>MARIO FRUGIS (01.04.01)</t>
        </is>
      </c>
      <c r="H699" s="38" t="inlineStr">
        <is>
          <t>NFV</t>
        </is>
      </c>
      <c r="I699" s="40" t="n">
        <v>15.64</v>
      </c>
      <c r="J699" s="40" t="n">
        <v>0</v>
      </c>
      <c r="K699" s="6">
        <f>I699-J699</f>
        <v/>
      </c>
      <c r="L699" s="6">
        <f>IF(H699="DISTRATO",0,I699)</f>
        <v/>
      </c>
    </row>
    <row r="700">
      <c r="A700" s="38" t="inlineStr">
        <is>
          <t>Conta corrente MFRUGIS08.XLS</t>
        </is>
      </c>
      <c r="B700" s="39" t="n">
        <v>39792</v>
      </c>
      <c r="C700" s="4" t="n">
        <v>39783</v>
      </c>
      <c r="D700" s="5">
        <f>YEAR(C700)</f>
        <v/>
      </c>
      <c r="E700" s="5">
        <f>MONTH(C700)</f>
        <v/>
      </c>
      <c r="F700" s="38" t="inlineStr">
        <is>
          <t>DEV  :TENDA ATACADO LTDA</t>
        </is>
      </c>
      <c r="G700" s="38" t="inlineStr">
        <is>
          <t>MARIO FRUGIS (01.04.01)</t>
        </is>
      </c>
      <c r="H700" s="38" t="inlineStr">
        <is>
          <t>DEVOLUCAO</t>
        </is>
      </c>
      <c r="I700" s="40" t="n">
        <v>-1.15</v>
      </c>
      <c r="J700" s="40" t="n">
        <v>0</v>
      </c>
      <c r="K700" s="6">
        <f>I700-J700</f>
        <v/>
      </c>
      <c r="L700" s="6">
        <f>IF(H700="DISTRATO",0,I700)</f>
        <v/>
      </c>
    </row>
    <row r="701">
      <c r="A701" s="38" t="inlineStr">
        <is>
          <t>Conta corrente MFRUGIS08.XLS</t>
        </is>
      </c>
      <c r="B701" s="39" t="n">
        <v>39792</v>
      </c>
      <c r="C701" s="4" t="n">
        <v>39783</v>
      </c>
      <c r="D701" s="5">
        <f>YEAR(C701)</f>
        <v/>
      </c>
      <c r="E701" s="5">
        <f>MONTH(C701)</f>
        <v/>
      </c>
      <c r="F701" s="38" t="inlineStr">
        <is>
          <t>DEV  :TENDA ATACADO LTDA</t>
        </is>
      </c>
      <c r="G701" s="38" t="inlineStr">
        <is>
          <t>MARIO FRUGIS (01.04.01)</t>
        </is>
      </c>
      <c r="H701" s="38" t="inlineStr">
        <is>
          <t>DEVOLUCAO</t>
        </is>
      </c>
      <c r="I701" s="40" t="n">
        <v>-0.38</v>
      </c>
      <c r="J701" s="40" t="n">
        <v>0</v>
      </c>
      <c r="K701" s="6">
        <f>I701-J701</f>
        <v/>
      </c>
      <c r="L701" s="6">
        <f>IF(H701="DISTRATO",0,I701)</f>
        <v/>
      </c>
    </row>
    <row r="702">
      <c r="A702" s="38" t="inlineStr">
        <is>
          <t>Conta corrente MFRUGIS08.XLS</t>
        </is>
      </c>
      <c r="B702" s="39" t="n">
        <v>39793</v>
      </c>
      <c r="C702" s="4" t="n">
        <v>39783</v>
      </c>
      <c r="D702" s="5">
        <f>YEAR(C702)</f>
        <v/>
      </c>
      <c r="E702" s="5">
        <f>MONTH(C702)</f>
        <v/>
      </c>
      <c r="F702" s="38" t="inlineStr">
        <is>
          <t>NFV  :TENDA ATACADO LTDA</t>
        </is>
      </c>
      <c r="G702" s="38" t="inlineStr">
        <is>
          <t>MARIO FRUGIS (01.04.01)</t>
        </is>
      </c>
      <c r="H702" s="38" t="inlineStr">
        <is>
          <t>NFV</t>
        </is>
      </c>
      <c r="I702" s="40" t="n">
        <v>75.36</v>
      </c>
      <c r="J702" s="40" t="n">
        <v>0</v>
      </c>
      <c r="K702" s="6">
        <f>I702-J702</f>
        <v/>
      </c>
      <c r="L702" s="6">
        <f>IF(H702="DISTRATO",0,I702)</f>
        <v/>
      </c>
    </row>
    <row r="703">
      <c r="A703" s="38" t="inlineStr">
        <is>
          <t>Conta corrente MFRUGIS08.XLS</t>
        </is>
      </c>
      <c r="B703" s="39" t="n">
        <v>39793</v>
      </c>
      <c r="C703" s="4" t="n">
        <v>39783</v>
      </c>
      <c r="D703" s="5">
        <f>YEAR(C703)</f>
        <v/>
      </c>
      <c r="E703" s="5">
        <f>MONTH(C703)</f>
        <v/>
      </c>
      <c r="F703" s="38" t="inlineStr">
        <is>
          <t>NFV  :TENDA ATACADO LTDA</t>
        </is>
      </c>
      <c r="G703" s="38" t="inlineStr">
        <is>
          <t>MARIO FRUGIS (01.04.01)</t>
        </is>
      </c>
      <c r="H703" s="38" t="inlineStr">
        <is>
          <t>NFV</t>
        </is>
      </c>
      <c r="I703" s="40" t="n">
        <v>109.23</v>
      </c>
      <c r="J703" s="40" t="n">
        <v>0</v>
      </c>
      <c r="K703" s="6">
        <f>I703-J703</f>
        <v/>
      </c>
      <c r="L703" s="6">
        <f>IF(H703="DISTRATO",0,I703)</f>
        <v/>
      </c>
    </row>
    <row r="704">
      <c r="A704" s="38" t="inlineStr">
        <is>
          <t>Conta corrente MFRUGIS08.XLS</t>
        </is>
      </c>
      <c r="B704" s="39" t="n">
        <v>39793</v>
      </c>
      <c r="C704" s="4" t="n">
        <v>39783</v>
      </c>
      <c r="D704" s="5">
        <f>YEAR(C704)</f>
        <v/>
      </c>
      <c r="E704" s="5">
        <f>MONTH(C704)</f>
        <v/>
      </c>
      <c r="F704" s="38" t="inlineStr">
        <is>
          <t>NFV  :TENDA ATACADO LTDA</t>
        </is>
      </c>
      <c r="G704" s="38" t="inlineStr">
        <is>
          <t>MARIO FRUGIS (01.04.01)</t>
        </is>
      </c>
      <c r="H704" s="38" t="inlineStr">
        <is>
          <t>NFV</t>
        </is>
      </c>
      <c r="I704" s="40" t="n">
        <v>39.09</v>
      </c>
      <c r="J704" s="40" t="n">
        <v>0</v>
      </c>
      <c r="K704" s="6">
        <f>I704-J704</f>
        <v/>
      </c>
      <c r="L704" s="6">
        <f>IF(H704="DISTRATO",0,I704)</f>
        <v/>
      </c>
    </row>
    <row r="705">
      <c r="A705" s="38" t="inlineStr">
        <is>
          <t>Conta corrente MFRUGIS08.XLS</t>
        </is>
      </c>
      <c r="B705" s="39" t="n">
        <v>39793</v>
      </c>
      <c r="C705" s="4" t="n">
        <v>39783</v>
      </c>
      <c r="D705" s="5">
        <f>YEAR(C705)</f>
        <v/>
      </c>
      <c r="E705" s="5">
        <f>MONTH(C705)</f>
        <v/>
      </c>
      <c r="F705" s="38" t="inlineStr">
        <is>
          <t>NFV  :TENDA ATACADO LTDA</t>
        </is>
      </c>
      <c r="G705" s="38" t="inlineStr">
        <is>
          <t>MARIO FRUGIS (01.04.01)</t>
        </is>
      </c>
      <c r="H705" s="38" t="inlineStr">
        <is>
          <t>NFV</t>
        </is>
      </c>
      <c r="I705" s="40" t="n">
        <v>51.63</v>
      </c>
      <c r="J705" s="40" t="n">
        <v>0</v>
      </c>
      <c r="K705" s="6">
        <f>I705-J705</f>
        <v/>
      </c>
      <c r="L705" s="6">
        <f>IF(H705="DISTRATO",0,I705)</f>
        <v/>
      </c>
    </row>
    <row r="706">
      <c r="A706" s="38" t="inlineStr">
        <is>
          <t>Conta corrente MFRUGIS08.XLS</t>
        </is>
      </c>
      <c r="B706" s="39" t="n">
        <v>39793</v>
      </c>
      <c r="C706" s="4" t="n">
        <v>39783</v>
      </c>
      <c r="D706" s="5">
        <f>YEAR(C706)</f>
        <v/>
      </c>
      <c r="E706" s="5">
        <f>MONTH(C706)</f>
        <v/>
      </c>
      <c r="F706" s="38" t="inlineStr">
        <is>
          <t>NFV  :TENDA ATACADO LTDA</t>
        </is>
      </c>
      <c r="G706" s="38" t="inlineStr">
        <is>
          <t>MARIO FRUGIS (01.04.01)</t>
        </is>
      </c>
      <c r="H706" s="38" t="inlineStr">
        <is>
          <t>NFV</t>
        </is>
      </c>
      <c r="I706" s="40" t="n">
        <v>57.21</v>
      </c>
      <c r="J706" s="40" t="n">
        <v>0</v>
      </c>
      <c r="K706" s="6">
        <f>I706-J706</f>
        <v/>
      </c>
      <c r="L706" s="6">
        <f>IF(H706="DISTRATO",0,I706)</f>
        <v/>
      </c>
    </row>
    <row r="707">
      <c r="A707" s="38" t="inlineStr">
        <is>
          <t>Conta corrente MFRUGIS08.XLS</t>
        </is>
      </c>
      <c r="B707" s="39" t="n">
        <v>39793</v>
      </c>
      <c r="C707" s="4" t="n">
        <v>39783</v>
      </c>
      <c r="D707" s="5">
        <f>YEAR(C707)</f>
        <v/>
      </c>
      <c r="E707" s="5">
        <f>MONTH(C707)</f>
        <v/>
      </c>
      <c r="F707" s="38" t="inlineStr">
        <is>
          <t>NFV  :TENDA ATACADO LTDA</t>
        </is>
      </c>
      <c r="G707" s="38" t="inlineStr">
        <is>
          <t>MARIO FRUGIS (01.04.01)</t>
        </is>
      </c>
      <c r="H707" s="38" t="inlineStr">
        <is>
          <t>NFV</t>
        </is>
      </c>
      <c r="I707" s="40" t="n">
        <v>95.98999999999999</v>
      </c>
      <c r="J707" s="40" t="n">
        <v>0</v>
      </c>
      <c r="K707" s="6">
        <f>I707-J707</f>
        <v/>
      </c>
      <c r="L707" s="6">
        <f>IF(H707="DISTRATO",0,I707)</f>
        <v/>
      </c>
    </row>
    <row r="708">
      <c r="A708" s="38" t="inlineStr">
        <is>
          <t>Conta corrente MFRUGIS08.XLS</t>
        </is>
      </c>
      <c r="B708" s="39" t="n">
        <v>39793</v>
      </c>
      <c r="C708" s="4" t="n">
        <v>39783</v>
      </c>
      <c r="D708" s="5">
        <f>YEAR(C708)</f>
        <v/>
      </c>
      <c r="E708" s="5">
        <f>MONTH(C708)</f>
        <v/>
      </c>
      <c r="F708" s="38" t="inlineStr">
        <is>
          <t>NFV  :TENDA ATACADO LTDA</t>
        </is>
      </c>
      <c r="G708" s="38" t="inlineStr">
        <is>
          <t>MARIO FRUGIS (01.04.01)</t>
        </is>
      </c>
      <c r="H708" s="38" t="inlineStr">
        <is>
          <t>NFV</t>
        </is>
      </c>
      <c r="I708" s="40" t="n">
        <v>74.81999999999999</v>
      </c>
      <c r="J708" s="40" t="n">
        <v>0</v>
      </c>
      <c r="K708" s="6">
        <f>I708-J708</f>
        <v/>
      </c>
      <c r="L708" s="6">
        <f>IF(H708="DISTRATO",0,I708)</f>
        <v/>
      </c>
    </row>
    <row r="709">
      <c r="A709" s="38" t="inlineStr">
        <is>
          <t>Conta corrente MFRUGIS08.XLS</t>
        </is>
      </c>
      <c r="B709" s="39" t="n">
        <v>39793</v>
      </c>
      <c r="C709" s="4" t="n">
        <v>39783</v>
      </c>
      <c r="D709" s="5">
        <f>YEAR(C709)</f>
        <v/>
      </c>
      <c r="E709" s="5">
        <f>MONTH(C709)</f>
        <v/>
      </c>
      <c r="F709" s="38" t="inlineStr">
        <is>
          <t>NFV  :TENDA ATACADO LTDA</t>
        </is>
      </c>
      <c r="G709" s="38" t="inlineStr">
        <is>
          <t>MARIO FRUGIS (01.04.01)</t>
        </is>
      </c>
      <c r="H709" s="38" t="inlineStr">
        <is>
          <t>NFV</t>
        </is>
      </c>
      <c r="I709" s="40" t="n">
        <v>52.3</v>
      </c>
      <c r="J709" s="40" t="n">
        <v>0</v>
      </c>
      <c r="K709" s="6">
        <f>I709-J709</f>
        <v/>
      </c>
      <c r="L709" s="6">
        <f>IF(H709="DISTRATO",0,I709)</f>
        <v/>
      </c>
    </row>
    <row r="710">
      <c r="A710" s="38" t="inlineStr">
        <is>
          <t>Conta corrente MFRUGIS08.XLS</t>
        </is>
      </c>
      <c r="B710" s="39" t="n">
        <v>39793</v>
      </c>
      <c r="C710" s="4" t="n">
        <v>39783</v>
      </c>
      <c r="D710" s="5">
        <f>YEAR(C710)</f>
        <v/>
      </c>
      <c r="E710" s="5">
        <f>MONTH(C710)</f>
        <v/>
      </c>
      <c r="F710" s="38" t="inlineStr">
        <is>
          <t>NFV  :TENDA ATACADO LTDA</t>
        </is>
      </c>
      <c r="G710" s="38" t="inlineStr">
        <is>
          <t>MARIO FRUGIS (01.04.01)</t>
        </is>
      </c>
      <c r="H710" s="38" t="inlineStr">
        <is>
          <t>NFV</t>
        </is>
      </c>
      <c r="I710" s="40" t="n">
        <v>97.61</v>
      </c>
      <c r="J710" s="40" t="n">
        <v>0</v>
      </c>
      <c r="K710" s="6">
        <f>I710-J710</f>
        <v/>
      </c>
      <c r="L710" s="6">
        <f>IF(H710="DISTRATO",0,I710)</f>
        <v/>
      </c>
    </row>
    <row r="711">
      <c r="A711" s="38" t="inlineStr">
        <is>
          <t>Conta corrente MFRUGIS08.XLS</t>
        </is>
      </c>
      <c r="B711" s="39" t="n">
        <v>39793</v>
      </c>
      <c r="C711" s="4" t="n">
        <v>39783</v>
      </c>
      <c r="D711" s="5">
        <f>YEAR(C711)</f>
        <v/>
      </c>
      <c r="E711" s="5">
        <f>MONTH(C711)</f>
        <v/>
      </c>
      <c r="F711" s="38" t="inlineStr">
        <is>
          <t>NFV  :TENDA ATACADO LTDA</t>
        </is>
      </c>
      <c r="G711" s="38" t="inlineStr">
        <is>
          <t>MARIO FRUGIS (01.04.01)</t>
        </is>
      </c>
      <c r="H711" s="38" t="inlineStr">
        <is>
          <t>NFV</t>
        </is>
      </c>
      <c r="I711" s="40" t="n">
        <v>38.9</v>
      </c>
      <c r="J711" s="40" t="n">
        <v>0</v>
      </c>
      <c r="K711" s="6">
        <f>I711-J711</f>
        <v/>
      </c>
      <c r="L711" s="6">
        <f>IF(H711="DISTRATO",0,I711)</f>
        <v/>
      </c>
    </row>
    <row r="712">
      <c r="A712" s="38" t="inlineStr">
        <is>
          <t>Conta corrente MFRUGIS08.XLS</t>
        </is>
      </c>
      <c r="B712" s="39" t="n">
        <v>39793</v>
      </c>
      <c r="C712" s="4" t="n">
        <v>39783</v>
      </c>
      <c r="D712" s="5">
        <f>YEAR(C712)</f>
        <v/>
      </c>
      <c r="E712" s="5">
        <f>MONTH(C712)</f>
        <v/>
      </c>
      <c r="F712" s="38" t="inlineStr">
        <is>
          <t>NFV  :TENDA ATACADO LTDA</t>
        </is>
      </c>
      <c r="G712" s="38" t="inlineStr">
        <is>
          <t>MARIO FRUGIS (01.04.01)</t>
        </is>
      </c>
      <c r="H712" s="38" t="inlineStr">
        <is>
          <t>NFV</t>
        </is>
      </c>
      <c r="I712" s="40" t="n">
        <v>82.08</v>
      </c>
      <c r="J712" s="40" t="n">
        <v>0</v>
      </c>
      <c r="K712" s="6">
        <f>I712-J712</f>
        <v/>
      </c>
      <c r="L712" s="6">
        <f>IF(H712="DISTRATO",0,I712)</f>
        <v/>
      </c>
    </row>
    <row r="713">
      <c r="A713" s="38" t="inlineStr">
        <is>
          <t>Conta corrente MFRUGIS08.XLS</t>
        </is>
      </c>
      <c r="B713" s="39" t="n">
        <v>39797</v>
      </c>
      <c r="C713" s="4" t="n">
        <v>39783</v>
      </c>
      <c r="D713" s="5">
        <f>YEAR(C713)</f>
        <v/>
      </c>
      <c r="E713" s="5">
        <f>MONTH(C713)</f>
        <v/>
      </c>
      <c r="F713" s="38" t="inlineStr">
        <is>
          <t>NFV  :TENDA ATACADO LTDA</t>
        </is>
      </c>
      <c r="G713" s="38" t="inlineStr">
        <is>
          <t>MARIO FRUGIS (01.04.01)</t>
        </is>
      </c>
      <c r="H713" s="38" t="inlineStr">
        <is>
          <t>NFV</t>
        </is>
      </c>
      <c r="I713" s="40" t="n">
        <v>52.3</v>
      </c>
      <c r="J713" s="40" t="n">
        <v>0</v>
      </c>
      <c r="K713" s="6">
        <f>I713-J713</f>
        <v/>
      </c>
      <c r="L713" s="6">
        <f>IF(H713="DISTRATO",0,I713)</f>
        <v/>
      </c>
    </row>
    <row r="714">
      <c r="A714" s="38" t="inlineStr">
        <is>
          <t>Conta corrente MFRUGIS08.XLS</t>
        </is>
      </c>
      <c r="B714" s="39" t="n">
        <v>39811</v>
      </c>
      <c r="C714" s="4" t="n">
        <v>39783</v>
      </c>
      <c r="D714" s="5">
        <f>YEAR(C714)</f>
        <v/>
      </c>
      <c r="E714" s="5">
        <f>MONTH(C714)</f>
        <v/>
      </c>
      <c r="F714" s="38" t="inlineStr">
        <is>
          <t>NFV  :TENDA ATACADO LTDA</t>
        </is>
      </c>
      <c r="G714" s="38" t="inlineStr">
        <is>
          <t>MARIO FRUGIS (01.04.01)</t>
        </is>
      </c>
      <c r="H714" s="38" t="inlineStr">
        <is>
          <t>NFV</t>
        </is>
      </c>
      <c r="I714" s="40" t="n">
        <v>211.81</v>
      </c>
      <c r="J714" s="40" t="n">
        <v>0</v>
      </c>
      <c r="K714" s="6">
        <f>I714-J714</f>
        <v/>
      </c>
      <c r="L714" s="6">
        <f>IF(H714="DISTRATO",0,I714)</f>
        <v/>
      </c>
    </row>
    <row r="715">
      <c r="A715" s="38" t="inlineStr">
        <is>
          <t>Conta corrente MFRUGIS08.XLS</t>
        </is>
      </c>
      <c r="B715" s="39" t="n">
        <v>39811</v>
      </c>
      <c r="C715" s="4" t="n">
        <v>39783</v>
      </c>
      <c r="D715" s="5">
        <f>YEAR(C715)</f>
        <v/>
      </c>
      <c r="E715" s="5">
        <f>MONTH(C715)</f>
        <v/>
      </c>
      <c r="F715" s="38" t="inlineStr">
        <is>
          <t>NFV  :TENDA ATACADO LTDA</t>
        </is>
      </c>
      <c r="G715" s="38" t="inlineStr">
        <is>
          <t>MARIO FRUGIS (01.04.01)</t>
        </is>
      </c>
      <c r="H715" s="38" t="inlineStr">
        <is>
          <t>NFV</t>
        </is>
      </c>
      <c r="I715" s="40" t="n">
        <v>219.9</v>
      </c>
      <c r="J715" s="40" t="n">
        <v>0</v>
      </c>
      <c r="K715" s="6">
        <f>I715-J715</f>
        <v/>
      </c>
      <c r="L715" s="6">
        <f>IF(H715="DISTRATO",0,I715)</f>
        <v/>
      </c>
    </row>
    <row r="716">
      <c r="A716" s="38" t="inlineStr">
        <is>
          <t>Conta corrente MFRUGIS08.XLS</t>
        </is>
      </c>
      <c r="B716" s="39" t="n">
        <v>39811</v>
      </c>
      <c r="C716" s="4" t="n">
        <v>39783</v>
      </c>
      <c r="D716" s="5">
        <f>YEAR(C716)</f>
        <v/>
      </c>
      <c r="E716" s="5">
        <f>MONTH(C716)</f>
        <v/>
      </c>
      <c r="F716" s="38" t="inlineStr">
        <is>
          <t>NFV  :TENDA ATACADO LTDA</t>
        </is>
      </c>
      <c r="G716" s="38" t="inlineStr">
        <is>
          <t>MARIO FRUGIS (01.04.01)</t>
        </is>
      </c>
      <c r="H716" s="38" t="inlineStr">
        <is>
          <t>NFV</t>
        </is>
      </c>
      <c r="I716" s="40" t="n">
        <v>67.38</v>
      </c>
      <c r="J716" s="40" t="n">
        <v>0</v>
      </c>
      <c r="K716" s="6">
        <f>I716-J716</f>
        <v/>
      </c>
      <c r="L716" s="6">
        <f>IF(H716="DISTRATO",0,I716)</f>
        <v/>
      </c>
    </row>
    <row r="717">
      <c r="A717" s="38" t="inlineStr">
        <is>
          <t>Conta corrente MFRUGIS08.XLS</t>
        </is>
      </c>
      <c r="B717" s="39" t="n">
        <v>39812</v>
      </c>
      <c r="C717" s="4" t="n">
        <v>39783</v>
      </c>
      <c r="D717" s="5">
        <f>YEAR(C717)</f>
        <v/>
      </c>
      <c r="E717" s="5">
        <f>MONTH(C717)</f>
        <v/>
      </c>
      <c r="F717" s="38" t="inlineStr">
        <is>
          <t>NFV  :TENDA ATACADO LTDA</t>
        </is>
      </c>
      <c r="G717" s="38" t="inlineStr">
        <is>
          <t>MARIO FRUGIS (01.04.01)</t>
        </is>
      </c>
      <c r="H717" s="38" t="inlineStr">
        <is>
          <t>NFV</t>
        </is>
      </c>
      <c r="I717" s="40" t="n">
        <v>62.85</v>
      </c>
      <c r="J717" s="40" t="n">
        <v>0</v>
      </c>
      <c r="K717" s="6">
        <f>I717-J717</f>
        <v/>
      </c>
      <c r="L717" s="6">
        <f>IF(H717="DISTRATO",0,I717)</f>
        <v/>
      </c>
    </row>
    <row r="718">
      <c r="A718" s="38" t="inlineStr">
        <is>
          <t>Conta corrente MFRUGIS08.XLS</t>
        </is>
      </c>
      <c r="B718" s="39" t="n">
        <v>39812</v>
      </c>
      <c r="C718" s="4" t="n">
        <v>39783</v>
      </c>
      <c r="D718" s="5">
        <f>YEAR(C718)</f>
        <v/>
      </c>
      <c r="E718" s="5">
        <f>MONTH(C718)</f>
        <v/>
      </c>
      <c r="F718" s="38" t="inlineStr">
        <is>
          <t>NFV  :TENDA ATACADO LTDA</t>
        </is>
      </c>
      <c r="G718" s="38" t="inlineStr">
        <is>
          <t>MARIO FRUGIS (01.04.01)</t>
        </is>
      </c>
      <c r="H718" s="38" t="inlineStr">
        <is>
          <t>NFV</t>
        </is>
      </c>
      <c r="I718" s="40" t="n">
        <v>55.96</v>
      </c>
      <c r="J718" s="40" t="n">
        <v>0</v>
      </c>
      <c r="K718" s="6">
        <f>I718-J718</f>
        <v/>
      </c>
      <c r="L718" s="6">
        <f>IF(H718="DISTRATO",0,I718)</f>
        <v/>
      </c>
    </row>
    <row r="719">
      <c r="A719" s="38" t="inlineStr">
        <is>
          <t>Conta corrente MFRUGIS08.XLS</t>
        </is>
      </c>
      <c r="B719" s="39" t="n">
        <v>39812</v>
      </c>
      <c r="C719" s="4" t="n">
        <v>39783</v>
      </c>
      <c r="D719" s="5">
        <f>YEAR(C719)</f>
        <v/>
      </c>
      <c r="E719" s="5">
        <f>MONTH(C719)</f>
        <v/>
      </c>
      <c r="F719" s="38" t="inlineStr">
        <is>
          <t>NFV  :TENDA ATACADO LTDA</t>
        </is>
      </c>
      <c r="G719" s="38" t="inlineStr">
        <is>
          <t>MARIO FRUGIS (01.04.01)</t>
        </is>
      </c>
      <c r="H719" s="38" t="inlineStr">
        <is>
          <t>NFV</t>
        </is>
      </c>
      <c r="I719" s="40" t="n">
        <v>71.83</v>
      </c>
      <c r="J719" s="40" t="n">
        <v>0</v>
      </c>
      <c r="K719" s="6">
        <f>I719-J719</f>
        <v/>
      </c>
      <c r="L719" s="6">
        <f>IF(H719="DISTRATO",0,I719)</f>
        <v/>
      </c>
    </row>
    <row r="720">
      <c r="A720" s="38" t="inlineStr">
        <is>
          <t>Conta corrente MFRUGIS08.XLS</t>
        </is>
      </c>
      <c r="B720" s="39" t="n">
        <v>39812</v>
      </c>
      <c r="C720" s="4" t="n">
        <v>39783</v>
      </c>
      <c r="D720" s="5">
        <f>YEAR(C720)</f>
        <v/>
      </c>
      <c r="E720" s="5">
        <f>MONTH(C720)</f>
        <v/>
      </c>
      <c r="F720" s="38" t="inlineStr">
        <is>
          <t>NFV  :TENDA ATACADO LTDA</t>
        </is>
      </c>
      <c r="G720" s="38" t="inlineStr">
        <is>
          <t>MARIO FRUGIS (01.04.01)</t>
        </is>
      </c>
      <c r="H720" s="38" t="inlineStr">
        <is>
          <t>NFV</t>
        </is>
      </c>
      <c r="I720" s="40" t="n">
        <v>123.82</v>
      </c>
      <c r="J720" s="40" t="n">
        <v>0</v>
      </c>
      <c r="K720" s="6">
        <f>I720-J720</f>
        <v/>
      </c>
      <c r="L720" s="6">
        <f>IF(H720="DISTRATO",0,I720)</f>
        <v/>
      </c>
    </row>
    <row r="721">
      <c r="A721" s="38" t="inlineStr">
        <is>
          <t>Conta corrente MFRUGIS08.XLS</t>
        </is>
      </c>
      <c r="B721" s="39" t="n">
        <v>39812</v>
      </c>
      <c r="C721" s="4" t="n">
        <v>39783</v>
      </c>
      <c r="D721" s="5">
        <f>YEAR(C721)</f>
        <v/>
      </c>
      <c r="E721" s="5">
        <f>MONTH(C721)</f>
        <v/>
      </c>
      <c r="F721" s="38" t="inlineStr">
        <is>
          <t>NFV  :TENDA ATACADO LTDA</t>
        </is>
      </c>
      <c r="G721" s="38" t="inlineStr">
        <is>
          <t>MARIO FRUGIS (01.04.01)</t>
        </is>
      </c>
      <c r="H721" s="38" t="inlineStr">
        <is>
          <t>NFV</t>
        </is>
      </c>
      <c r="I721" s="40" t="n">
        <v>74.01000000000001</v>
      </c>
      <c r="J721" s="40" t="n">
        <v>0</v>
      </c>
      <c r="K721" s="6">
        <f>I721-J721</f>
        <v/>
      </c>
      <c r="L721" s="6">
        <f>IF(H721="DISTRATO",0,I721)</f>
        <v/>
      </c>
    </row>
    <row r="722">
      <c r="A722" s="38" t="inlineStr">
        <is>
          <t>Conta corrente MFRUGIS08.XLS</t>
        </is>
      </c>
      <c r="B722" s="39" t="n">
        <v>39812</v>
      </c>
      <c r="C722" s="4" t="n">
        <v>39783</v>
      </c>
      <c r="D722" s="5">
        <f>YEAR(C722)</f>
        <v/>
      </c>
      <c r="E722" s="5">
        <f>MONTH(C722)</f>
        <v/>
      </c>
      <c r="F722" s="38" t="inlineStr">
        <is>
          <t>NFV  :TENDA ATACADO LTDA</t>
        </is>
      </c>
      <c r="G722" s="38" t="inlineStr">
        <is>
          <t>MARIO FRUGIS (01.04.01)</t>
        </is>
      </c>
      <c r="H722" s="38" t="inlineStr">
        <is>
          <t>NFV</t>
        </is>
      </c>
      <c r="I722" s="40" t="n">
        <v>91.56999999999999</v>
      </c>
      <c r="J722" s="40" t="n">
        <v>0</v>
      </c>
      <c r="K722" s="6">
        <f>I722-J722</f>
        <v/>
      </c>
      <c r="L722" s="6">
        <f>IF(H722="DISTRATO",0,I722)</f>
        <v/>
      </c>
    </row>
    <row r="723">
      <c r="A723" s="38" t="inlineStr">
        <is>
          <t>Conta corrente MFRUGIS08.XLS</t>
        </is>
      </c>
      <c r="B723" s="39" t="n">
        <v>39812</v>
      </c>
      <c r="C723" s="4" t="n">
        <v>39783</v>
      </c>
      <c r="D723" s="5">
        <f>YEAR(C723)</f>
        <v/>
      </c>
      <c r="E723" s="5">
        <f>MONTH(C723)</f>
        <v/>
      </c>
      <c r="F723" s="38" t="inlineStr">
        <is>
          <t>NFV  :TENDA ATACADO LTDA</t>
        </is>
      </c>
      <c r="G723" s="38" t="inlineStr">
        <is>
          <t>MARIO FRUGIS (01.04.01)</t>
        </is>
      </c>
      <c r="H723" s="38" t="inlineStr">
        <is>
          <t>NFV</t>
        </is>
      </c>
      <c r="I723" s="40" t="n">
        <v>163.21</v>
      </c>
      <c r="J723" s="40" t="n">
        <v>0</v>
      </c>
      <c r="K723" s="6">
        <f>I723-J723</f>
        <v/>
      </c>
      <c r="L723" s="6">
        <f>IF(H723="DISTRATO",0,I723)</f>
        <v/>
      </c>
    </row>
    <row r="724">
      <c r="A724" s="38" t="inlineStr">
        <is>
          <t>Conta corrente MFRUGIS08.XLS</t>
        </is>
      </c>
      <c r="B724" s="39" t="n">
        <v>39813</v>
      </c>
      <c r="C724" s="4" t="n">
        <v>39783</v>
      </c>
      <c r="D724" s="5">
        <f>YEAR(C724)</f>
        <v/>
      </c>
      <c r="E724" s="5">
        <f>MONTH(C724)</f>
        <v/>
      </c>
      <c r="F724" s="38" t="inlineStr">
        <is>
          <t>BONIF:TENDA ATACADO LTDA</t>
        </is>
      </c>
      <c r="G724" s="38" t="inlineStr">
        <is>
          <t>MARIO FRUGIS (01.04.01)</t>
        </is>
      </c>
      <c r="H724" s="38" t="inlineStr">
        <is>
          <t>BONIFICACAO</t>
        </is>
      </c>
      <c r="I724" s="40" t="n">
        <v>-19.49</v>
      </c>
      <c r="J724" s="40" t="n">
        <v>0</v>
      </c>
      <c r="K724" s="6">
        <f>I724-J724</f>
        <v/>
      </c>
      <c r="L724" s="6">
        <f>IF(H724="DISTRATO",0,I724)</f>
        <v/>
      </c>
    </row>
    <row r="725">
      <c r="A725" s="38" t="inlineStr">
        <is>
          <t>Conta corrente MFRUGIS08.XLS</t>
        </is>
      </c>
      <c r="B725" s="39" t="n">
        <v>39813</v>
      </c>
      <c r="C725" s="4" t="n">
        <v>39783</v>
      </c>
      <c r="D725" s="5">
        <f>YEAR(C725)</f>
        <v/>
      </c>
      <c r="E725" s="5">
        <f>MONTH(C725)</f>
        <v/>
      </c>
      <c r="F725" s="38" t="inlineStr">
        <is>
          <t>DIFERENCA                             1. (ajuste de % do Tenda)</t>
        </is>
      </c>
      <c r="G725" s="38" t="inlineStr">
        <is>
          <t>MARIO FRUGIS (01.04.01)</t>
        </is>
      </c>
      <c r="H725" s="38" t="inlineStr">
        <is>
          <t>AJUSTE % TENDA</t>
        </is>
      </c>
      <c r="I725" s="40" t="n">
        <v>1927.97</v>
      </c>
      <c r="J725" s="40" t="n">
        <v>0</v>
      </c>
      <c r="K725" s="6">
        <f>I725-J725</f>
        <v/>
      </c>
      <c r="L725" s="6">
        <f>IF(H725="DISTRATO",0,I725)</f>
        <v/>
      </c>
    </row>
    <row r="726">
      <c r="A726" s="38" t="inlineStr">
        <is>
          <t>Conta corrente MFRUGIS08.XLS</t>
        </is>
      </c>
      <c r="B726" s="39" t="n">
        <v>39813</v>
      </c>
      <c r="C726" s="4" t="n">
        <v>39783</v>
      </c>
      <c r="D726" s="5">
        <f>YEAR(C726)</f>
        <v/>
      </c>
      <c r="E726" s="5">
        <f>MONTH(C726)</f>
        <v/>
      </c>
      <c r="F726" s="38" t="inlineStr">
        <is>
          <t>NFV  :TENDA ATACADO LTDA</t>
        </is>
      </c>
      <c r="G726" s="38" t="inlineStr">
        <is>
          <t>MARIO FRUGIS (01.04.01)</t>
        </is>
      </c>
      <c r="H726" s="38" t="inlineStr">
        <is>
          <t>NFV</t>
        </is>
      </c>
      <c r="I726" s="40" t="n">
        <v>53.47</v>
      </c>
      <c r="J726" s="40" t="n">
        <v>0</v>
      </c>
      <c r="K726" s="6">
        <f>I726-J726</f>
        <v/>
      </c>
      <c r="L726" s="6">
        <f>IF(H726="DISTRATO",0,I726)</f>
        <v/>
      </c>
    </row>
    <row r="727">
      <c r="A727" s="38" t="inlineStr">
        <is>
          <t>Conta corrente MFRUGIS08.XLS</t>
        </is>
      </c>
      <c r="B727" s="39" t="n">
        <v>39813</v>
      </c>
      <c r="C727" s="4" t="n">
        <v>39783</v>
      </c>
      <c r="D727" s="5">
        <f>YEAR(C727)</f>
        <v/>
      </c>
      <c r="E727" s="5">
        <f>MONTH(C727)</f>
        <v/>
      </c>
      <c r="F727" s="38" t="inlineStr">
        <is>
          <t>NFV  :TENDA ATACADO LTDA</t>
        </is>
      </c>
      <c r="G727" s="38" t="inlineStr">
        <is>
          <t>MARIO FRUGIS (01.04.01)</t>
        </is>
      </c>
      <c r="H727" s="38" t="inlineStr">
        <is>
          <t>NFV</t>
        </is>
      </c>
      <c r="I727" s="40" t="n">
        <v>179.98</v>
      </c>
      <c r="J727" s="40" t="n">
        <v>0</v>
      </c>
      <c r="K727" s="6">
        <f>I727-J727</f>
        <v/>
      </c>
      <c r="L727" s="6">
        <f>IF(H727="DISTRATO",0,I727)</f>
        <v/>
      </c>
    </row>
    <row r="728">
      <c r="A728" s="38" t="inlineStr">
        <is>
          <t>Conta corrente MFRUGIS08.XLS</t>
        </is>
      </c>
      <c r="B728" s="39" t="n">
        <v>39813</v>
      </c>
      <c r="C728" s="4" t="n">
        <v>39783</v>
      </c>
      <c r="D728" s="5">
        <f>YEAR(C728)</f>
        <v/>
      </c>
      <c r="E728" s="5">
        <f>MONTH(C728)</f>
        <v/>
      </c>
      <c r="F728" s="38" t="inlineStr">
        <is>
          <t>NFV  :TENDA ATACADO LTDA</t>
        </is>
      </c>
      <c r="G728" s="38" t="inlineStr">
        <is>
          <t>MARIO FRUGIS (01.04.01)</t>
        </is>
      </c>
      <c r="H728" s="38" t="inlineStr">
        <is>
          <t>NFV</t>
        </is>
      </c>
      <c r="I728" s="40" t="n">
        <v>185.56</v>
      </c>
      <c r="J728" s="40" t="n">
        <v>0</v>
      </c>
      <c r="K728" s="6">
        <f>I728-J728</f>
        <v/>
      </c>
      <c r="L728" s="6">
        <f>IF(H728="DISTRATO",0,I728)</f>
        <v/>
      </c>
    </row>
    <row r="729">
      <c r="A729" s="38" t="inlineStr">
        <is>
          <t>Conta corrente MFRUGIS08.XLS</t>
        </is>
      </c>
      <c r="B729" s="39" t="n">
        <v>39813</v>
      </c>
      <c r="C729" s="4" t="n">
        <v>39783</v>
      </c>
      <c r="D729" s="5">
        <f>YEAR(C729)</f>
        <v/>
      </c>
      <c r="E729" s="5">
        <f>MONTH(C729)</f>
        <v/>
      </c>
      <c r="F729" s="38" t="inlineStr">
        <is>
          <t>NFV  :TENDA ATACADO LTDA</t>
        </is>
      </c>
      <c r="G729" s="38" t="inlineStr">
        <is>
          <t>MARIO FRUGIS (01.04.01)</t>
        </is>
      </c>
      <c r="H729" s="38" t="inlineStr">
        <is>
          <t>NFV</t>
        </is>
      </c>
      <c r="I729" s="40" t="n">
        <v>125.61</v>
      </c>
      <c r="J729" s="40" t="n">
        <v>0</v>
      </c>
      <c r="K729" s="6">
        <f>I729-J729</f>
        <v/>
      </c>
      <c r="L729" s="6">
        <f>IF(H729="DISTRATO",0,I729)</f>
        <v/>
      </c>
    </row>
    <row r="730">
      <c r="A730" s="38" t="inlineStr">
        <is>
          <t>Conta corrente MFRUGIS08.XLS</t>
        </is>
      </c>
      <c r="B730" s="39" t="n">
        <v>39813</v>
      </c>
      <c r="C730" s="4" t="n">
        <v>39783</v>
      </c>
      <c r="D730" s="5">
        <f>YEAR(C730)</f>
        <v/>
      </c>
      <c r="E730" s="5">
        <f>MONTH(C730)</f>
        <v/>
      </c>
      <c r="F730" s="38" t="inlineStr">
        <is>
          <t>NFV  :TENDA ATACADO LTDA</t>
        </is>
      </c>
      <c r="G730" s="38" t="inlineStr">
        <is>
          <t>MARIO FRUGIS (01.04.01)</t>
        </is>
      </c>
      <c r="H730" s="38" t="inlineStr">
        <is>
          <t>NFV</t>
        </is>
      </c>
      <c r="I730" s="40" t="n">
        <v>58.49</v>
      </c>
      <c r="J730" s="40" t="n">
        <v>0</v>
      </c>
      <c r="K730" s="6">
        <f>I730-J730</f>
        <v/>
      </c>
      <c r="L730" s="6">
        <f>IF(H730="DISTRATO",0,I730)</f>
        <v/>
      </c>
    </row>
    <row r="731">
      <c r="A731" s="38" t="inlineStr">
        <is>
          <t>Conta corrente MFRUGIS09.XLS</t>
        </is>
      </c>
      <c r="B731" s="39" t="n">
        <v>39826</v>
      </c>
      <c r="C731" s="4" t="n">
        <v>39814</v>
      </c>
      <c r="D731" s="5">
        <f>YEAR(C731)</f>
        <v/>
      </c>
      <c r="E731" s="5">
        <f>MONTH(C731)</f>
        <v/>
      </c>
      <c r="F731" s="38" t="inlineStr">
        <is>
          <t>DEV  :TENDA ATACADO LTDA</t>
        </is>
      </c>
      <c r="G731" s="38" t="inlineStr">
        <is>
          <t>MARIO FRUGIS (01.04.01)</t>
        </is>
      </c>
      <c r="H731" s="38" t="inlineStr">
        <is>
          <t>DEVOLUCAO</t>
        </is>
      </c>
      <c r="I731" s="40" t="n">
        <v>-0.53</v>
      </c>
      <c r="J731" s="40" t="n">
        <v>0</v>
      </c>
      <c r="K731" s="6">
        <f>I731-J731</f>
        <v/>
      </c>
      <c r="L731" s="6">
        <f>IF(H731="DISTRATO",0,I731)</f>
        <v/>
      </c>
    </row>
    <row r="732">
      <c r="A732" s="38" t="inlineStr">
        <is>
          <t>Conta corrente MFRUGIS09.XLS</t>
        </is>
      </c>
      <c r="B732" s="39" t="n">
        <v>39835</v>
      </c>
      <c r="C732" s="4" t="n">
        <v>39814</v>
      </c>
      <c r="D732" s="5">
        <f>YEAR(C732)</f>
        <v/>
      </c>
      <c r="E732" s="5">
        <f>MONTH(C732)</f>
        <v/>
      </c>
      <c r="F732" s="38" t="inlineStr">
        <is>
          <t>NFV  :TENDA ATACADO LTDA</t>
        </is>
      </c>
      <c r="G732" s="38" t="inlineStr">
        <is>
          <t>MARIO FRUGIS (01.04.01)</t>
        </is>
      </c>
      <c r="H732" s="38" t="inlineStr">
        <is>
          <t>NFV</t>
        </is>
      </c>
      <c r="I732" s="40" t="n">
        <v>131.77</v>
      </c>
      <c r="J732" s="40" t="n">
        <v>0</v>
      </c>
      <c r="K732" s="6">
        <f>I732-J732</f>
        <v/>
      </c>
      <c r="L732" s="6">
        <f>IF(H732="DISTRATO",0,I732)</f>
        <v/>
      </c>
    </row>
    <row r="733">
      <c r="A733" s="38" t="inlineStr">
        <is>
          <t>Conta corrente MFRUGIS09.XLS</t>
        </is>
      </c>
      <c r="B733" s="39" t="n">
        <v>39839</v>
      </c>
      <c r="C733" s="4" t="n">
        <v>39814</v>
      </c>
      <c r="D733" s="5">
        <f>YEAR(C733)</f>
        <v/>
      </c>
      <c r="E733" s="5">
        <f>MONTH(C733)</f>
        <v/>
      </c>
      <c r="F733" s="38" t="inlineStr">
        <is>
          <t>NFV  :TENDA ATACADO LTDA</t>
        </is>
      </c>
      <c r="G733" s="38" t="inlineStr">
        <is>
          <t>MARIO FRUGIS (01.04.01)</t>
        </is>
      </c>
      <c r="H733" s="38" t="inlineStr">
        <is>
          <t>NFV</t>
        </is>
      </c>
      <c r="I733" s="40" t="n">
        <v>111.15</v>
      </c>
      <c r="J733" s="40" t="n">
        <v>0</v>
      </c>
      <c r="K733" s="6">
        <f>I733-J733</f>
        <v/>
      </c>
      <c r="L733" s="6">
        <f>IF(H733="DISTRATO",0,I733)</f>
        <v/>
      </c>
    </row>
    <row r="734">
      <c r="A734" s="38" t="inlineStr">
        <is>
          <t>Conta corrente MFRUGIS09.XLS</t>
        </is>
      </c>
      <c r="B734" s="39" t="n">
        <v>39839</v>
      </c>
      <c r="C734" s="4" t="n">
        <v>39814</v>
      </c>
      <c r="D734" s="5">
        <f>YEAR(C734)</f>
        <v/>
      </c>
      <c r="E734" s="5">
        <f>MONTH(C734)</f>
        <v/>
      </c>
      <c r="F734" s="38" t="inlineStr">
        <is>
          <t>NFV  :TENDA ATACADO LTDA</t>
        </is>
      </c>
      <c r="G734" s="38" t="inlineStr">
        <is>
          <t>MARIO FRUGIS (01.04.01)</t>
        </is>
      </c>
      <c r="H734" s="38" t="inlineStr">
        <is>
          <t>NFV</t>
        </is>
      </c>
      <c r="I734" s="40" t="n">
        <v>222.79</v>
      </c>
      <c r="J734" s="40" t="n">
        <v>0</v>
      </c>
      <c r="K734" s="6">
        <f>I734-J734</f>
        <v/>
      </c>
      <c r="L734" s="6">
        <f>IF(H734="DISTRATO",0,I734)</f>
        <v/>
      </c>
    </row>
    <row r="735">
      <c r="A735" s="38" t="inlineStr">
        <is>
          <t>Conta corrente MFRUGIS09.XLS</t>
        </is>
      </c>
      <c r="B735" s="39" t="n">
        <v>39839</v>
      </c>
      <c r="C735" s="4" t="n">
        <v>39814</v>
      </c>
      <c r="D735" s="5">
        <f>YEAR(C735)</f>
        <v/>
      </c>
      <c r="E735" s="5">
        <f>MONTH(C735)</f>
        <v/>
      </c>
      <c r="F735" s="38" t="inlineStr">
        <is>
          <t>NFV  :TENDA ATACADO LTDA</t>
        </is>
      </c>
      <c r="G735" s="38" t="inlineStr">
        <is>
          <t>MARIO FRUGIS (01.04.01)</t>
        </is>
      </c>
      <c r="H735" s="38" t="inlineStr">
        <is>
          <t>NFV</t>
        </is>
      </c>
      <c r="I735" s="40" t="n">
        <v>261.19</v>
      </c>
      <c r="J735" s="40" t="n">
        <v>0</v>
      </c>
      <c r="K735" s="6">
        <f>I735-J735</f>
        <v/>
      </c>
      <c r="L735" s="6">
        <f>IF(H735="DISTRATO",0,I735)</f>
        <v/>
      </c>
    </row>
    <row r="736">
      <c r="A736" s="38" t="inlineStr">
        <is>
          <t>Conta corrente MFRUGIS09.XLS</t>
        </is>
      </c>
      <c r="B736" s="39" t="n">
        <v>39839</v>
      </c>
      <c r="C736" s="4" t="n">
        <v>39814</v>
      </c>
      <c r="D736" s="5">
        <f>YEAR(C736)</f>
        <v/>
      </c>
      <c r="E736" s="5">
        <f>MONTH(C736)</f>
        <v/>
      </c>
      <c r="F736" s="38" t="inlineStr">
        <is>
          <t>NFV  :TENDA ATACADO LTDA</t>
        </is>
      </c>
      <c r="G736" s="38" t="inlineStr">
        <is>
          <t>MARIO FRUGIS (01.04.01)</t>
        </is>
      </c>
      <c r="H736" s="38" t="inlineStr">
        <is>
          <t>NFV</t>
        </is>
      </c>
      <c r="I736" s="40" t="n">
        <v>294.86</v>
      </c>
      <c r="J736" s="40" t="n">
        <v>0</v>
      </c>
      <c r="K736" s="6">
        <f>I736-J736</f>
        <v/>
      </c>
      <c r="L736" s="6">
        <f>IF(H736="DISTRATO",0,I736)</f>
        <v/>
      </c>
    </row>
    <row r="737">
      <c r="A737" s="38" t="inlineStr">
        <is>
          <t>Conta corrente MFRUGIS09.XLS</t>
        </is>
      </c>
      <c r="B737" s="39" t="n">
        <v>39839</v>
      </c>
      <c r="C737" s="4" t="n">
        <v>39814</v>
      </c>
      <c r="D737" s="5">
        <f>YEAR(C737)</f>
        <v/>
      </c>
      <c r="E737" s="5">
        <f>MONTH(C737)</f>
        <v/>
      </c>
      <c r="F737" s="38" t="inlineStr">
        <is>
          <t>NFV  :TENDA ATACADO LTDA</t>
        </is>
      </c>
      <c r="G737" s="38" t="inlineStr">
        <is>
          <t>MARIO FRUGIS (01.04.01)</t>
        </is>
      </c>
      <c r="H737" s="38" t="inlineStr">
        <is>
          <t>NFV</t>
        </is>
      </c>
      <c r="I737" s="40" t="n">
        <v>244.48</v>
      </c>
      <c r="J737" s="40" t="n">
        <v>0</v>
      </c>
      <c r="K737" s="6">
        <f>I737-J737</f>
        <v/>
      </c>
      <c r="L737" s="6">
        <f>IF(H737="DISTRATO",0,I737)</f>
        <v/>
      </c>
    </row>
    <row r="738">
      <c r="A738" s="38" t="inlineStr">
        <is>
          <t>Conta corrente MFRUGIS09.XLS</t>
        </is>
      </c>
      <c r="B738" s="39" t="n">
        <v>39839</v>
      </c>
      <c r="C738" s="4" t="n">
        <v>39814</v>
      </c>
      <c r="D738" s="5">
        <f>YEAR(C738)</f>
        <v/>
      </c>
      <c r="E738" s="5">
        <f>MONTH(C738)</f>
        <v/>
      </c>
      <c r="F738" s="38" t="inlineStr">
        <is>
          <t>NFV  :TENDA ATACADO LTDA</t>
        </is>
      </c>
      <c r="G738" s="38" t="inlineStr">
        <is>
          <t>MARIO FRUGIS (01.04.01)</t>
        </is>
      </c>
      <c r="H738" s="38" t="inlineStr">
        <is>
          <t>NFV</t>
        </is>
      </c>
      <c r="I738" s="40" t="n">
        <v>62.36</v>
      </c>
      <c r="J738" s="40" t="n">
        <v>0</v>
      </c>
      <c r="K738" s="6">
        <f>I738-J738</f>
        <v/>
      </c>
      <c r="L738" s="6">
        <f>IF(H738="DISTRATO",0,I738)</f>
        <v/>
      </c>
    </row>
    <row r="739">
      <c r="A739" s="38" t="inlineStr">
        <is>
          <t>Conta corrente MFRUGIS09.XLS</t>
        </is>
      </c>
      <c r="B739" s="39" t="n">
        <v>39839</v>
      </c>
      <c r="C739" s="4" t="n">
        <v>39814</v>
      </c>
      <c r="D739" s="5">
        <f>YEAR(C739)</f>
        <v/>
      </c>
      <c r="E739" s="5">
        <f>MONTH(C739)</f>
        <v/>
      </c>
      <c r="F739" s="38" t="inlineStr">
        <is>
          <t>NFV  :TENDA ATACADO LTDA</t>
        </is>
      </c>
      <c r="G739" s="38" t="inlineStr">
        <is>
          <t>MARIO FRUGIS (01.04.01)</t>
        </is>
      </c>
      <c r="H739" s="38" t="inlineStr">
        <is>
          <t>NFV</t>
        </is>
      </c>
      <c r="I739" s="40" t="n">
        <v>89.17</v>
      </c>
      <c r="J739" s="40" t="n">
        <v>0</v>
      </c>
      <c r="K739" s="6">
        <f>I739-J739</f>
        <v/>
      </c>
      <c r="L739" s="6">
        <f>IF(H739="DISTRATO",0,I739)</f>
        <v/>
      </c>
    </row>
    <row r="740">
      <c r="A740" s="38" t="inlineStr">
        <is>
          <t>Conta corrente MFRUGIS09.XLS</t>
        </is>
      </c>
      <c r="B740" s="39" t="n">
        <v>39839</v>
      </c>
      <c r="C740" s="4" t="n">
        <v>39814</v>
      </c>
      <c r="D740" s="5">
        <f>YEAR(C740)</f>
        <v/>
      </c>
      <c r="E740" s="5">
        <f>MONTH(C740)</f>
        <v/>
      </c>
      <c r="F740" s="38" t="inlineStr">
        <is>
          <t>NFV  :TENDA ATACADO LTDA</t>
        </is>
      </c>
      <c r="G740" s="38" t="inlineStr">
        <is>
          <t>MARIO FRUGIS (01.04.01)</t>
        </is>
      </c>
      <c r="H740" s="38" t="inlineStr">
        <is>
          <t>NFV</t>
        </is>
      </c>
      <c r="I740" s="40" t="n">
        <v>148.88</v>
      </c>
      <c r="J740" s="40" t="n">
        <v>0</v>
      </c>
      <c r="K740" s="6">
        <f>I740-J740</f>
        <v/>
      </c>
      <c r="L740" s="6">
        <f>IF(H740="DISTRATO",0,I740)</f>
        <v/>
      </c>
    </row>
    <row r="741">
      <c r="A741" s="38" t="inlineStr">
        <is>
          <t>Conta corrente MFRUGIS09.XLS</t>
        </is>
      </c>
      <c r="B741" s="39" t="n">
        <v>39839</v>
      </c>
      <c r="C741" s="4" t="n">
        <v>39814</v>
      </c>
      <c r="D741" s="5">
        <f>YEAR(C741)</f>
        <v/>
      </c>
      <c r="E741" s="5">
        <f>MONTH(C741)</f>
        <v/>
      </c>
      <c r="F741" s="38" t="inlineStr">
        <is>
          <t>NFV  :TENDA ATACADO LTDA</t>
        </is>
      </c>
      <c r="G741" s="38" t="inlineStr">
        <is>
          <t>MARIO FRUGIS (01.04.01)</t>
        </is>
      </c>
      <c r="H741" s="38" t="inlineStr">
        <is>
          <t>NFV</t>
        </is>
      </c>
      <c r="I741" s="40" t="n">
        <v>235.37</v>
      </c>
      <c r="J741" s="40" t="n">
        <v>0</v>
      </c>
      <c r="K741" s="6">
        <f>I741-J741</f>
        <v/>
      </c>
      <c r="L741" s="6">
        <f>IF(H741="DISTRATO",0,I741)</f>
        <v/>
      </c>
    </row>
    <row r="742">
      <c r="A742" s="38" t="inlineStr">
        <is>
          <t>Conta corrente MFRUGIS09.XLS</t>
        </is>
      </c>
      <c r="B742" s="39" t="n">
        <v>39839</v>
      </c>
      <c r="C742" s="4" t="n">
        <v>39814</v>
      </c>
      <c r="D742" s="5">
        <f>YEAR(C742)</f>
        <v/>
      </c>
      <c r="E742" s="5">
        <f>MONTH(C742)</f>
        <v/>
      </c>
      <c r="F742" s="38" t="inlineStr">
        <is>
          <t>NFV  :TENDA ATACADO LTDA</t>
        </is>
      </c>
      <c r="G742" s="38" t="inlineStr">
        <is>
          <t>MARIO FRUGIS (01.04.01)</t>
        </is>
      </c>
      <c r="H742" s="38" t="inlineStr">
        <is>
          <t>NFV</t>
        </is>
      </c>
      <c r="I742" s="40" t="n">
        <v>181.77</v>
      </c>
      <c r="J742" s="40" t="n">
        <v>0</v>
      </c>
      <c r="K742" s="6">
        <f>I742-J742</f>
        <v/>
      </c>
      <c r="L742" s="6">
        <f>IF(H742="DISTRATO",0,I742)</f>
        <v/>
      </c>
    </row>
    <row r="743">
      <c r="A743" s="38" t="inlineStr">
        <is>
          <t>Conta corrente MFRUGIS09.XLS</t>
        </is>
      </c>
      <c r="B743" s="39" t="n">
        <v>39840</v>
      </c>
      <c r="C743" s="4" t="n">
        <v>39814</v>
      </c>
      <c r="D743" s="5">
        <f>YEAR(C743)</f>
        <v/>
      </c>
      <c r="E743" s="5">
        <f>MONTH(C743)</f>
        <v/>
      </c>
      <c r="F743" s="38" t="inlineStr">
        <is>
          <t>NFV  :TENDA ATACADO LTDA</t>
        </is>
      </c>
      <c r="G743" s="38" t="inlineStr">
        <is>
          <t>MARIO FRUGIS (01.04.01)</t>
        </is>
      </c>
      <c r="H743" s="38" t="inlineStr">
        <is>
          <t>NFV</t>
        </is>
      </c>
      <c r="I743" s="40" t="n">
        <v>204.76</v>
      </c>
      <c r="J743" s="40" t="n">
        <v>0</v>
      </c>
      <c r="K743" s="6">
        <f>I743-J743</f>
        <v/>
      </c>
      <c r="L743" s="6">
        <f>IF(H743="DISTRATO",0,I743)</f>
        <v/>
      </c>
    </row>
    <row r="744">
      <c r="A744" s="38" t="inlineStr">
        <is>
          <t>Conta corrente MFRUGIS09.XLS</t>
        </is>
      </c>
      <c r="B744" s="39" t="n">
        <v>39843</v>
      </c>
      <c r="C744" s="4" t="n">
        <v>39814</v>
      </c>
      <c r="D744" s="5">
        <f>YEAR(C744)</f>
        <v/>
      </c>
      <c r="E744" s="5">
        <f>MONTH(C744)</f>
        <v/>
      </c>
      <c r="F744" s="38" t="inlineStr">
        <is>
          <t>DIFERENCA x 40.5% (rateio: part. Tenda no mês)</t>
        </is>
      </c>
      <c r="G744" s="38" t="inlineStr">
        <is>
          <t>MARIO FRUGIS (01.04.01)</t>
        </is>
      </c>
      <c r="H744" s="38" t="inlineStr">
        <is>
          <t>AJUSTE % RATEIO</t>
        </is>
      </c>
      <c r="I744" s="40" t="n">
        <v>0.89</v>
      </c>
      <c r="J744" s="40" t="n">
        <v>0</v>
      </c>
      <c r="K744" s="6">
        <f>I744-J744</f>
        <v/>
      </c>
      <c r="L744" s="6">
        <f>IF(H744="DISTRATO",0,I744)</f>
        <v/>
      </c>
    </row>
    <row r="745">
      <c r="A745" s="38" t="inlineStr">
        <is>
          <t>Conta corrente MFRUGIS09.XLS</t>
        </is>
      </c>
      <c r="B745" s="39" t="n">
        <v>39861</v>
      </c>
      <c r="C745" s="4" t="n">
        <v>39845</v>
      </c>
      <c r="D745" s="5">
        <f>YEAR(C745)</f>
        <v/>
      </c>
      <c r="E745" s="5">
        <f>MONTH(C745)</f>
        <v/>
      </c>
      <c r="F745" s="38" t="inlineStr">
        <is>
          <t>NFV  :TENDA ATACADO LTDA</t>
        </is>
      </c>
      <c r="G745" s="38" t="inlineStr">
        <is>
          <t>MARIO FRUGIS (01.04.01)</t>
        </is>
      </c>
      <c r="H745" s="38" t="inlineStr">
        <is>
          <t>NFV</t>
        </is>
      </c>
      <c r="I745" s="40" t="n">
        <v>66</v>
      </c>
      <c r="J745" s="40" t="n">
        <v>0</v>
      </c>
      <c r="K745" s="6">
        <f>I745-J745</f>
        <v/>
      </c>
      <c r="L745" s="6">
        <f>IF(H745="DISTRATO",0,I745)</f>
        <v/>
      </c>
    </row>
    <row r="746">
      <c r="A746" s="38" t="inlineStr">
        <is>
          <t>Conta corrente MFRUGIS09.XLS</t>
        </is>
      </c>
      <c r="B746" s="39" t="n">
        <v>39861</v>
      </c>
      <c r="C746" s="4" t="n">
        <v>39845</v>
      </c>
      <c r="D746" s="5">
        <f>YEAR(C746)</f>
        <v/>
      </c>
      <c r="E746" s="5">
        <f>MONTH(C746)</f>
        <v/>
      </c>
      <c r="F746" s="38" t="inlineStr">
        <is>
          <t>NFV  :TENDA ATACADO LTDA</t>
        </is>
      </c>
      <c r="G746" s="38" t="inlineStr">
        <is>
          <t>MARIO FRUGIS (01.04.01)</t>
        </is>
      </c>
      <c r="H746" s="38" t="inlineStr">
        <is>
          <t>NFV</t>
        </is>
      </c>
      <c r="I746" s="40" t="n">
        <v>90.72</v>
      </c>
      <c r="J746" s="40" t="n">
        <v>0</v>
      </c>
      <c r="K746" s="6">
        <f>I746-J746</f>
        <v/>
      </c>
      <c r="L746" s="6">
        <f>IF(H746="DISTRATO",0,I746)</f>
        <v/>
      </c>
    </row>
    <row r="747">
      <c r="A747" s="38" t="inlineStr">
        <is>
          <t>Conta corrente MFRUGIS09.XLS</t>
        </is>
      </c>
      <c r="B747" s="39" t="n">
        <v>39861</v>
      </c>
      <c r="C747" s="4" t="n">
        <v>39845</v>
      </c>
      <c r="D747" s="5">
        <f>YEAR(C747)</f>
        <v/>
      </c>
      <c r="E747" s="5">
        <f>MONTH(C747)</f>
        <v/>
      </c>
      <c r="F747" s="38" t="inlineStr">
        <is>
          <t>NFV  :TENDA ATACADO LTDA</t>
        </is>
      </c>
      <c r="G747" s="38" t="inlineStr">
        <is>
          <t>MARIO FRUGIS (01.04.01)</t>
        </is>
      </c>
      <c r="H747" s="38" t="inlineStr">
        <is>
          <t>NFV</t>
        </is>
      </c>
      <c r="I747" s="40" t="n">
        <v>260</v>
      </c>
      <c r="J747" s="40" t="n">
        <v>0</v>
      </c>
      <c r="K747" s="6">
        <f>I747-J747</f>
        <v/>
      </c>
      <c r="L747" s="6">
        <f>IF(H747="DISTRATO",0,I747)</f>
        <v/>
      </c>
    </row>
    <row r="748">
      <c r="A748" s="38" t="inlineStr">
        <is>
          <t>Conta corrente MFRUGIS09.XLS</t>
        </is>
      </c>
      <c r="B748" s="39" t="n">
        <v>39861</v>
      </c>
      <c r="C748" s="4" t="n">
        <v>39845</v>
      </c>
      <c r="D748" s="5">
        <f>YEAR(C748)</f>
        <v/>
      </c>
      <c r="E748" s="5">
        <f>MONTH(C748)</f>
        <v/>
      </c>
      <c r="F748" s="38" t="inlineStr">
        <is>
          <t>NFV  :TENDA ATACADO LTDA</t>
        </is>
      </c>
      <c r="G748" s="38" t="inlineStr">
        <is>
          <t>MARIO FRUGIS (01.04.01)</t>
        </is>
      </c>
      <c r="H748" s="38" t="inlineStr">
        <is>
          <t>NFV</t>
        </is>
      </c>
      <c r="I748" s="40" t="n">
        <v>65.26000000000001</v>
      </c>
      <c r="J748" s="40" t="n">
        <v>0</v>
      </c>
      <c r="K748" s="6">
        <f>I748-J748</f>
        <v/>
      </c>
      <c r="L748" s="6">
        <f>IF(H748="DISTRATO",0,I748)</f>
        <v/>
      </c>
    </row>
    <row r="749">
      <c r="A749" s="38" t="inlineStr">
        <is>
          <t>Conta corrente MFRUGIS09.XLS</t>
        </is>
      </c>
      <c r="B749" s="39" t="n">
        <v>39861</v>
      </c>
      <c r="C749" s="4" t="n">
        <v>39845</v>
      </c>
      <c r="D749" s="5">
        <f>YEAR(C749)</f>
        <v/>
      </c>
      <c r="E749" s="5">
        <f>MONTH(C749)</f>
        <v/>
      </c>
      <c r="F749" s="38" t="inlineStr">
        <is>
          <t>NFV  :TENDA ATACADO LTDA</t>
        </is>
      </c>
      <c r="G749" s="38" t="inlineStr">
        <is>
          <t>MARIO FRUGIS (01.04.01)</t>
        </is>
      </c>
      <c r="H749" s="38" t="inlineStr">
        <is>
          <t>NFV</t>
        </is>
      </c>
      <c r="I749" s="40" t="n">
        <v>83.04000000000001</v>
      </c>
      <c r="J749" s="40" t="n">
        <v>0</v>
      </c>
      <c r="K749" s="6">
        <f>I749-J749</f>
        <v/>
      </c>
      <c r="L749" s="6">
        <f>IF(H749="DISTRATO",0,I749)</f>
        <v/>
      </c>
    </row>
    <row r="750">
      <c r="A750" s="38" t="inlineStr">
        <is>
          <t>Conta corrente MFRUGIS09.XLS</t>
        </is>
      </c>
      <c r="B750" s="39" t="n">
        <v>39861</v>
      </c>
      <c r="C750" s="4" t="n">
        <v>39845</v>
      </c>
      <c r="D750" s="5">
        <f>YEAR(C750)</f>
        <v/>
      </c>
      <c r="E750" s="5">
        <f>MONTH(C750)</f>
        <v/>
      </c>
      <c r="F750" s="38" t="inlineStr">
        <is>
          <t>NFV  :TENDA ATACADO LTDA</t>
        </is>
      </c>
      <c r="G750" s="38" t="inlineStr">
        <is>
          <t>MARIO FRUGIS (01.04.01)</t>
        </is>
      </c>
      <c r="H750" s="38" t="inlineStr">
        <is>
          <t>NFV</t>
        </is>
      </c>
      <c r="I750" s="40" t="n">
        <v>114</v>
      </c>
      <c r="J750" s="40" t="n">
        <v>0</v>
      </c>
      <c r="K750" s="6">
        <f>I750-J750</f>
        <v/>
      </c>
      <c r="L750" s="6">
        <f>IF(H750="DISTRATO",0,I750)</f>
        <v/>
      </c>
    </row>
    <row r="751">
      <c r="A751" s="38" t="inlineStr">
        <is>
          <t>Conta corrente MFRUGIS09.XLS</t>
        </is>
      </c>
      <c r="B751" s="39" t="n">
        <v>39861</v>
      </c>
      <c r="C751" s="4" t="n">
        <v>39845</v>
      </c>
      <c r="D751" s="5">
        <f>YEAR(C751)</f>
        <v/>
      </c>
      <c r="E751" s="5">
        <f>MONTH(C751)</f>
        <v/>
      </c>
      <c r="F751" s="38" t="inlineStr">
        <is>
          <t>NFV  :TENDA ATACADO LTDA</t>
        </is>
      </c>
      <c r="G751" s="38" t="inlineStr">
        <is>
          <t>MARIO FRUGIS (01.04.01)</t>
        </is>
      </c>
      <c r="H751" s="38" t="inlineStr">
        <is>
          <t>NFV</t>
        </is>
      </c>
      <c r="I751" s="40" t="n">
        <v>66.12</v>
      </c>
      <c r="J751" s="40" t="n">
        <v>0</v>
      </c>
      <c r="K751" s="6">
        <f>I751-J751</f>
        <v/>
      </c>
      <c r="L751" s="6">
        <f>IF(H751="DISTRATO",0,I751)</f>
        <v/>
      </c>
    </row>
    <row r="752">
      <c r="A752" s="38" t="inlineStr">
        <is>
          <t>Conta corrente MFRUGIS09.XLS</t>
        </is>
      </c>
      <c r="B752" s="39" t="n">
        <v>39861</v>
      </c>
      <c r="C752" s="4" t="n">
        <v>39845</v>
      </c>
      <c r="D752" s="5">
        <f>YEAR(C752)</f>
        <v/>
      </c>
      <c r="E752" s="5">
        <f>MONTH(C752)</f>
        <v/>
      </c>
      <c r="F752" s="38" t="inlineStr">
        <is>
          <t>NFV  :TENDA ATACADO LTDA</t>
        </is>
      </c>
      <c r="G752" s="38" t="inlineStr">
        <is>
          <t>MARIO FRUGIS (01.04.01)</t>
        </is>
      </c>
      <c r="H752" s="38" t="inlineStr">
        <is>
          <t>NFV</t>
        </is>
      </c>
      <c r="I752" s="40" t="n">
        <v>102.19</v>
      </c>
      <c r="J752" s="40" t="n">
        <v>0</v>
      </c>
      <c r="K752" s="6">
        <f>I752-J752</f>
        <v/>
      </c>
      <c r="L752" s="6">
        <f>IF(H752="DISTRATO",0,I752)</f>
        <v/>
      </c>
    </row>
    <row r="753">
      <c r="A753" s="38" t="inlineStr">
        <is>
          <t>Conta corrente MFRUGIS09.XLS</t>
        </is>
      </c>
      <c r="B753" s="39" t="n">
        <v>39862</v>
      </c>
      <c r="C753" s="4" t="n">
        <v>39845</v>
      </c>
      <c r="D753" s="5">
        <f>YEAR(C753)</f>
        <v/>
      </c>
      <c r="E753" s="5">
        <f>MONTH(C753)</f>
        <v/>
      </c>
      <c r="F753" s="38" t="inlineStr">
        <is>
          <t>NFV  :TENDA ATACADO LTDA</t>
        </is>
      </c>
      <c r="G753" s="38" t="inlineStr">
        <is>
          <t>MARIO FRUGIS (01.04.01)</t>
        </is>
      </c>
      <c r="H753" s="38" t="inlineStr">
        <is>
          <t>NFV</t>
        </is>
      </c>
      <c r="I753" s="40" t="n">
        <v>69.15000000000001</v>
      </c>
      <c r="J753" s="40" t="n">
        <v>0</v>
      </c>
      <c r="K753" s="6">
        <f>I753-J753</f>
        <v/>
      </c>
      <c r="L753" s="6">
        <f>IF(H753="DISTRATO",0,I753)</f>
        <v/>
      </c>
    </row>
    <row r="754">
      <c r="A754" s="38" t="inlineStr">
        <is>
          <t>Conta corrente MFRUGIS09.XLS</t>
        </is>
      </c>
      <c r="B754" s="39" t="n">
        <v>39864</v>
      </c>
      <c r="C754" s="4" t="n">
        <v>39845</v>
      </c>
      <c r="D754" s="5">
        <f>YEAR(C754)</f>
        <v/>
      </c>
      <c r="E754" s="5">
        <f>MONTH(C754)</f>
        <v/>
      </c>
      <c r="F754" s="38" t="inlineStr">
        <is>
          <t>BONIF:TENDA ATACADO LTDA</t>
        </is>
      </c>
      <c r="G754" s="38" t="inlineStr">
        <is>
          <t>MARIO FRUGIS (01.04.01)</t>
        </is>
      </c>
      <c r="H754" s="38" t="inlineStr">
        <is>
          <t>BONIFICACAO</t>
        </is>
      </c>
      <c r="I754" s="40" t="n">
        <v>-38.4</v>
      </c>
      <c r="J754" s="40" t="n">
        <v>0</v>
      </c>
      <c r="K754" s="6">
        <f>I754-J754</f>
        <v/>
      </c>
      <c r="L754" s="6">
        <f>IF(H754="DISTRATO",0,I754)</f>
        <v/>
      </c>
    </row>
    <row r="755">
      <c r="A755" s="38" t="inlineStr">
        <is>
          <t>Conta corrente MFRUGIS09.XLS</t>
        </is>
      </c>
      <c r="B755" s="39" t="n">
        <v>39864</v>
      </c>
      <c r="C755" s="4" t="n">
        <v>39845</v>
      </c>
      <c r="D755" s="5">
        <f>YEAR(C755)</f>
        <v/>
      </c>
      <c r="E755" s="5">
        <f>MONTH(C755)</f>
        <v/>
      </c>
      <c r="F755" s="38" t="inlineStr">
        <is>
          <t>BONIF:TENDA ATACADO LTDA</t>
        </is>
      </c>
      <c r="G755" s="38" t="inlineStr">
        <is>
          <t>MARIO FRUGIS (01.04.01)</t>
        </is>
      </c>
      <c r="H755" s="38" t="inlineStr">
        <is>
          <t>BONIFICACAO</t>
        </is>
      </c>
      <c r="I755" s="40" t="n">
        <v>-38.4</v>
      </c>
      <c r="J755" s="40" t="n">
        <v>0</v>
      </c>
      <c r="K755" s="6">
        <f>I755-J755</f>
        <v/>
      </c>
      <c r="L755" s="6">
        <f>IF(H755="DISTRATO",0,I755)</f>
        <v/>
      </c>
    </row>
    <row r="756">
      <c r="A756" s="38" t="inlineStr">
        <is>
          <t>Conta corrente MFRUGIS09.XLS</t>
        </is>
      </c>
      <c r="B756" s="39" t="n">
        <v>39864</v>
      </c>
      <c r="C756" s="4" t="n">
        <v>39845</v>
      </c>
      <c r="D756" s="5">
        <f>YEAR(C756)</f>
        <v/>
      </c>
      <c r="E756" s="5">
        <f>MONTH(C756)</f>
        <v/>
      </c>
      <c r="F756" s="38" t="inlineStr">
        <is>
          <t>NFV  :TENDA ATACADO LTDA</t>
        </is>
      </c>
      <c r="G756" s="38" t="inlineStr">
        <is>
          <t>MARIO FRUGIS (01.04.01)</t>
        </is>
      </c>
      <c r="H756" s="38" t="inlineStr">
        <is>
          <t>NFV</t>
        </is>
      </c>
      <c r="I756" s="40" t="n">
        <v>169.2</v>
      </c>
      <c r="J756" s="40" t="n">
        <v>0</v>
      </c>
      <c r="K756" s="6">
        <f>I756-J756</f>
        <v/>
      </c>
      <c r="L756" s="6">
        <f>IF(H756="DISTRATO",0,I756)</f>
        <v/>
      </c>
    </row>
    <row r="757">
      <c r="A757" s="38" t="inlineStr">
        <is>
          <t>Conta corrente MFRUGIS09.XLS</t>
        </is>
      </c>
      <c r="B757" s="39" t="n">
        <v>39864</v>
      </c>
      <c r="C757" s="4" t="n">
        <v>39845</v>
      </c>
      <c r="D757" s="5">
        <f>YEAR(C757)</f>
        <v/>
      </c>
      <c r="E757" s="5">
        <f>MONTH(C757)</f>
        <v/>
      </c>
      <c r="F757" s="38" t="inlineStr">
        <is>
          <t>NFV  :TENDA ATACADO LTDA</t>
        </is>
      </c>
      <c r="G757" s="38" t="inlineStr">
        <is>
          <t>MARIO FRUGIS (01.04.01)</t>
        </is>
      </c>
      <c r="H757" s="38" t="inlineStr">
        <is>
          <t>NFV</t>
        </is>
      </c>
      <c r="I757" s="40" t="n">
        <v>222.77</v>
      </c>
      <c r="J757" s="40" t="n">
        <v>0</v>
      </c>
      <c r="K757" s="6">
        <f>I757-J757</f>
        <v/>
      </c>
      <c r="L757" s="6">
        <f>IF(H757="DISTRATO",0,I757)</f>
        <v/>
      </c>
    </row>
    <row r="758">
      <c r="A758" s="38" t="inlineStr">
        <is>
          <t>Conta corrente MFRUGIS09.XLS</t>
        </is>
      </c>
      <c r="B758" s="39" t="n">
        <v>39869</v>
      </c>
      <c r="C758" s="4" t="n">
        <v>39845</v>
      </c>
      <c r="D758" s="5">
        <f>YEAR(C758)</f>
        <v/>
      </c>
      <c r="E758" s="5">
        <f>MONTH(C758)</f>
        <v/>
      </c>
      <c r="F758" s="38" t="inlineStr">
        <is>
          <t>NFV  :TENDA ATACADO LTDA</t>
        </is>
      </c>
      <c r="G758" s="38" t="inlineStr">
        <is>
          <t>MARIO FRUGIS (01.04.01)</t>
        </is>
      </c>
      <c r="H758" s="38" t="inlineStr">
        <is>
          <t>NFV</t>
        </is>
      </c>
      <c r="I758" s="40" t="n">
        <v>42.24</v>
      </c>
      <c r="J758" s="40" t="n">
        <v>0</v>
      </c>
      <c r="K758" s="6">
        <f>I758-J758</f>
        <v/>
      </c>
      <c r="L758" s="6">
        <f>IF(H758="DISTRATO",0,I758)</f>
        <v/>
      </c>
    </row>
    <row r="759">
      <c r="A759" s="38" t="inlineStr">
        <is>
          <t>Conta corrente MFRUGIS09.XLS</t>
        </is>
      </c>
      <c r="B759" s="39" t="n">
        <v>39869</v>
      </c>
      <c r="C759" s="4" t="n">
        <v>39845</v>
      </c>
      <c r="D759" s="5">
        <f>YEAR(C759)</f>
        <v/>
      </c>
      <c r="E759" s="5">
        <f>MONTH(C759)</f>
        <v/>
      </c>
      <c r="F759" s="38" t="inlineStr">
        <is>
          <t>NFV  :TENDA ATACADO LTDA</t>
        </is>
      </c>
      <c r="G759" s="38" t="inlineStr">
        <is>
          <t>MARIO FRUGIS (01.04.01)</t>
        </is>
      </c>
      <c r="H759" s="38" t="inlineStr">
        <is>
          <t>NFV</t>
        </is>
      </c>
      <c r="I759" s="40" t="n">
        <v>188.4</v>
      </c>
      <c r="J759" s="40" t="n">
        <v>0</v>
      </c>
      <c r="K759" s="6">
        <f>I759-J759</f>
        <v/>
      </c>
      <c r="L759" s="6">
        <f>IF(H759="DISTRATO",0,I759)</f>
        <v/>
      </c>
    </row>
    <row r="760">
      <c r="A760" s="38" t="inlineStr">
        <is>
          <t>Conta corrente MFRUGIS09.XLS</t>
        </is>
      </c>
      <c r="B760" s="39" t="n">
        <v>39869</v>
      </c>
      <c r="C760" s="4" t="n">
        <v>39845</v>
      </c>
      <c r="D760" s="5">
        <f>YEAR(C760)</f>
        <v/>
      </c>
      <c r="E760" s="5">
        <f>MONTH(C760)</f>
        <v/>
      </c>
      <c r="F760" s="38" t="inlineStr">
        <is>
          <t>NFV  :TENDA ATACADO LTDA</t>
        </is>
      </c>
      <c r="G760" s="38" t="inlineStr">
        <is>
          <t>MARIO FRUGIS (01.04.01)</t>
        </is>
      </c>
      <c r="H760" s="38" t="inlineStr">
        <is>
          <t>NFV</t>
        </is>
      </c>
      <c r="I760" s="40" t="n">
        <v>75.41</v>
      </c>
      <c r="J760" s="40" t="n">
        <v>0</v>
      </c>
      <c r="K760" s="6">
        <f>I760-J760</f>
        <v/>
      </c>
      <c r="L760" s="6">
        <f>IF(H760="DISTRATO",0,I760)</f>
        <v/>
      </c>
    </row>
    <row r="761">
      <c r="A761" s="38" t="inlineStr">
        <is>
          <t>Conta corrente MFRUGIS09.XLS</t>
        </is>
      </c>
      <c r="B761" s="39" t="n">
        <v>39871</v>
      </c>
      <c r="C761" s="4" t="n">
        <v>39845</v>
      </c>
      <c r="D761" s="5">
        <f>YEAR(C761)</f>
        <v/>
      </c>
      <c r="E761" s="5">
        <f>MONTH(C761)</f>
        <v/>
      </c>
      <c r="F761" s="38" t="inlineStr">
        <is>
          <t>DIFERENCA x 60.2% (rateio: part. Tenda no mês)</t>
        </is>
      </c>
      <c r="G761" s="38" t="inlineStr">
        <is>
          <t>MARIO FRUGIS (01.04.01)</t>
        </is>
      </c>
      <c r="H761" s="38" t="inlineStr">
        <is>
          <t>AJUSTE % RATEIO</t>
        </is>
      </c>
      <c r="I761" s="40" t="n">
        <v>148.9</v>
      </c>
      <c r="J761" s="40" t="n">
        <v>0</v>
      </c>
      <c r="K761" s="6">
        <f>I761-J761</f>
        <v/>
      </c>
      <c r="L761" s="6">
        <f>IF(H761="DISTRATO",0,I761)</f>
        <v/>
      </c>
    </row>
    <row r="762">
      <c r="A762" s="38" t="inlineStr">
        <is>
          <t>Conta corrente MFRUGIS09.XLS</t>
        </is>
      </c>
      <c r="B762" s="39" t="n">
        <v>39871</v>
      </c>
      <c r="C762" s="4" t="n">
        <v>39845</v>
      </c>
      <c r="D762" s="5">
        <f>YEAR(C762)</f>
        <v/>
      </c>
      <c r="E762" s="5">
        <f>MONTH(C762)</f>
        <v/>
      </c>
      <c r="F762" s="38" t="inlineStr">
        <is>
          <t>NFV  :TENDA ATACADO LTDA</t>
        </is>
      </c>
      <c r="G762" s="38" t="inlineStr">
        <is>
          <t>MARIO FRUGIS (01.04.01)</t>
        </is>
      </c>
      <c r="H762" s="38" t="inlineStr">
        <is>
          <t>NFV</t>
        </is>
      </c>
      <c r="I762" s="40" t="n">
        <v>45.89</v>
      </c>
      <c r="J762" s="40" t="n">
        <v>0</v>
      </c>
      <c r="K762" s="6">
        <f>I762-J762</f>
        <v/>
      </c>
      <c r="L762" s="6">
        <f>IF(H762="DISTRATO",0,I762)</f>
        <v/>
      </c>
    </row>
    <row r="763">
      <c r="A763" s="38" t="inlineStr">
        <is>
          <t>Conta corrente MFRUGIS09.XLS</t>
        </is>
      </c>
      <c r="B763" s="39" t="n">
        <v>39871</v>
      </c>
      <c r="C763" s="4" t="n">
        <v>39845</v>
      </c>
      <c r="D763" s="5">
        <f>YEAR(C763)</f>
        <v/>
      </c>
      <c r="E763" s="5">
        <f>MONTH(C763)</f>
        <v/>
      </c>
      <c r="F763" s="38" t="inlineStr">
        <is>
          <t>NFV  :TENDA ATACADO LTDA</t>
        </is>
      </c>
      <c r="G763" s="38" t="inlineStr">
        <is>
          <t>MARIO FRUGIS (01.04.01)</t>
        </is>
      </c>
      <c r="H763" s="38" t="inlineStr">
        <is>
          <t>NFV</t>
        </is>
      </c>
      <c r="I763" s="40" t="n">
        <v>31.56</v>
      </c>
      <c r="J763" s="40" t="n">
        <v>0</v>
      </c>
      <c r="K763" s="6">
        <f>I763-J763</f>
        <v/>
      </c>
      <c r="L763" s="6">
        <f>IF(H763="DISTRATO",0,I763)</f>
        <v/>
      </c>
    </row>
    <row r="764">
      <c r="A764" s="38" t="inlineStr">
        <is>
          <t>Conta corrente MFRUGIS09.XLS</t>
        </is>
      </c>
      <c r="B764" s="39" t="n">
        <v>39871</v>
      </c>
      <c r="C764" s="4" t="n">
        <v>39845</v>
      </c>
      <c r="D764" s="5">
        <f>YEAR(C764)</f>
        <v/>
      </c>
      <c r="E764" s="5">
        <f>MONTH(C764)</f>
        <v/>
      </c>
      <c r="F764" s="38" t="inlineStr">
        <is>
          <t>NFV  :TENDA ATACADO LTDA</t>
        </is>
      </c>
      <c r="G764" s="38" t="inlineStr">
        <is>
          <t>MARIO FRUGIS (01.04.01)</t>
        </is>
      </c>
      <c r="H764" s="38" t="inlineStr">
        <is>
          <t>NFV</t>
        </is>
      </c>
      <c r="I764" s="40" t="n">
        <v>106.97</v>
      </c>
      <c r="J764" s="40" t="n">
        <v>0</v>
      </c>
      <c r="K764" s="6">
        <f>I764-J764</f>
        <v/>
      </c>
      <c r="L764" s="6">
        <f>IF(H764="DISTRATO",0,I764)</f>
        <v/>
      </c>
    </row>
    <row r="765">
      <c r="A765" s="38" t="inlineStr">
        <is>
          <t>Conta corrente MFRUGIS09.XLS</t>
        </is>
      </c>
      <c r="B765" s="39" t="n">
        <v>39871</v>
      </c>
      <c r="C765" s="4" t="n">
        <v>39845</v>
      </c>
      <c r="D765" s="5">
        <f>YEAR(C765)</f>
        <v/>
      </c>
      <c r="E765" s="5">
        <f>MONTH(C765)</f>
        <v/>
      </c>
      <c r="F765" s="38" t="inlineStr">
        <is>
          <t>NFV  :TENDA ATACADO LTDA</t>
        </is>
      </c>
      <c r="G765" s="38" t="inlineStr">
        <is>
          <t>MARIO FRUGIS (01.04.01)</t>
        </is>
      </c>
      <c r="H765" s="38" t="inlineStr">
        <is>
          <t>NFV</t>
        </is>
      </c>
      <c r="I765" s="40" t="n">
        <v>54.3</v>
      </c>
      <c r="J765" s="40" t="n">
        <v>0</v>
      </c>
      <c r="K765" s="6">
        <f>I765-J765</f>
        <v/>
      </c>
      <c r="L765" s="6">
        <f>IF(H765="DISTRATO",0,I765)</f>
        <v/>
      </c>
    </row>
    <row r="766">
      <c r="A766" s="38" t="inlineStr">
        <is>
          <t>Conta corrente MFRUGIS09.XLS</t>
        </is>
      </c>
      <c r="B766" s="39" t="n">
        <v>39871</v>
      </c>
      <c r="C766" s="4" t="n">
        <v>39845</v>
      </c>
      <c r="D766" s="5">
        <f>YEAR(C766)</f>
        <v/>
      </c>
      <c r="E766" s="5">
        <f>MONTH(C766)</f>
        <v/>
      </c>
      <c r="F766" s="38" t="inlineStr">
        <is>
          <t>NFV  :TENDA ATACADO LTDA</t>
        </is>
      </c>
      <c r="G766" s="38" t="inlineStr">
        <is>
          <t>MARIO FRUGIS (01.04.01)</t>
        </is>
      </c>
      <c r="H766" s="38" t="inlineStr">
        <is>
          <t>NFV</t>
        </is>
      </c>
      <c r="I766" s="40" t="n">
        <v>118.33</v>
      </c>
      <c r="J766" s="40" t="n">
        <v>0</v>
      </c>
      <c r="K766" s="6">
        <f>I766-J766</f>
        <v/>
      </c>
      <c r="L766" s="6">
        <f>IF(H766="DISTRATO",0,I766)</f>
        <v/>
      </c>
    </row>
    <row r="767">
      <c r="A767" s="38" t="inlineStr">
        <is>
          <t>Conta corrente MFRUGIS09.XLS</t>
        </is>
      </c>
      <c r="B767" s="39" t="n">
        <v>39871</v>
      </c>
      <c r="C767" s="4" t="n">
        <v>39845</v>
      </c>
      <c r="D767" s="5">
        <f>YEAR(C767)</f>
        <v/>
      </c>
      <c r="E767" s="5">
        <f>MONTH(C767)</f>
        <v/>
      </c>
      <c r="F767" s="38" t="inlineStr">
        <is>
          <t>NFV  :TENDA ATACADO LTDA</t>
        </is>
      </c>
      <c r="G767" s="38" t="inlineStr">
        <is>
          <t>MARIO FRUGIS (01.04.01)</t>
        </is>
      </c>
      <c r="H767" s="38" t="inlineStr">
        <is>
          <t>NFV</t>
        </is>
      </c>
      <c r="I767" s="40" t="n">
        <v>137.38</v>
      </c>
      <c r="J767" s="40" t="n">
        <v>0</v>
      </c>
      <c r="K767" s="6">
        <f>I767-J767</f>
        <v/>
      </c>
      <c r="L767" s="6">
        <f>IF(H767="DISTRATO",0,I767)</f>
        <v/>
      </c>
    </row>
    <row r="768">
      <c r="A768" s="38" t="inlineStr">
        <is>
          <t>Conta corrente MFRUGIS09.XLS</t>
        </is>
      </c>
      <c r="B768" s="39" t="n">
        <v>39871</v>
      </c>
      <c r="C768" s="4" t="n">
        <v>39845</v>
      </c>
      <c r="D768" s="5">
        <f>YEAR(C768)</f>
        <v/>
      </c>
      <c r="E768" s="5">
        <f>MONTH(C768)</f>
        <v/>
      </c>
      <c r="F768" s="38" t="inlineStr">
        <is>
          <t>NFV  :TENDA ATACADO LTDA</t>
        </is>
      </c>
      <c r="G768" s="38" t="inlineStr">
        <is>
          <t>MARIO FRUGIS (01.04.01)</t>
        </is>
      </c>
      <c r="H768" s="38" t="inlineStr">
        <is>
          <t>NFV</t>
        </is>
      </c>
      <c r="I768" s="40" t="n">
        <v>115.48</v>
      </c>
      <c r="J768" s="40" t="n">
        <v>0</v>
      </c>
      <c r="K768" s="6">
        <f>I768-J768</f>
        <v/>
      </c>
      <c r="L768" s="6">
        <f>IF(H768="DISTRATO",0,I768)</f>
        <v/>
      </c>
    </row>
    <row r="769">
      <c r="A769" s="38" t="inlineStr">
        <is>
          <t>Conta corrente MFRUGIS09.XLS</t>
        </is>
      </c>
      <c r="B769" s="39" t="n">
        <v>39871</v>
      </c>
      <c r="C769" s="4" t="n">
        <v>39845</v>
      </c>
      <c r="D769" s="5">
        <f>YEAR(C769)</f>
        <v/>
      </c>
      <c r="E769" s="5">
        <f>MONTH(C769)</f>
        <v/>
      </c>
      <c r="F769" s="38" t="inlineStr">
        <is>
          <t>NFV  :TENDA ATACADO LTDA</t>
        </is>
      </c>
      <c r="G769" s="38" t="inlineStr">
        <is>
          <t>MARIO FRUGIS (01.04.01)</t>
        </is>
      </c>
      <c r="H769" s="38" t="inlineStr">
        <is>
          <t>NFV</t>
        </is>
      </c>
      <c r="I769" s="40" t="n">
        <v>51.38</v>
      </c>
      <c r="J769" s="40" t="n">
        <v>0</v>
      </c>
      <c r="K769" s="6">
        <f>I769-J769</f>
        <v/>
      </c>
      <c r="L769" s="6">
        <f>IF(H769="DISTRATO",0,I769)</f>
        <v/>
      </c>
    </row>
    <row r="770">
      <c r="A770" s="38" t="inlineStr">
        <is>
          <t>Conta corrente MFRUGIS09.XLS</t>
        </is>
      </c>
      <c r="B770" s="39" t="n">
        <v>39871</v>
      </c>
      <c r="C770" s="4" t="n">
        <v>39845</v>
      </c>
      <c r="D770" s="5">
        <f>YEAR(C770)</f>
        <v/>
      </c>
      <c r="E770" s="5">
        <f>MONTH(C770)</f>
        <v/>
      </c>
      <c r="F770" s="38" t="inlineStr">
        <is>
          <t>NFV  :TENDA ATACADO LTDA</t>
        </is>
      </c>
      <c r="G770" s="38" t="inlineStr">
        <is>
          <t>MARIO FRUGIS (01.04.01)</t>
        </is>
      </c>
      <c r="H770" s="38" t="inlineStr">
        <is>
          <t>NFV</t>
        </is>
      </c>
      <c r="I770" s="40" t="n">
        <v>29.11</v>
      </c>
      <c r="J770" s="40" t="n">
        <v>0</v>
      </c>
      <c r="K770" s="6">
        <f>I770-J770</f>
        <v/>
      </c>
      <c r="L770" s="6">
        <f>IF(H770="DISTRATO",0,I770)</f>
        <v/>
      </c>
    </row>
    <row r="771">
      <c r="A771" s="38" t="inlineStr">
        <is>
          <t>Conta corrente MFRUGIS09.XLS</t>
        </is>
      </c>
      <c r="B771" s="39" t="n">
        <v>39871</v>
      </c>
      <c r="C771" s="4" t="n">
        <v>39845</v>
      </c>
      <c r="D771" s="5">
        <f>YEAR(C771)</f>
        <v/>
      </c>
      <c r="E771" s="5">
        <f>MONTH(C771)</f>
        <v/>
      </c>
      <c r="F771" s="38" t="inlineStr">
        <is>
          <t>NFV  :TENDA ATACADO LTDA</t>
        </is>
      </c>
      <c r="G771" s="38" t="inlineStr">
        <is>
          <t>MARIO FRUGIS (01.04.01)</t>
        </is>
      </c>
      <c r="H771" s="38" t="inlineStr">
        <is>
          <t>NFV</t>
        </is>
      </c>
      <c r="I771" s="40" t="n">
        <v>189.32</v>
      </c>
      <c r="J771" s="40" t="n">
        <v>0</v>
      </c>
      <c r="K771" s="6">
        <f>I771-J771</f>
        <v/>
      </c>
      <c r="L771" s="6">
        <f>IF(H771="DISTRATO",0,I771)</f>
        <v/>
      </c>
    </row>
    <row r="772">
      <c r="A772" s="38" t="inlineStr">
        <is>
          <t>Conta corrente MFRUGIS09.XLS</t>
        </is>
      </c>
      <c r="B772" s="39" t="n">
        <v>39871</v>
      </c>
      <c r="C772" s="4" t="n">
        <v>39845</v>
      </c>
      <c r="D772" s="5">
        <f>YEAR(C772)</f>
        <v/>
      </c>
      <c r="E772" s="5">
        <f>MONTH(C772)</f>
        <v/>
      </c>
      <c r="F772" s="38" t="inlineStr">
        <is>
          <t>NFV  :TENDA ATACADO LTDA</t>
        </is>
      </c>
      <c r="G772" s="38" t="inlineStr">
        <is>
          <t>MARIO FRUGIS (01.04.01)</t>
        </is>
      </c>
      <c r="H772" s="38" t="inlineStr">
        <is>
          <t>NFV</t>
        </is>
      </c>
      <c r="I772" s="40" t="n">
        <v>47.33</v>
      </c>
      <c r="J772" s="40" t="n">
        <v>0</v>
      </c>
      <c r="K772" s="6">
        <f>I772-J772</f>
        <v/>
      </c>
      <c r="L772" s="6">
        <f>IF(H772="DISTRATO",0,I772)</f>
        <v/>
      </c>
    </row>
    <row r="773">
      <c r="A773" s="38" t="inlineStr">
        <is>
          <t>Conta corrente MFRUGIS09.XLS</t>
        </is>
      </c>
      <c r="B773" s="39" t="n">
        <v>39871</v>
      </c>
      <c r="C773" s="4" t="n">
        <v>39845</v>
      </c>
      <c r="D773" s="5">
        <f>YEAR(C773)</f>
        <v/>
      </c>
      <c r="E773" s="5">
        <f>MONTH(C773)</f>
        <v/>
      </c>
      <c r="F773" s="38" t="inlineStr">
        <is>
          <t>NFV  :TENDA ATACADO LTDA</t>
        </is>
      </c>
      <c r="G773" s="38" t="inlineStr">
        <is>
          <t>MARIO FRUGIS (01.04.01)</t>
        </is>
      </c>
      <c r="H773" s="38" t="inlineStr">
        <is>
          <t>NFV</t>
        </is>
      </c>
      <c r="I773" s="40" t="n">
        <v>19.2</v>
      </c>
      <c r="J773" s="40" t="n">
        <v>0</v>
      </c>
      <c r="K773" s="6">
        <f>I773-J773</f>
        <v/>
      </c>
      <c r="L773" s="6">
        <f>IF(H773="DISTRATO",0,I773)</f>
        <v/>
      </c>
    </row>
    <row r="774">
      <c r="A774" s="38" t="inlineStr">
        <is>
          <t>Conta corrente MFRUGIS09.XLS</t>
        </is>
      </c>
      <c r="B774" s="39" t="n">
        <v>39871</v>
      </c>
      <c r="C774" s="4" t="n">
        <v>39845</v>
      </c>
      <c r="D774" s="5">
        <f>YEAR(C774)</f>
        <v/>
      </c>
      <c r="E774" s="5">
        <f>MONTH(C774)</f>
        <v/>
      </c>
      <c r="F774" s="38" t="inlineStr">
        <is>
          <t>NFV  :TENDA ATACADO LTDA</t>
        </is>
      </c>
      <c r="G774" s="38" t="inlineStr">
        <is>
          <t>MARIO FRUGIS (01.04.01)</t>
        </is>
      </c>
      <c r="H774" s="38" t="inlineStr">
        <is>
          <t>NFV</t>
        </is>
      </c>
      <c r="I774" s="40" t="n">
        <v>23.67</v>
      </c>
      <c r="J774" s="40" t="n">
        <v>0</v>
      </c>
      <c r="K774" s="6">
        <f>I774-J774</f>
        <v/>
      </c>
      <c r="L774" s="6">
        <f>IF(H774="DISTRATO",0,I774)</f>
        <v/>
      </c>
    </row>
    <row r="775">
      <c r="A775" s="38" t="inlineStr">
        <is>
          <t>Conta corrente MFRUGIS09.XLS</t>
        </is>
      </c>
      <c r="B775" s="39" t="n">
        <v>39871</v>
      </c>
      <c r="C775" s="4" t="n">
        <v>39845</v>
      </c>
      <c r="D775" s="5">
        <f>YEAR(C775)</f>
        <v/>
      </c>
      <c r="E775" s="5">
        <f>MONTH(C775)</f>
        <v/>
      </c>
      <c r="F775" s="38" t="inlineStr">
        <is>
          <t>NFV  :TENDA ATACADO LTDA</t>
        </is>
      </c>
      <c r="G775" s="38" t="inlineStr">
        <is>
          <t>MARIO FRUGIS (01.04.01)</t>
        </is>
      </c>
      <c r="H775" s="38" t="inlineStr">
        <is>
          <t>NFV</t>
        </is>
      </c>
      <c r="I775" s="40" t="n">
        <v>99.05</v>
      </c>
      <c r="J775" s="40" t="n">
        <v>0</v>
      </c>
      <c r="K775" s="6">
        <f>I775-J775</f>
        <v/>
      </c>
      <c r="L775" s="6">
        <f>IF(H775="DISTRATO",0,I775)</f>
        <v/>
      </c>
    </row>
    <row r="776">
      <c r="A776" s="38" t="inlineStr">
        <is>
          <t>Conta corrente MFRUGIS09.XLS</t>
        </is>
      </c>
      <c r="B776" s="39" t="n">
        <v>39871</v>
      </c>
      <c r="C776" s="4" t="n">
        <v>39845</v>
      </c>
      <c r="D776" s="5">
        <f>YEAR(C776)</f>
        <v/>
      </c>
      <c r="E776" s="5">
        <f>MONTH(C776)</f>
        <v/>
      </c>
      <c r="F776" s="38" t="inlineStr">
        <is>
          <t>NFV  :TENDA ATACADO LTDA</t>
        </is>
      </c>
      <c r="G776" s="38" t="inlineStr">
        <is>
          <t>MARIO FRUGIS (01.04.01)</t>
        </is>
      </c>
      <c r="H776" s="38" t="inlineStr">
        <is>
          <t>NFV</t>
        </is>
      </c>
      <c r="I776" s="40" t="n">
        <v>141.99</v>
      </c>
      <c r="J776" s="40" t="n">
        <v>0</v>
      </c>
      <c r="K776" s="6">
        <f>I776-J776</f>
        <v/>
      </c>
      <c r="L776" s="6">
        <f>IF(H776="DISTRATO",0,I776)</f>
        <v/>
      </c>
    </row>
    <row r="777">
      <c r="A777" s="38" t="inlineStr">
        <is>
          <t>Conta corrente MFRUGIS09.XLS</t>
        </is>
      </c>
      <c r="B777" s="39" t="n">
        <v>39871</v>
      </c>
      <c r="C777" s="4" t="n">
        <v>39845</v>
      </c>
      <c r="D777" s="5">
        <f>YEAR(C777)</f>
        <v/>
      </c>
      <c r="E777" s="5">
        <f>MONTH(C777)</f>
        <v/>
      </c>
      <c r="F777" s="38" t="inlineStr">
        <is>
          <t>NFV  :TENDA ATACADO LTDA</t>
        </is>
      </c>
      <c r="G777" s="38" t="inlineStr">
        <is>
          <t>MARIO FRUGIS (01.04.01)</t>
        </is>
      </c>
      <c r="H777" s="38" t="inlineStr">
        <is>
          <t>NFV</t>
        </is>
      </c>
      <c r="I777" s="40" t="n">
        <v>141.99</v>
      </c>
      <c r="J777" s="40" t="n">
        <v>0</v>
      </c>
      <c r="K777" s="6">
        <f>I777-J777</f>
        <v/>
      </c>
      <c r="L777" s="6">
        <f>IF(H777="DISTRATO",0,I777)</f>
        <v/>
      </c>
    </row>
    <row r="778">
      <c r="A778" s="38" t="inlineStr">
        <is>
          <t>Conta corrente MFRUGIS09.XLS</t>
        </is>
      </c>
      <c r="B778" s="39" t="n">
        <v>39871</v>
      </c>
      <c r="C778" s="4" t="n">
        <v>39845</v>
      </c>
      <c r="D778" s="5">
        <f>YEAR(C778)</f>
        <v/>
      </c>
      <c r="E778" s="5">
        <f>MONTH(C778)</f>
        <v/>
      </c>
      <c r="F778" s="38" t="inlineStr">
        <is>
          <t>NFV  :TENDA ATACADO LTDA</t>
        </is>
      </c>
      <c r="G778" s="38" t="inlineStr">
        <is>
          <t>MARIO FRUGIS (01.04.01)</t>
        </is>
      </c>
      <c r="H778" s="38" t="inlineStr">
        <is>
          <t>NFV</t>
        </is>
      </c>
      <c r="I778" s="40" t="n">
        <v>217.37</v>
      </c>
      <c r="J778" s="40" t="n">
        <v>0</v>
      </c>
      <c r="K778" s="6">
        <f>I778-J778</f>
        <v/>
      </c>
      <c r="L778" s="6">
        <f>IF(H778="DISTRATO",0,I778)</f>
        <v/>
      </c>
    </row>
    <row r="779">
      <c r="A779" s="38" t="inlineStr">
        <is>
          <t>Conta corrente MFRUGIS09.XLS</t>
        </is>
      </c>
      <c r="B779" s="39" t="n">
        <v>39871</v>
      </c>
      <c r="C779" s="4" t="n">
        <v>39845</v>
      </c>
      <c r="D779" s="5">
        <f>YEAR(C779)</f>
        <v/>
      </c>
      <c r="E779" s="5">
        <f>MONTH(C779)</f>
        <v/>
      </c>
      <c r="F779" s="38" t="inlineStr">
        <is>
          <t>NFV  :TENDA ATACADO LTDA</t>
        </is>
      </c>
      <c r="G779" s="38" t="inlineStr">
        <is>
          <t>MARIO FRUGIS (01.04.01)</t>
        </is>
      </c>
      <c r="H779" s="38" t="inlineStr">
        <is>
          <t>NFV</t>
        </is>
      </c>
      <c r="I779" s="40" t="n">
        <v>89.19</v>
      </c>
      <c r="J779" s="40" t="n">
        <v>0</v>
      </c>
      <c r="K779" s="6">
        <f>I779-J779</f>
        <v/>
      </c>
      <c r="L779" s="6">
        <f>IF(H779="DISTRATO",0,I779)</f>
        <v/>
      </c>
    </row>
    <row r="780">
      <c r="A780" s="38" t="inlineStr">
        <is>
          <t>Conta corrente MFRUGIS09.XLS</t>
        </is>
      </c>
      <c r="B780" s="39" t="n">
        <v>39871</v>
      </c>
      <c r="C780" s="4" t="n">
        <v>39845</v>
      </c>
      <c r="D780" s="5">
        <f>YEAR(C780)</f>
        <v/>
      </c>
      <c r="E780" s="5">
        <f>MONTH(C780)</f>
        <v/>
      </c>
      <c r="F780" s="38" t="inlineStr">
        <is>
          <t>NFV  :TENDA ATACADO LTDA</t>
        </is>
      </c>
      <c r="G780" s="38" t="inlineStr">
        <is>
          <t>MARIO FRUGIS (01.04.01)</t>
        </is>
      </c>
      <c r="H780" s="38" t="inlineStr">
        <is>
          <t>NFV</t>
        </is>
      </c>
      <c r="I780" s="40" t="n">
        <v>251.32</v>
      </c>
      <c r="J780" s="40" t="n">
        <v>0</v>
      </c>
      <c r="K780" s="6">
        <f>I780-J780</f>
        <v/>
      </c>
      <c r="L780" s="6">
        <f>IF(H780="DISTRATO",0,I780)</f>
        <v/>
      </c>
    </row>
    <row r="781">
      <c r="A781" s="38" t="inlineStr">
        <is>
          <t>Conta corrente MFRUGIS09.XLS</t>
        </is>
      </c>
      <c r="B781" s="39" t="n">
        <v>39871</v>
      </c>
      <c r="C781" s="4" t="n">
        <v>39845</v>
      </c>
      <c r="D781" s="5">
        <f>YEAR(C781)</f>
        <v/>
      </c>
      <c r="E781" s="5">
        <f>MONTH(C781)</f>
        <v/>
      </c>
      <c r="F781" s="38" t="inlineStr">
        <is>
          <t>NFV  :TENDA ATACADO LTDA</t>
        </is>
      </c>
      <c r="G781" s="38" t="inlineStr">
        <is>
          <t>MARIO FRUGIS (01.04.01)</t>
        </is>
      </c>
      <c r="H781" s="38" t="inlineStr">
        <is>
          <t>NFV</t>
        </is>
      </c>
      <c r="I781" s="40" t="n">
        <v>133.83</v>
      </c>
      <c r="J781" s="40" t="n">
        <v>0</v>
      </c>
      <c r="K781" s="6">
        <f>I781-J781</f>
        <v/>
      </c>
      <c r="L781" s="6">
        <f>IF(H781="DISTRATO",0,I781)</f>
        <v/>
      </c>
    </row>
    <row r="782">
      <c r="A782" s="38" t="inlineStr">
        <is>
          <t>Conta corrente MFRUGIS09.XLS</t>
        </is>
      </c>
      <c r="B782" s="39" t="n">
        <v>39871</v>
      </c>
      <c r="C782" s="4" t="n">
        <v>39845</v>
      </c>
      <c r="D782" s="5">
        <f>YEAR(C782)</f>
        <v/>
      </c>
      <c r="E782" s="5">
        <f>MONTH(C782)</f>
        <v/>
      </c>
      <c r="F782" s="38" t="inlineStr">
        <is>
          <t>NFV  :TENDA ATACADO LTDA</t>
        </is>
      </c>
      <c r="G782" s="38" t="inlineStr">
        <is>
          <t>MARIO FRUGIS (01.04.01)</t>
        </is>
      </c>
      <c r="H782" s="38" t="inlineStr">
        <is>
          <t>NFV</t>
        </is>
      </c>
      <c r="I782" s="40" t="n">
        <v>146.87</v>
      </c>
      <c r="J782" s="40" t="n">
        <v>0</v>
      </c>
      <c r="K782" s="6">
        <f>I782-J782</f>
        <v/>
      </c>
      <c r="L782" s="6">
        <f>IF(H782="DISTRATO",0,I782)</f>
        <v/>
      </c>
    </row>
    <row r="783">
      <c r="A783" s="38" t="inlineStr">
        <is>
          <t>Conta corrente MFRUGIS09.XLS</t>
        </is>
      </c>
      <c r="B783" s="39" t="n">
        <v>39871</v>
      </c>
      <c r="C783" s="4" t="n">
        <v>39845</v>
      </c>
      <c r="D783" s="5">
        <f>YEAR(C783)</f>
        <v/>
      </c>
      <c r="E783" s="5">
        <f>MONTH(C783)</f>
        <v/>
      </c>
      <c r="F783" s="38" t="inlineStr">
        <is>
          <t>NFV  :TENDA ATACADO LTDA</t>
        </is>
      </c>
      <c r="G783" s="38" t="inlineStr">
        <is>
          <t>MARIO FRUGIS (01.04.01)</t>
        </is>
      </c>
      <c r="H783" s="38" t="inlineStr">
        <is>
          <t>NFV</t>
        </is>
      </c>
      <c r="I783" s="40" t="n">
        <v>45.84</v>
      </c>
      <c r="J783" s="40" t="n">
        <v>0</v>
      </c>
      <c r="K783" s="6">
        <f>I783-J783</f>
        <v/>
      </c>
      <c r="L783" s="6">
        <f>IF(H783="DISTRATO",0,I783)</f>
        <v/>
      </c>
    </row>
    <row r="784">
      <c r="A784" s="38" t="inlineStr">
        <is>
          <t>Conta corrente MFRUGIS09.XLS</t>
        </is>
      </c>
      <c r="B784" s="39" t="n">
        <v>39871</v>
      </c>
      <c r="C784" s="4" t="n">
        <v>39845</v>
      </c>
      <c r="D784" s="5">
        <f>YEAR(C784)</f>
        <v/>
      </c>
      <c r="E784" s="5">
        <f>MONTH(C784)</f>
        <v/>
      </c>
      <c r="F784" s="38" t="inlineStr">
        <is>
          <t>NFV  :TENDA ATACADO LTDA</t>
        </is>
      </c>
      <c r="G784" s="38" t="inlineStr">
        <is>
          <t>MARIO FRUGIS (01.04.01)</t>
        </is>
      </c>
      <c r="H784" s="38" t="inlineStr">
        <is>
          <t>NFV</t>
        </is>
      </c>
      <c r="I784" s="40" t="n">
        <v>188.49</v>
      </c>
      <c r="J784" s="40" t="n">
        <v>0</v>
      </c>
      <c r="K784" s="6">
        <f>I784-J784</f>
        <v/>
      </c>
      <c r="L784" s="6">
        <f>IF(H784="DISTRATO",0,I784)</f>
        <v/>
      </c>
    </row>
    <row r="785">
      <c r="A785" s="38" t="inlineStr">
        <is>
          <t>Conta corrente MFRUGIS09.XLS</t>
        </is>
      </c>
      <c r="B785" s="39" t="n">
        <v>39871</v>
      </c>
      <c r="C785" s="4" t="n">
        <v>39845</v>
      </c>
      <c r="D785" s="5">
        <f>YEAR(C785)</f>
        <v/>
      </c>
      <c r="E785" s="5">
        <f>MONTH(C785)</f>
        <v/>
      </c>
      <c r="F785" s="38" t="inlineStr">
        <is>
          <t>NFV  :TENDA ATACADO LTDA</t>
        </is>
      </c>
      <c r="G785" s="38" t="inlineStr">
        <is>
          <t>MARIO FRUGIS (01.04.01)</t>
        </is>
      </c>
      <c r="H785" s="38" t="inlineStr">
        <is>
          <t>NFV</t>
        </is>
      </c>
      <c r="I785" s="40" t="n">
        <v>15.9</v>
      </c>
      <c r="J785" s="40" t="n">
        <v>0</v>
      </c>
      <c r="K785" s="6">
        <f>I785-J785</f>
        <v/>
      </c>
      <c r="L785" s="6">
        <f>IF(H785="DISTRATO",0,I785)</f>
        <v/>
      </c>
    </row>
    <row r="786">
      <c r="A786" s="38" t="inlineStr">
        <is>
          <t>Conta corrente MFRUGIS09.XLS</t>
        </is>
      </c>
      <c r="B786" s="39" t="n">
        <v>39895</v>
      </c>
      <c r="C786" s="4" t="n">
        <v>39873</v>
      </c>
      <c r="D786" s="5">
        <f>YEAR(C786)</f>
        <v/>
      </c>
      <c r="E786" s="5">
        <f>MONTH(C786)</f>
        <v/>
      </c>
      <c r="F786" s="38" t="inlineStr">
        <is>
          <t>BONIF:TENDA ATACADO LTDA</t>
        </is>
      </c>
      <c r="G786" s="38" t="inlineStr">
        <is>
          <t>MARIO FRUGIS (01.04.01)</t>
        </is>
      </c>
      <c r="H786" s="38" t="inlineStr">
        <is>
          <t>BONIFICACAO</t>
        </is>
      </c>
      <c r="I786" s="40" t="n">
        <v>-60.24</v>
      </c>
      <c r="J786" s="40" t="n">
        <v>0</v>
      </c>
      <c r="K786" s="6">
        <f>I786-J786</f>
        <v/>
      </c>
      <c r="L786" s="6">
        <f>IF(H786="DISTRATO",0,I786)</f>
        <v/>
      </c>
    </row>
    <row r="787">
      <c r="A787" s="38" t="inlineStr">
        <is>
          <t>Conta corrente MFRUGIS09.XLS</t>
        </is>
      </c>
      <c r="B787" s="39" t="n">
        <v>39895</v>
      </c>
      <c r="C787" s="4" t="n">
        <v>39873</v>
      </c>
      <c r="D787" s="5">
        <f>YEAR(C787)</f>
        <v/>
      </c>
      <c r="E787" s="5">
        <f>MONTH(C787)</f>
        <v/>
      </c>
      <c r="F787" s="38" t="inlineStr">
        <is>
          <t>NFV  :TENDA ATACADO LTDA</t>
        </is>
      </c>
      <c r="G787" s="38" t="inlineStr">
        <is>
          <t>MARIO FRUGIS (01.04.01)</t>
        </is>
      </c>
      <c r="H787" s="38" t="inlineStr">
        <is>
          <t>NFV</t>
        </is>
      </c>
      <c r="I787" s="40" t="n">
        <v>30.33</v>
      </c>
      <c r="J787" s="40" t="n">
        <v>0</v>
      </c>
      <c r="K787" s="6">
        <f>I787-J787</f>
        <v/>
      </c>
      <c r="L787" s="6">
        <f>IF(H787="DISTRATO",0,I787)</f>
        <v/>
      </c>
    </row>
    <row r="788">
      <c r="A788" s="38" t="inlineStr">
        <is>
          <t>Conta corrente MFRUGIS09.XLS</t>
        </is>
      </c>
      <c r="B788" s="39" t="n">
        <v>39895</v>
      </c>
      <c r="C788" s="4" t="n">
        <v>39873</v>
      </c>
      <c r="D788" s="5">
        <f>YEAR(C788)</f>
        <v/>
      </c>
      <c r="E788" s="5">
        <f>MONTH(C788)</f>
        <v/>
      </c>
      <c r="F788" s="38" t="inlineStr">
        <is>
          <t>NFV  :TENDA ATACADO LTDA</t>
        </is>
      </c>
      <c r="G788" s="38" t="inlineStr">
        <is>
          <t>MARIO FRUGIS (01.04.01)</t>
        </is>
      </c>
      <c r="H788" s="38" t="inlineStr">
        <is>
          <t>NFV</t>
        </is>
      </c>
      <c r="I788" s="40" t="n">
        <v>56.1</v>
      </c>
      <c r="J788" s="40" t="n">
        <v>0</v>
      </c>
      <c r="K788" s="6">
        <f>I788-J788</f>
        <v/>
      </c>
      <c r="L788" s="6">
        <f>IF(H788="DISTRATO",0,I788)</f>
        <v/>
      </c>
    </row>
    <row r="789">
      <c r="A789" s="38" t="inlineStr">
        <is>
          <t>Conta corrente MFRUGIS09.XLS</t>
        </is>
      </c>
      <c r="B789" s="39" t="n">
        <v>39895</v>
      </c>
      <c r="C789" s="4" t="n">
        <v>39873</v>
      </c>
      <c r="D789" s="5">
        <f>YEAR(C789)</f>
        <v/>
      </c>
      <c r="E789" s="5">
        <f>MONTH(C789)</f>
        <v/>
      </c>
      <c r="F789" s="38" t="inlineStr">
        <is>
          <t>NFV  :TENDA ATACADO LTDA</t>
        </is>
      </c>
      <c r="G789" s="38" t="inlineStr">
        <is>
          <t>MARIO FRUGIS (01.04.01)</t>
        </is>
      </c>
      <c r="H789" s="38" t="inlineStr">
        <is>
          <t>NFV</t>
        </is>
      </c>
      <c r="I789" s="40" t="n">
        <v>102</v>
      </c>
      <c r="J789" s="40" t="n">
        <v>0</v>
      </c>
      <c r="K789" s="6">
        <f>I789-J789</f>
        <v/>
      </c>
      <c r="L789" s="6">
        <f>IF(H789="DISTRATO",0,I789)</f>
        <v/>
      </c>
    </row>
    <row r="790">
      <c r="A790" s="38" t="inlineStr">
        <is>
          <t>Conta corrente MFRUGIS09.XLS</t>
        </is>
      </c>
      <c r="B790" s="39" t="n">
        <v>39895</v>
      </c>
      <c r="C790" s="4" t="n">
        <v>39873</v>
      </c>
      <c r="D790" s="5">
        <f>YEAR(C790)</f>
        <v/>
      </c>
      <c r="E790" s="5">
        <f>MONTH(C790)</f>
        <v/>
      </c>
      <c r="F790" s="38" t="inlineStr">
        <is>
          <t>NFV  :TENDA ATACADO LTDA</t>
        </is>
      </c>
      <c r="G790" s="38" t="inlineStr">
        <is>
          <t>MARIO FRUGIS (01.04.01)</t>
        </is>
      </c>
      <c r="H790" s="38" t="inlineStr">
        <is>
          <t>NFV</t>
        </is>
      </c>
      <c r="I790" s="40" t="n">
        <v>78.84</v>
      </c>
      <c r="J790" s="40" t="n">
        <v>0</v>
      </c>
      <c r="K790" s="6">
        <f>I790-J790</f>
        <v/>
      </c>
      <c r="L790" s="6">
        <f>IF(H790="DISTRATO",0,I790)</f>
        <v/>
      </c>
    </row>
    <row r="791">
      <c r="A791" s="38" t="inlineStr">
        <is>
          <t>Conta corrente MFRUGIS09.XLS</t>
        </is>
      </c>
      <c r="B791" s="39" t="n">
        <v>39895</v>
      </c>
      <c r="C791" s="4" t="n">
        <v>39873</v>
      </c>
      <c r="D791" s="5">
        <f>YEAR(C791)</f>
        <v/>
      </c>
      <c r="E791" s="5">
        <f>MONTH(C791)</f>
        <v/>
      </c>
      <c r="F791" s="38" t="inlineStr">
        <is>
          <t>NFV  :TENDA ATACADO LTDA</t>
        </is>
      </c>
      <c r="G791" s="38" t="inlineStr">
        <is>
          <t>MARIO FRUGIS (01.04.01)</t>
        </is>
      </c>
      <c r="H791" s="38" t="inlineStr">
        <is>
          <t>NFV</t>
        </is>
      </c>
      <c r="I791" s="40" t="n">
        <v>31</v>
      </c>
      <c r="J791" s="40" t="n">
        <v>0</v>
      </c>
      <c r="K791" s="6">
        <f>I791-J791</f>
        <v/>
      </c>
      <c r="L791" s="6">
        <f>IF(H791="DISTRATO",0,I791)</f>
        <v/>
      </c>
    </row>
    <row r="792">
      <c r="A792" s="38" t="inlineStr">
        <is>
          <t>Conta corrente MFRUGIS09.XLS</t>
        </is>
      </c>
      <c r="B792" s="39" t="n">
        <v>39895</v>
      </c>
      <c r="C792" s="4" t="n">
        <v>39873</v>
      </c>
      <c r="D792" s="5">
        <f>YEAR(C792)</f>
        <v/>
      </c>
      <c r="E792" s="5">
        <f>MONTH(C792)</f>
        <v/>
      </c>
      <c r="F792" s="38" t="inlineStr">
        <is>
          <t>NFV  :TENDA ATACADO LTDA</t>
        </is>
      </c>
      <c r="G792" s="38" t="inlineStr">
        <is>
          <t>MARIO FRUGIS (01.04.01)</t>
        </is>
      </c>
      <c r="H792" s="38" t="inlineStr">
        <is>
          <t>NFV</t>
        </is>
      </c>
      <c r="I792" s="40" t="n">
        <v>43.55</v>
      </c>
      <c r="J792" s="40" t="n">
        <v>0</v>
      </c>
      <c r="K792" s="6">
        <f>I792-J792</f>
        <v/>
      </c>
      <c r="L792" s="6">
        <f>IF(H792="DISTRATO",0,I792)</f>
        <v/>
      </c>
    </row>
    <row r="793">
      <c r="A793" s="38" t="inlineStr">
        <is>
          <t>Conta corrente MFRUGIS09.XLS</t>
        </is>
      </c>
      <c r="B793" s="39" t="n">
        <v>39895</v>
      </c>
      <c r="C793" s="4" t="n">
        <v>39873</v>
      </c>
      <c r="D793" s="5">
        <f>YEAR(C793)</f>
        <v/>
      </c>
      <c r="E793" s="5">
        <f>MONTH(C793)</f>
        <v/>
      </c>
      <c r="F793" s="38" t="inlineStr">
        <is>
          <t>NFV  :TENDA ATACADO LTDA</t>
        </is>
      </c>
      <c r="G793" s="38" t="inlineStr">
        <is>
          <t>MARIO FRUGIS (01.04.01)</t>
        </is>
      </c>
      <c r="H793" s="38" t="inlineStr">
        <is>
          <t>NFV</t>
        </is>
      </c>
      <c r="I793" s="40" t="n">
        <v>140.38</v>
      </c>
      <c r="J793" s="40" t="n">
        <v>0</v>
      </c>
      <c r="K793" s="6">
        <f>I793-J793</f>
        <v/>
      </c>
      <c r="L793" s="6">
        <f>IF(H793="DISTRATO",0,I793)</f>
        <v/>
      </c>
    </row>
    <row r="794">
      <c r="A794" s="38" t="inlineStr">
        <is>
          <t>Conta corrente MFRUGIS09.XLS</t>
        </is>
      </c>
      <c r="B794" s="39" t="n">
        <v>39895</v>
      </c>
      <c r="C794" s="4" t="n">
        <v>39873</v>
      </c>
      <c r="D794" s="5">
        <f>YEAR(C794)</f>
        <v/>
      </c>
      <c r="E794" s="5">
        <f>MONTH(C794)</f>
        <v/>
      </c>
      <c r="F794" s="38" t="inlineStr">
        <is>
          <t>NFV  :TENDA ATACADO LTDA</t>
        </is>
      </c>
      <c r="G794" s="38" t="inlineStr">
        <is>
          <t>MARIO FRUGIS (01.04.01)</t>
        </is>
      </c>
      <c r="H794" s="38" t="inlineStr">
        <is>
          <t>NFV</t>
        </is>
      </c>
      <c r="I794" s="40" t="n">
        <v>52.85</v>
      </c>
      <c r="J794" s="40" t="n">
        <v>0</v>
      </c>
      <c r="K794" s="6">
        <f>I794-J794</f>
        <v/>
      </c>
      <c r="L794" s="6">
        <f>IF(H794="DISTRATO",0,I794)</f>
        <v/>
      </c>
    </row>
    <row r="795">
      <c r="A795" s="38" t="inlineStr">
        <is>
          <t>Conta corrente MFRUGIS09.XLS</t>
        </is>
      </c>
      <c r="B795" s="39" t="n">
        <v>39895</v>
      </c>
      <c r="C795" s="4" t="n">
        <v>39873</v>
      </c>
      <c r="D795" s="5">
        <f>YEAR(C795)</f>
        <v/>
      </c>
      <c r="E795" s="5">
        <f>MONTH(C795)</f>
        <v/>
      </c>
      <c r="F795" s="38" t="inlineStr">
        <is>
          <t>NFV  :TENDA ATACADO LTDA</t>
        </is>
      </c>
      <c r="G795" s="38" t="inlineStr">
        <is>
          <t>MARIO FRUGIS (01.04.01)</t>
        </is>
      </c>
      <c r="H795" s="38" t="inlineStr">
        <is>
          <t>NFV</t>
        </is>
      </c>
      <c r="I795" s="40" t="n">
        <v>43.55</v>
      </c>
      <c r="J795" s="40" t="n">
        <v>0</v>
      </c>
      <c r="K795" s="6">
        <f>I795-J795</f>
        <v/>
      </c>
      <c r="L795" s="6">
        <f>IF(H795="DISTRATO",0,I795)</f>
        <v/>
      </c>
    </row>
    <row r="796">
      <c r="A796" s="38" t="inlineStr">
        <is>
          <t>Conta corrente MFRUGIS09.XLS</t>
        </is>
      </c>
      <c r="B796" s="39" t="n">
        <v>39896</v>
      </c>
      <c r="C796" s="4" t="n">
        <v>39873</v>
      </c>
      <c r="D796" s="5">
        <f>YEAR(C796)</f>
        <v/>
      </c>
      <c r="E796" s="5">
        <f>MONTH(C796)</f>
        <v/>
      </c>
      <c r="F796" s="38" t="inlineStr">
        <is>
          <t>BONIF:TENDA ATACADO LTDA</t>
        </is>
      </c>
      <c r="G796" s="38" t="inlineStr">
        <is>
          <t>MARIO FRUGIS (01.04.01)</t>
        </is>
      </c>
      <c r="H796" s="38" t="inlineStr">
        <is>
          <t>BONIFICACAO</t>
        </is>
      </c>
      <c r="I796" s="40" t="n">
        <v>-60.24</v>
      </c>
      <c r="J796" s="40" t="n">
        <v>0</v>
      </c>
      <c r="K796" s="6">
        <f>I796-J796</f>
        <v/>
      </c>
      <c r="L796" s="6">
        <f>IF(H796="DISTRATO",0,I796)</f>
        <v/>
      </c>
    </row>
    <row r="797">
      <c r="A797" s="38" t="inlineStr">
        <is>
          <t>Conta corrente MFRUGIS09.XLS</t>
        </is>
      </c>
      <c r="B797" s="39" t="n">
        <v>39896</v>
      </c>
      <c r="C797" s="4" t="n">
        <v>39873</v>
      </c>
      <c r="D797" s="5">
        <f>YEAR(C797)</f>
        <v/>
      </c>
      <c r="E797" s="5">
        <f>MONTH(C797)</f>
        <v/>
      </c>
      <c r="F797" s="38" t="inlineStr">
        <is>
          <t>NFV  :TENDA ATACADO LTDA</t>
        </is>
      </c>
      <c r="G797" s="38" t="inlineStr">
        <is>
          <t>MARIO FRUGIS (01.04.01)</t>
        </is>
      </c>
      <c r="H797" s="38" t="inlineStr">
        <is>
          <t>NFV</t>
        </is>
      </c>
      <c r="I797" s="40" t="n">
        <v>111.34</v>
      </c>
      <c r="J797" s="40" t="n">
        <v>0</v>
      </c>
      <c r="K797" s="6">
        <f>I797-J797</f>
        <v/>
      </c>
      <c r="L797" s="6">
        <f>IF(H797="DISTRATO",0,I797)</f>
        <v/>
      </c>
    </row>
    <row r="798">
      <c r="A798" s="38" t="inlineStr">
        <is>
          <t>Conta corrente MFRUGIS09.XLS</t>
        </is>
      </c>
      <c r="B798" s="39" t="n">
        <v>39896</v>
      </c>
      <c r="C798" s="4" t="n">
        <v>39873</v>
      </c>
      <c r="D798" s="5">
        <f>YEAR(C798)</f>
        <v/>
      </c>
      <c r="E798" s="5">
        <f>MONTH(C798)</f>
        <v/>
      </c>
      <c r="F798" s="38" t="inlineStr">
        <is>
          <t>NFV  :TENDA ATACADO LTDA</t>
        </is>
      </c>
      <c r="G798" s="38" t="inlineStr">
        <is>
          <t>MARIO FRUGIS (01.04.01)</t>
        </is>
      </c>
      <c r="H798" s="38" t="inlineStr">
        <is>
          <t>NFV</t>
        </is>
      </c>
      <c r="I798" s="40" t="n">
        <v>115.27</v>
      </c>
      <c r="J798" s="40" t="n">
        <v>0</v>
      </c>
      <c r="K798" s="6">
        <f>I798-J798</f>
        <v/>
      </c>
      <c r="L798" s="6">
        <f>IF(H798="DISTRATO",0,I798)</f>
        <v/>
      </c>
    </row>
    <row r="799">
      <c r="A799" s="38" t="inlineStr">
        <is>
          <t>Conta corrente MFRUGIS09.XLS</t>
        </is>
      </c>
      <c r="B799" s="39" t="n">
        <v>39896</v>
      </c>
      <c r="C799" s="4" t="n">
        <v>39873</v>
      </c>
      <c r="D799" s="5">
        <f>YEAR(C799)</f>
        <v/>
      </c>
      <c r="E799" s="5">
        <f>MONTH(C799)</f>
        <v/>
      </c>
      <c r="F799" s="38" t="inlineStr">
        <is>
          <t>NFV  :TENDA ATACADO LTDA</t>
        </is>
      </c>
      <c r="G799" s="38" t="inlineStr">
        <is>
          <t>MARIO FRUGIS (01.04.01)</t>
        </is>
      </c>
      <c r="H799" s="38" t="inlineStr">
        <is>
          <t>NFV</t>
        </is>
      </c>
      <c r="I799" s="40" t="n">
        <v>110.16</v>
      </c>
      <c r="J799" s="40" t="n">
        <v>0</v>
      </c>
      <c r="K799" s="6">
        <f>I799-J799</f>
        <v/>
      </c>
      <c r="L799" s="6">
        <f>IF(H799="DISTRATO",0,I799)</f>
        <v/>
      </c>
    </row>
    <row r="800">
      <c r="A800" s="38" t="inlineStr">
        <is>
          <t>Conta corrente MFRUGIS09.XLS</t>
        </is>
      </c>
      <c r="B800" s="39" t="n">
        <v>39897</v>
      </c>
      <c r="C800" s="4" t="n">
        <v>39873</v>
      </c>
      <c r="D800" s="5">
        <f>YEAR(C800)</f>
        <v/>
      </c>
      <c r="E800" s="5">
        <f>MONTH(C800)</f>
        <v/>
      </c>
      <c r="F800" s="38" t="inlineStr">
        <is>
          <t>NFV  :TENDA ATACADO LTDA</t>
        </is>
      </c>
      <c r="G800" s="38" t="inlineStr">
        <is>
          <t>MARIO FRUGIS (01.04.01)</t>
        </is>
      </c>
      <c r="H800" s="38" t="inlineStr">
        <is>
          <t>NFV</t>
        </is>
      </c>
      <c r="I800" s="40" t="n">
        <v>161.36</v>
      </c>
      <c r="J800" s="40" t="n">
        <v>0</v>
      </c>
      <c r="K800" s="6">
        <f>I800-J800</f>
        <v/>
      </c>
      <c r="L800" s="6">
        <f>IF(H800="DISTRATO",0,I800)</f>
        <v/>
      </c>
    </row>
    <row r="801">
      <c r="A801" s="38" t="inlineStr">
        <is>
          <t>Conta corrente MFRUGIS09.XLS</t>
        </is>
      </c>
      <c r="B801" s="39" t="n">
        <v>39897</v>
      </c>
      <c r="C801" s="4" t="n">
        <v>39873</v>
      </c>
      <c r="D801" s="5">
        <f>YEAR(C801)</f>
        <v/>
      </c>
      <c r="E801" s="5">
        <f>MONTH(C801)</f>
        <v/>
      </c>
      <c r="F801" s="38" t="inlineStr">
        <is>
          <t>NFV  :TENDA ATACADO LTDA</t>
        </is>
      </c>
      <c r="G801" s="38" t="inlineStr">
        <is>
          <t>MARIO FRUGIS (01.04.01)</t>
        </is>
      </c>
      <c r="H801" s="38" t="inlineStr">
        <is>
          <t>NFV</t>
        </is>
      </c>
      <c r="I801" s="40" t="n">
        <v>171.6</v>
      </c>
      <c r="J801" s="40" t="n">
        <v>0</v>
      </c>
      <c r="K801" s="6">
        <f>I801-J801</f>
        <v/>
      </c>
      <c r="L801" s="6">
        <f>IF(H801="DISTRATO",0,I801)</f>
        <v/>
      </c>
    </row>
    <row r="802">
      <c r="A802" s="38" t="inlineStr">
        <is>
          <t>Conta corrente MFRUGIS09.XLS</t>
        </is>
      </c>
      <c r="B802" s="39" t="n">
        <v>39897</v>
      </c>
      <c r="C802" s="4" t="n">
        <v>39873</v>
      </c>
      <c r="D802" s="5">
        <f>YEAR(C802)</f>
        <v/>
      </c>
      <c r="E802" s="5">
        <f>MONTH(C802)</f>
        <v/>
      </c>
      <c r="F802" s="38" t="inlineStr">
        <is>
          <t>NFV  :TENDA ATACADO LTDA</t>
        </is>
      </c>
      <c r="G802" s="38" t="inlineStr">
        <is>
          <t>MARIO FRUGIS (01.04.01)</t>
        </is>
      </c>
      <c r="H802" s="38" t="inlineStr">
        <is>
          <t>NFV</t>
        </is>
      </c>
      <c r="I802" s="40" t="n">
        <v>119.19</v>
      </c>
      <c r="J802" s="40" t="n">
        <v>0</v>
      </c>
      <c r="K802" s="6">
        <f>I802-J802</f>
        <v/>
      </c>
      <c r="L802" s="6">
        <f>IF(H802="DISTRATO",0,I802)</f>
        <v/>
      </c>
    </row>
    <row r="803">
      <c r="A803" s="38" t="inlineStr">
        <is>
          <t>Conta corrente MFRUGIS09.XLS</t>
        </is>
      </c>
      <c r="B803" s="39" t="n">
        <v>39897</v>
      </c>
      <c r="C803" s="4" t="n">
        <v>39873</v>
      </c>
      <c r="D803" s="5">
        <f>YEAR(C803)</f>
        <v/>
      </c>
      <c r="E803" s="5">
        <f>MONTH(C803)</f>
        <v/>
      </c>
      <c r="F803" s="38" t="inlineStr">
        <is>
          <t>NFV  :TENDA ATACADO LTDA</t>
        </is>
      </c>
      <c r="G803" s="38" t="inlineStr">
        <is>
          <t>MARIO FRUGIS (01.04.01)</t>
        </is>
      </c>
      <c r="H803" s="38" t="inlineStr">
        <is>
          <t>NFV</t>
        </is>
      </c>
      <c r="I803" s="40" t="n">
        <v>86.83</v>
      </c>
      <c r="J803" s="40" t="n">
        <v>0</v>
      </c>
      <c r="K803" s="6">
        <f>I803-J803</f>
        <v/>
      </c>
      <c r="L803" s="6">
        <f>IF(H803="DISTRATO",0,I803)</f>
        <v/>
      </c>
    </row>
    <row r="804">
      <c r="A804" s="38" t="inlineStr">
        <is>
          <t>Conta corrente MFRUGIS09.XLS</t>
        </is>
      </c>
      <c r="B804" s="39" t="n">
        <v>39897</v>
      </c>
      <c r="C804" s="4" t="n">
        <v>39873</v>
      </c>
      <c r="D804" s="5">
        <f>YEAR(C804)</f>
        <v/>
      </c>
      <c r="E804" s="5">
        <f>MONTH(C804)</f>
        <v/>
      </c>
      <c r="F804" s="38" t="inlineStr">
        <is>
          <t>NFV  :TENDA ATACADO LTDA</t>
        </is>
      </c>
      <c r="G804" s="38" t="inlineStr">
        <is>
          <t>MARIO FRUGIS (01.04.01)</t>
        </is>
      </c>
      <c r="H804" s="38" t="inlineStr">
        <is>
          <t>NFV</t>
        </is>
      </c>
      <c r="I804" s="40" t="n">
        <v>111.67</v>
      </c>
      <c r="J804" s="40" t="n">
        <v>0</v>
      </c>
      <c r="K804" s="6">
        <f>I804-J804</f>
        <v/>
      </c>
      <c r="L804" s="6">
        <f>IF(H804="DISTRATO",0,I804)</f>
        <v/>
      </c>
    </row>
    <row r="805">
      <c r="A805" s="38" t="inlineStr">
        <is>
          <t>Conta corrente MFRUGIS09.XLS</t>
        </is>
      </c>
      <c r="B805" s="39" t="n">
        <v>39897</v>
      </c>
      <c r="C805" s="4" t="n">
        <v>39873</v>
      </c>
      <c r="D805" s="5">
        <f>YEAR(C805)</f>
        <v/>
      </c>
      <c r="E805" s="5">
        <f>MONTH(C805)</f>
        <v/>
      </c>
      <c r="F805" s="38" t="inlineStr">
        <is>
          <t>NFV  :TENDA ATACADO LTDA</t>
        </is>
      </c>
      <c r="G805" s="38" t="inlineStr">
        <is>
          <t>MARIO FRUGIS (01.04.01)</t>
        </is>
      </c>
      <c r="H805" s="38" t="inlineStr">
        <is>
          <t>NFV</t>
        </is>
      </c>
      <c r="I805" s="40" t="n">
        <v>88.12</v>
      </c>
      <c r="J805" s="40" t="n">
        <v>0</v>
      </c>
      <c r="K805" s="6">
        <f>I805-J805</f>
        <v/>
      </c>
      <c r="L805" s="6">
        <f>IF(H805="DISTRATO",0,I805)</f>
        <v/>
      </c>
    </row>
    <row r="806">
      <c r="A806" s="38" t="inlineStr">
        <is>
          <t>Conta corrente MFRUGIS09.XLS</t>
        </is>
      </c>
      <c r="B806" s="39" t="n">
        <v>39897</v>
      </c>
      <c r="C806" s="4" t="n">
        <v>39873</v>
      </c>
      <c r="D806" s="5">
        <f>YEAR(C806)</f>
        <v/>
      </c>
      <c r="E806" s="5">
        <f>MONTH(C806)</f>
        <v/>
      </c>
      <c r="F806" s="38" t="inlineStr">
        <is>
          <t>NFV  :TENDA ATACADO LTDA</t>
        </is>
      </c>
      <c r="G806" s="38" t="inlineStr">
        <is>
          <t>MARIO FRUGIS (01.04.01)</t>
        </is>
      </c>
      <c r="H806" s="38" t="inlineStr">
        <is>
          <t>NFV</t>
        </is>
      </c>
      <c r="I806" s="40" t="n">
        <v>63.97</v>
      </c>
      <c r="J806" s="40" t="n">
        <v>0</v>
      </c>
      <c r="K806" s="6">
        <f>I806-J806</f>
        <v/>
      </c>
      <c r="L806" s="6">
        <f>IF(H806="DISTRATO",0,I806)</f>
        <v/>
      </c>
    </row>
    <row r="807">
      <c r="A807" s="38" t="inlineStr">
        <is>
          <t>Conta corrente MFRUGIS09.XLS</t>
        </is>
      </c>
      <c r="B807" s="39" t="n">
        <v>39903</v>
      </c>
      <c r="C807" s="4" t="n">
        <v>39873</v>
      </c>
      <c r="D807" s="5">
        <f>YEAR(C807)</f>
        <v/>
      </c>
      <c r="E807" s="5">
        <f>MONTH(C807)</f>
        <v/>
      </c>
      <c r="F807" s="38" t="inlineStr">
        <is>
          <t>DIFERENCA x 26.1% (rateio: part. Tenda no mês)</t>
        </is>
      </c>
      <c r="G807" s="38" t="inlineStr">
        <is>
          <t>MARIO FRUGIS (01.04.01)</t>
        </is>
      </c>
      <c r="H807" s="38" t="inlineStr">
        <is>
          <t>AJUSTE % RATEIO</t>
        </is>
      </c>
      <c r="I807" s="40" t="n">
        <v>46.39</v>
      </c>
      <c r="J807" s="40" t="n">
        <v>0</v>
      </c>
      <c r="K807" s="6">
        <f>I807-J807</f>
        <v/>
      </c>
      <c r="L807" s="6">
        <f>IF(H807="DISTRATO",0,I807)</f>
        <v/>
      </c>
    </row>
    <row r="808">
      <c r="A808" s="38" t="inlineStr">
        <is>
          <t>Conta corrente MFRUGIS09.XLS</t>
        </is>
      </c>
      <c r="B808" s="39" t="n">
        <v>39916</v>
      </c>
      <c r="C808" s="4" t="n">
        <v>39904</v>
      </c>
      <c r="D808" s="5">
        <f>YEAR(C808)</f>
        <v/>
      </c>
      <c r="E808" s="5">
        <f>MONTH(C808)</f>
        <v/>
      </c>
      <c r="F808" s="38" t="inlineStr">
        <is>
          <t>NFV  :TENDA ATACADO LTDA</t>
        </is>
      </c>
      <c r="G808" s="38" t="inlineStr">
        <is>
          <t>MARIO FRUGIS (01.04.01)</t>
        </is>
      </c>
      <c r="H808" s="38" t="inlineStr">
        <is>
          <t>NFV</t>
        </is>
      </c>
      <c r="I808" s="40" t="n">
        <v>75.18000000000001</v>
      </c>
      <c r="J808" s="40" t="n">
        <v>0</v>
      </c>
      <c r="K808" s="6">
        <f>I808-J808</f>
        <v/>
      </c>
      <c r="L808" s="6">
        <f>IF(H808="DISTRATO",0,I808)</f>
        <v/>
      </c>
    </row>
    <row r="809">
      <c r="A809" s="38" t="inlineStr">
        <is>
          <t>Conta corrente MFRUGIS09.XLS</t>
        </is>
      </c>
      <c r="B809" s="39" t="n">
        <v>39916</v>
      </c>
      <c r="C809" s="4" t="n">
        <v>39904</v>
      </c>
      <c r="D809" s="5">
        <f>YEAR(C809)</f>
        <v/>
      </c>
      <c r="E809" s="5">
        <f>MONTH(C809)</f>
        <v/>
      </c>
      <c r="F809" s="38" t="inlineStr">
        <is>
          <t>NFV  :TENDA ATACADO LTDA</t>
        </is>
      </c>
      <c r="G809" s="38" t="inlineStr">
        <is>
          <t>MARIO FRUGIS (01.04.01)</t>
        </is>
      </c>
      <c r="H809" s="38" t="inlineStr">
        <is>
          <t>NFV</t>
        </is>
      </c>
      <c r="I809" s="40" t="n">
        <v>70.54000000000001</v>
      </c>
      <c r="J809" s="40" t="n">
        <v>0</v>
      </c>
      <c r="K809" s="6">
        <f>I809-J809</f>
        <v/>
      </c>
      <c r="L809" s="6">
        <f>IF(H809="DISTRATO",0,I809)</f>
        <v/>
      </c>
    </row>
    <row r="810">
      <c r="A810" s="38" t="inlineStr">
        <is>
          <t>Conta corrente MFRUGIS09.XLS</t>
        </is>
      </c>
      <c r="B810" s="39" t="n">
        <v>39916</v>
      </c>
      <c r="C810" s="4" t="n">
        <v>39904</v>
      </c>
      <c r="D810" s="5">
        <f>YEAR(C810)</f>
        <v/>
      </c>
      <c r="E810" s="5">
        <f>MONTH(C810)</f>
        <v/>
      </c>
      <c r="F810" s="38" t="inlineStr">
        <is>
          <t>NFV  :TENDA ATACADO LTDA</t>
        </is>
      </c>
      <c r="G810" s="38" t="inlineStr">
        <is>
          <t>MARIO FRUGIS (01.04.01)</t>
        </is>
      </c>
      <c r="H810" s="38" t="inlineStr">
        <is>
          <t>NFV</t>
        </is>
      </c>
      <c r="I810" s="40" t="n">
        <v>80.47</v>
      </c>
      <c r="J810" s="40" t="n">
        <v>0</v>
      </c>
      <c r="K810" s="6">
        <f>I810-J810</f>
        <v/>
      </c>
      <c r="L810" s="6">
        <f>IF(H810="DISTRATO",0,I810)</f>
        <v/>
      </c>
    </row>
    <row r="811">
      <c r="A811" s="38" t="inlineStr">
        <is>
          <t>Conta corrente MFRUGIS09.XLS</t>
        </is>
      </c>
      <c r="B811" s="39" t="n">
        <v>39916</v>
      </c>
      <c r="C811" s="4" t="n">
        <v>39904</v>
      </c>
      <c r="D811" s="5">
        <f>YEAR(C811)</f>
        <v/>
      </c>
      <c r="E811" s="5">
        <f>MONTH(C811)</f>
        <v/>
      </c>
      <c r="F811" s="38" t="inlineStr">
        <is>
          <t>NFV  :TENDA ATACADO LTDA</t>
        </is>
      </c>
      <c r="G811" s="38" t="inlineStr">
        <is>
          <t>MARIO FRUGIS (01.04.01)</t>
        </is>
      </c>
      <c r="H811" s="38" t="inlineStr">
        <is>
          <t>NFV</t>
        </is>
      </c>
      <c r="I811" s="40" t="n">
        <v>84.45999999999999</v>
      </c>
      <c r="J811" s="40" t="n">
        <v>0</v>
      </c>
      <c r="K811" s="6">
        <f>I811-J811</f>
        <v/>
      </c>
      <c r="L811" s="6">
        <f>IF(H811="DISTRATO",0,I811)</f>
        <v/>
      </c>
    </row>
    <row r="812">
      <c r="A812" s="38" t="inlineStr">
        <is>
          <t>Conta corrente MFRUGIS09.XLS</t>
        </is>
      </c>
      <c r="B812" s="39" t="n">
        <v>39916</v>
      </c>
      <c r="C812" s="4" t="n">
        <v>39904</v>
      </c>
      <c r="D812" s="5">
        <f>YEAR(C812)</f>
        <v/>
      </c>
      <c r="E812" s="5">
        <f>MONTH(C812)</f>
        <v/>
      </c>
      <c r="F812" s="38" t="inlineStr">
        <is>
          <t>NFV  :TENDA ATACADO LTDA</t>
        </is>
      </c>
      <c r="G812" s="38" t="inlineStr">
        <is>
          <t>MARIO FRUGIS (01.04.01)</t>
        </is>
      </c>
      <c r="H812" s="38" t="inlineStr">
        <is>
          <t>NFV</t>
        </is>
      </c>
      <c r="I812" s="40" t="n">
        <v>128.97</v>
      </c>
      <c r="J812" s="40" t="n">
        <v>0</v>
      </c>
      <c r="K812" s="6">
        <f>I812-J812</f>
        <v/>
      </c>
      <c r="L812" s="6">
        <f>IF(H812="DISTRATO",0,I812)</f>
        <v/>
      </c>
    </row>
    <row r="813">
      <c r="A813" s="38" t="inlineStr">
        <is>
          <t>Conta corrente MFRUGIS09.XLS</t>
        </is>
      </c>
      <c r="B813" s="39" t="n">
        <v>39916</v>
      </c>
      <c r="C813" s="4" t="n">
        <v>39904</v>
      </c>
      <c r="D813" s="5">
        <f>YEAR(C813)</f>
        <v/>
      </c>
      <c r="E813" s="5">
        <f>MONTH(C813)</f>
        <v/>
      </c>
      <c r="F813" s="38" t="inlineStr">
        <is>
          <t>NFV  :TENDA ATACADO LTDA</t>
        </is>
      </c>
      <c r="G813" s="38" t="inlineStr">
        <is>
          <t>MARIO FRUGIS (01.04.01)</t>
        </is>
      </c>
      <c r="H813" s="38" t="inlineStr">
        <is>
          <t>NFV</t>
        </is>
      </c>
      <c r="I813" s="40" t="n">
        <v>93.87</v>
      </c>
      <c r="J813" s="40" t="n">
        <v>0</v>
      </c>
      <c r="K813" s="6">
        <f>I813-J813</f>
        <v/>
      </c>
      <c r="L813" s="6">
        <f>IF(H813="DISTRATO",0,I813)</f>
        <v/>
      </c>
    </row>
    <row r="814">
      <c r="A814" s="38" t="inlineStr">
        <is>
          <t>Conta corrente MFRUGIS09.XLS</t>
        </is>
      </c>
      <c r="B814" s="39" t="n">
        <v>39916</v>
      </c>
      <c r="C814" s="4" t="n">
        <v>39904</v>
      </c>
      <c r="D814" s="5">
        <f>YEAR(C814)</f>
        <v/>
      </c>
      <c r="E814" s="5">
        <f>MONTH(C814)</f>
        <v/>
      </c>
      <c r="F814" s="38" t="inlineStr">
        <is>
          <t>NFV  :TENDA ATACADO LTDA</t>
        </is>
      </c>
      <c r="G814" s="38" t="inlineStr">
        <is>
          <t>MARIO FRUGIS (01.04.01)</t>
        </is>
      </c>
      <c r="H814" s="38" t="inlineStr">
        <is>
          <t>NFV</t>
        </is>
      </c>
      <c r="I814" s="40" t="n">
        <v>82.51000000000001</v>
      </c>
      <c r="J814" s="40" t="n">
        <v>0</v>
      </c>
      <c r="K814" s="6">
        <f>I814-J814</f>
        <v/>
      </c>
      <c r="L814" s="6">
        <f>IF(H814="DISTRATO",0,I814)</f>
        <v/>
      </c>
    </row>
    <row r="815">
      <c r="A815" s="38" t="inlineStr">
        <is>
          <t>Conta corrente MFRUGIS09.XLS</t>
        </is>
      </c>
      <c r="B815" s="39" t="n">
        <v>39916</v>
      </c>
      <c r="C815" s="4" t="n">
        <v>39904</v>
      </c>
      <c r="D815" s="5">
        <f>YEAR(C815)</f>
        <v/>
      </c>
      <c r="E815" s="5">
        <f>MONTH(C815)</f>
        <v/>
      </c>
      <c r="F815" s="38" t="inlineStr">
        <is>
          <t>NFV  :TENDA ATACADO LTDA</t>
        </is>
      </c>
      <c r="G815" s="38" t="inlineStr">
        <is>
          <t>MARIO FRUGIS (01.04.01)</t>
        </is>
      </c>
      <c r="H815" s="38" t="inlineStr">
        <is>
          <t>NFV</t>
        </is>
      </c>
      <c r="I815" s="40" t="n">
        <v>157.57</v>
      </c>
      <c r="J815" s="40" t="n">
        <v>0</v>
      </c>
      <c r="K815" s="6">
        <f>I815-J815</f>
        <v/>
      </c>
      <c r="L815" s="6">
        <f>IF(H815="DISTRATO",0,I815)</f>
        <v/>
      </c>
    </row>
    <row r="816">
      <c r="A816" s="38" t="inlineStr">
        <is>
          <t>Conta corrente MFRUGIS09.XLS</t>
        </is>
      </c>
      <c r="B816" s="39" t="n">
        <v>39916</v>
      </c>
      <c r="C816" s="4" t="n">
        <v>39904</v>
      </c>
      <c r="D816" s="5">
        <f>YEAR(C816)</f>
        <v/>
      </c>
      <c r="E816" s="5">
        <f>MONTH(C816)</f>
        <v/>
      </c>
      <c r="F816" s="38" t="inlineStr">
        <is>
          <t>NFV  :TENDA ATACADO LTDA</t>
        </is>
      </c>
      <c r="G816" s="38" t="inlineStr">
        <is>
          <t>MARIO FRUGIS (01.04.01)</t>
        </is>
      </c>
      <c r="H816" s="38" t="inlineStr">
        <is>
          <t>NFV</t>
        </is>
      </c>
      <c r="I816" s="40" t="n">
        <v>84.11</v>
      </c>
      <c r="J816" s="40" t="n">
        <v>0</v>
      </c>
      <c r="K816" s="6">
        <f>I816-J816</f>
        <v/>
      </c>
      <c r="L816" s="6">
        <f>IF(H816="DISTRATO",0,I816)</f>
        <v/>
      </c>
    </row>
    <row r="817">
      <c r="A817" s="38" t="inlineStr">
        <is>
          <t>Conta corrente MFRUGIS09.XLS</t>
        </is>
      </c>
      <c r="B817" s="39" t="n">
        <v>39916</v>
      </c>
      <c r="C817" s="4" t="n">
        <v>39904</v>
      </c>
      <c r="D817" s="5">
        <f>YEAR(C817)</f>
        <v/>
      </c>
      <c r="E817" s="5">
        <f>MONTH(C817)</f>
        <v/>
      </c>
      <c r="F817" s="38" t="inlineStr">
        <is>
          <t>NFV  :TENDA ATACADO LTDA</t>
        </is>
      </c>
      <c r="G817" s="38" t="inlineStr">
        <is>
          <t>MARIO FRUGIS (01.04.01)</t>
        </is>
      </c>
      <c r="H817" s="38" t="inlineStr">
        <is>
          <t>NFV</t>
        </is>
      </c>
      <c r="I817" s="40" t="n">
        <v>100.17</v>
      </c>
      <c r="J817" s="40" t="n">
        <v>0</v>
      </c>
      <c r="K817" s="6">
        <f>I817-J817</f>
        <v/>
      </c>
      <c r="L817" s="6">
        <f>IF(H817="DISTRATO",0,I817)</f>
        <v/>
      </c>
    </row>
    <row r="818">
      <c r="A818" s="38" t="inlineStr">
        <is>
          <t>Conta corrente MFRUGIS09.XLS</t>
        </is>
      </c>
      <c r="B818" s="39" t="n">
        <v>39916</v>
      </c>
      <c r="C818" s="4" t="n">
        <v>39904</v>
      </c>
      <c r="D818" s="5">
        <f>YEAR(C818)</f>
        <v/>
      </c>
      <c r="E818" s="5">
        <f>MONTH(C818)</f>
        <v/>
      </c>
      <c r="F818" s="38" t="inlineStr">
        <is>
          <t>NFV  :TENDA ATACADO LTDA</t>
        </is>
      </c>
      <c r="G818" s="38" t="inlineStr">
        <is>
          <t>MARIO FRUGIS (01.04.01)</t>
        </is>
      </c>
      <c r="H818" s="38" t="inlineStr">
        <is>
          <t>NFV</t>
        </is>
      </c>
      <c r="I818" s="40" t="n">
        <v>151.85</v>
      </c>
      <c r="J818" s="40" t="n">
        <v>0</v>
      </c>
      <c r="K818" s="6">
        <f>I818-J818</f>
        <v/>
      </c>
      <c r="L818" s="6">
        <f>IF(H818="DISTRATO",0,I818)</f>
        <v/>
      </c>
    </row>
    <row r="819">
      <c r="A819" s="38" t="inlineStr">
        <is>
          <t>Conta corrente MFRUGIS09.XLS</t>
        </is>
      </c>
      <c r="B819" s="39" t="n">
        <v>39916</v>
      </c>
      <c r="C819" s="4" t="n">
        <v>39904</v>
      </c>
      <c r="D819" s="5">
        <f>YEAR(C819)</f>
        <v/>
      </c>
      <c r="E819" s="5">
        <f>MONTH(C819)</f>
        <v/>
      </c>
      <c r="F819" s="38" t="inlineStr">
        <is>
          <t>NFV  :TENDA ATACADO LTDA</t>
        </is>
      </c>
      <c r="G819" s="38" t="inlineStr">
        <is>
          <t>MARIO FRUGIS (01.04.01)</t>
        </is>
      </c>
      <c r="H819" s="38" t="inlineStr">
        <is>
          <t>NFV</t>
        </is>
      </c>
      <c r="I819" s="40" t="n">
        <v>30.63</v>
      </c>
      <c r="J819" s="40" t="n">
        <v>0</v>
      </c>
      <c r="K819" s="6">
        <f>I819-J819</f>
        <v/>
      </c>
      <c r="L819" s="6">
        <f>IF(H819="DISTRATO",0,I819)</f>
        <v/>
      </c>
    </row>
    <row r="820">
      <c r="A820" s="38" t="inlineStr">
        <is>
          <t>Conta corrente MFRUGIS09.XLS</t>
        </is>
      </c>
      <c r="B820" s="39" t="n">
        <v>39930</v>
      </c>
      <c r="C820" s="4" t="n">
        <v>39904</v>
      </c>
      <c r="D820" s="5">
        <f>YEAR(C820)</f>
        <v/>
      </c>
      <c r="E820" s="5">
        <f>MONTH(C820)</f>
        <v/>
      </c>
      <c r="F820" s="38" t="inlineStr">
        <is>
          <t>NFV  :TENDA ATACADO LTDA</t>
        </is>
      </c>
      <c r="G820" s="38" t="inlineStr">
        <is>
          <t>MARIO FRUGIS (01.04.01)</t>
        </is>
      </c>
      <c r="H820" s="38" t="inlineStr">
        <is>
          <t>NFV</t>
        </is>
      </c>
      <c r="I820" s="40" t="n">
        <v>59.05</v>
      </c>
      <c r="J820" s="40" t="n">
        <v>0</v>
      </c>
      <c r="K820" s="6">
        <f>I820-J820</f>
        <v/>
      </c>
      <c r="L820" s="6">
        <f>IF(H820="DISTRATO",0,I820)</f>
        <v/>
      </c>
    </row>
    <row r="821">
      <c r="A821" s="38" t="inlineStr">
        <is>
          <t>Conta corrente MFRUGIS09.XLS</t>
        </is>
      </c>
      <c r="B821" s="39" t="n">
        <v>39930</v>
      </c>
      <c r="C821" s="4" t="n">
        <v>39904</v>
      </c>
      <c r="D821" s="5">
        <f>YEAR(C821)</f>
        <v/>
      </c>
      <c r="E821" s="5">
        <f>MONTH(C821)</f>
        <v/>
      </c>
      <c r="F821" s="38" t="inlineStr">
        <is>
          <t>NFV  :TENDA ATACADO LTDA</t>
        </is>
      </c>
      <c r="G821" s="38" t="inlineStr">
        <is>
          <t>MARIO FRUGIS (01.04.01)</t>
        </is>
      </c>
      <c r="H821" s="38" t="inlineStr">
        <is>
          <t>NFV</t>
        </is>
      </c>
      <c r="I821" s="40" t="n">
        <v>172.57</v>
      </c>
      <c r="J821" s="40" t="n">
        <v>0</v>
      </c>
      <c r="K821" s="6">
        <f>I821-J821</f>
        <v/>
      </c>
      <c r="L821" s="6">
        <f>IF(H821="DISTRATO",0,I821)</f>
        <v/>
      </c>
    </row>
    <row r="822">
      <c r="A822" s="38" t="inlineStr">
        <is>
          <t>Conta corrente MFRUGIS09.XLS</t>
        </is>
      </c>
      <c r="B822" s="39" t="n">
        <v>39930</v>
      </c>
      <c r="C822" s="4" t="n">
        <v>39904</v>
      </c>
      <c r="D822" s="5">
        <f>YEAR(C822)</f>
        <v/>
      </c>
      <c r="E822" s="5">
        <f>MONTH(C822)</f>
        <v/>
      </c>
      <c r="F822" s="38" t="inlineStr">
        <is>
          <t>NFV  :TENDA ATACADO LTDA</t>
        </is>
      </c>
      <c r="G822" s="38" t="inlineStr">
        <is>
          <t>MARIO FRUGIS (01.04.01)</t>
        </is>
      </c>
      <c r="H822" s="38" t="inlineStr">
        <is>
          <t>NFV</t>
        </is>
      </c>
      <c r="I822" s="40" t="n">
        <v>39.17</v>
      </c>
      <c r="J822" s="40" t="n">
        <v>0</v>
      </c>
      <c r="K822" s="6">
        <f>I822-J822</f>
        <v/>
      </c>
      <c r="L822" s="6">
        <f>IF(H822="DISTRATO",0,I822)</f>
        <v/>
      </c>
    </row>
    <row r="823">
      <c r="A823" s="38" t="inlineStr">
        <is>
          <t>Conta corrente MFRUGIS09.XLS</t>
        </is>
      </c>
      <c r="B823" s="39" t="n">
        <v>39930</v>
      </c>
      <c r="C823" s="4" t="n">
        <v>39904</v>
      </c>
      <c r="D823" s="5">
        <f>YEAR(C823)</f>
        <v/>
      </c>
      <c r="E823" s="5">
        <f>MONTH(C823)</f>
        <v/>
      </c>
      <c r="F823" s="38" t="inlineStr">
        <is>
          <t>NFV  :TENDA ATACADO LTDA</t>
        </is>
      </c>
      <c r="G823" s="38" t="inlineStr">
        <is>
          <t>MARIO FRUGIS (01.04.01)</t>
        </is>
      </c>
      <c r="H823" s="38" t="inlineStr">
        <is>
          <t>NFV</t>
        </is>
      </c>
      <c r="I823" s="40" t="n">
        <v>63.99</v>
      </c>
      <c r="J823" s="40" t="n">
        <v>0</v>
      </c>
      <c r="K823" s="6">
        <f>I823-J823</f>
        <v/>
      </c>
      <c r="L823" s="6">
        <f>IF(H823="DISTRATO",0,I823)</f>
        <v/>
      </c>
    </row>
    <row r="824">
      <c r="A824" s="38" t="inlineStr">
        <is>
          <t>Conta corrente MFRUGIS09.XLS</t>
        </is>
      </c>
      <c r="B824" s="39" t="n">
        <v>39930</v>
      </c>
      <c r="C824" s="4" t="n">
        <v>39904</v>
      </c>
      <c r="D824" s="5">
        <f>YEAR(C824)</f>
        <v/>
      </c>
      <c r="E824" s="5">
        <f>MONTH(C824)</f>
        <v/>
      </c>
      <c r="F824" s="38" t="inlineStr">
        <is>
          <t>NFV  :TENDA ATACADO LTDA</t>
        </is>
      </c>
      <c r="G824" s="38" t="inlineStr">
        <is>
          <t>MARIO FRUGIS (01.04.01)</t>
        </is>
      </c>
      <c r="H824" s="38" t="inlineStr">
        <is>
          <t>NFV</t>
        </is>
      </c>
      <c r="I824" s="40" t="n">
        <v>134.79</v>
      </c>
      <c r="J824" s="40" t="n">
        <v>0</v>
      </c>
      <c r="K824" s="6">
        <f>I824-J824</f>
        <v/>
      </c>
      <c r="L824" s="6">
        <f>IF(H824="DISTRATO",0,I824)</f>
        <v/>
      </c>
    </row>
    <row r="825">
      <c r="A825" s="38" t="inlineStr">
        <is>
          <t>Conta corrente MFRUGIS09.XLS</t>
        </is>
      </c>
      <c r="B825" s="39" t="n">
        <v>39930</v>
      </c>
      <c r="C825" s="4" t="n">
        <v>39904</v>
      </c>
      <c r="D825" s="5">
        <f>YEAR(C825)</f>
        <v/>
      </c>
      <c r="E825" s="5">
        <f>MONTH(C825)</f>
        <v/>
      </c>
      <c r="F825" s="38" t="inlineStr">
        <is>
          <t>NFV  :TENDA ATACADO LTDA</t>
        </is>
      </c>
      <c r="G825" s="38" t="inlineStr">
        <is>
          <t>MARIO FRUGIS (01.04.01)</t>
        </is>
      </c>
      <c r="H825" s="38" t="inlineStr">
        <is>
          <t>NFV</t>
        </is>
      </c>
      <c r="I825" s="40" t="n">
        <v>31</v>
      </c>
      <c r="J825" s="40" t="n">
        <v>0</v>
      </c>
      <c r="K825" s="6">
        <f>I825-J825</f>
        <v/>
      </c>
      <c r="L825" s="6">
        <f>IF(H825="DISTRATO",0,I825)</f>
        <v/>
      </c>
    </row>
    <row r="826">
      <c r="A826" s="38" t="inlineStr">
        <is>
          <t>Conta corrente MFRUGIS09.XLS</t>
        </is>
      </c>
      <c r="B826" s="39" t="n">
        <v>39930</v>
      </c>
      <c r="C826" s="4" t="n">
        <v>39904</v>
      </c>
      <c r="D826" s="5">
        <f>YEAR(C826)</f>
        <v/>
      </c>
      <c r="E826" s="5">
        <f>MONTH(C826)</f>
        <v/>
      </c>
      <c r="F826" s="38" t="inlineStr">
        <is>
          <t>NFV  :TENDA ATACADO LTDA</t>
        </is>
      </c>
      <c r="G826" s="38" t="inlineStr">
        <is>
          <t>MARIO FRUGIS (01.04.01)</t>
        </is>
      </c>
      <c r="H826" s="38" t="inlineStr">
        <is>
          <t>NFV</t>
        </is>
      </c>
      <c r="I826" s="40" t="n">
        <v>28.05</v>
      </c>
      <c r="J826" s="40" t="n">
        <v>0</v>
      </c>
      <c r="K826" s="6">
        <f>I826-J826</f>
        <v/>
      </c>
      <c r="L826" s="6">
        <f>IF(H826="DISTRATO",0,I826)</f>
        <v/>
      </c>
    </row>
    <row r="827">
      <c r="A827" s="38" t="inlineStr">
        <is>
          <t>Conta corrente MFRUGIS09.XLS</t>
        </is>
      </c>
      <c r="B827" s="39" t="n">
        <v>39930</v>
      </c>
      <c r="C827" s="4" t="n">
        <v>39904</v>
      </c>
      <c r="D827" s="5">
        <f>YEAR(C827)</f>
        <v/>
      </c>
      <c r="E827" s="5">
        <f>MONTH(C827)</f>
        <v/>
      </c>
      <c r="F827" s="38" t="inlineStr">
        <is>
          <t>NFV  :TENDA ATACADO LTDA</t>
        </is>
      </c>
      <c r="G827" s="38" t="inlineStr">
        <is>
          <t>MARIO FRUGIS (01.04.01)</t>
        </is>
      </c>
      <c r="H827" s="38" t="inlineStr">
        <is>
          <t>NFV</t>
        </is>
      </c>
      <c r="I827" s="40" t="n">
        <v>15.5</v>
      </c>
      <c r="J827" s="40" t="n">
        <v>0</v>
      </c>
      <c r="K827" s="6">
        <f>I827-J827</f>
        <v/>
      </c>
      <c r="L827" s="6">
        <f>IF(H827="DISTRATO",0,I827)</f>
        <v/>
      </c>
    </row>
    <row r="828">
      <c r="A828" s="38" t="inlineStr">
        <is>
          <t>Conta corrente MFRUGIS09.XLS</t>
        </is>
      </c>
      <c r="B828" s="39" t="n">
        <v>39930</v>
      </c>
      <c r="C828" s="4" t="n">
        <v>39904</v>
      </c>
      <c r="D828" s="5">
        <f>YEAR(C828)</f>
        <v/>
      </c>
      <c r="E828" s="5">
        <f>MONTH(C828)</f>
        <v/>
      </c>
      <c r="F828" s="38" t="inlineStr">
        <is>
          <t>NFV  :TENDA ATACADO LTDA</t>
        </is>
      </c>
      <c r="G828" s="38" t="inlineStr">
        <is>
          <t>MARIO FRUGIS (01.04.01)</t>
        </is>
      </c>
      <c r="H828" s="38" t="inlineStr">
        <is>
          <t>NFV</t>
        </is>
      </c>
      <c r="I828" s="40" t="n">
        <v>15.56</v>
      </c>
      <c r="J828" s="40" t="n">
        <v>0</v>
      </c>
      <c r="K828" s="6">
        <f>I828-J828</f>
        <v/>
      </c>
      <c r="L828" s="6">
        <f>IF(H828="DISTRATO",0,I828)</f>
        <v/>
      </c>
    </row>
    <row r="829">
      <c r="A829" s="38" t="inlineStr">
        <is>
          <t>Conta corrente MFRUGIS09.XLS</t>
        </is>
      </c>
      <c r="B829" s="39" t="n">
        <v>39930</v>
      </c>
      <c r="C829" s="4" t="n">
        <v>39904</v>
      </c>
      <c r="D829" s="5">
        <f>YEAR(C829)</f>
        <v/>
      </c>
      <c r="E829" s="5">
        <f>MONTH(C829)</f>
        <v/>
      </c>
      <c r="F829" s="38" t="inlineStr">
        <is>
          <t>NFV  :TENDA ATACADO LTDA</t>
        </is>
      </c>
      <c r="G829" s="38" t="inlineStr">
        <is>
          <t>MARIO FRUGIS (01.04.01)</t>
        </is>
      </c>
      <c r="H829" s="38" t="inlineStr">
        <is>
          <t>NFV</t>
        </is>
      </c>
      <c r="I829" s="40" t="n">
        <v>187.27</v>
      </c>
      <c r="J829" s="40" t="n">
        <v>0</v>
      </c>
      <c r="K829" s="6">
        <f>I829-J829</f>
        <v/>
      </c>
      <c r="L829" s="6">
        <f>IF(H829="DISTRATO",0,I829)</f>
        <v/>
      </c>
    </row>
    <row r="830">
      <c r="A830" s="38" t="inlineStr">
        <is>
          <t>Conta corrente MFRUGIS09.XLS</t>
        </is>
      </c>
      <c r="B830" s="39" t="n">
        <v>39930</v>
      </c>
      <c r="C830" s="4" t="n">
        <v>39904</v>
      </c>
      <c r="D830" s="5">
        <f>YEAR(C830)</f>
        <v/>
      </c>
      <c r="E830" s="5">
        <f>MONTH(C830)</f>
        <v/>
      </c>
      <c r="F830" s="38" t="inlineStr">
        <is>
          <t>NFV  :TENDA ATACADO LTDA</t>
        </is>
      </c>
      <c r="G830" s="38" t="inlineStr">
        <is>
          <t>MARIO FRUGIS (01.04.01)</t>
        </is>
      </c>
      <c r="H830" s="38" t="inlineStr">
        <is>
          <t>NFV</t>
        </is>
      </c>
      <c r="I830" s="40" t="n">
        <v>153.4</v>
      </c>
      <c r="J830" s="40" t="n">
        <v>0</v>
      </c>
      <c r="K830" s="6">
        <f>I830-J830</f>
        <v/>
      </c>
      <c r="L830" s="6">
        <f>IF(H830="DISTRATO",0,I830)</f>
        <v/>
      </c>
    </row>
    <row r="831">
      <c r="A831" s="38" t="inlineStr">
        <is>
          <t>Conta corrente MFRUGIS09.XLS</t>
        </is>
      </c>
      <c r="B831" s="39" t="n">
        <v>39930</v>
      </c>
      <c r="C831" s="4" t="n">
        <v>39904</v>
      </c>
      <c r="D831" s="5">
        <f>YEAR(C831)</f>
        <v/>
      </c>
      <c r="E831" s="5">
        <f>MONTH(C831)</f>
        <v/>
      </c>
      <c r="F831" s="38" t="inlineStr">
        <is>
          <t>NFV  :TENDA ATACADO LTDA</t>
        </is>
      </c>
      <c r="G831" s="38" t="inlineStr">
        <is>
          <t>MARIO FRUGIS (01.04.01)</t>
        </is>
      </c>
      <c r="H831" s="38" t="inlineStr">
        <is>
          <t>NFV</t>
        </is>
      </c>
      <c r="I831" s="40" t="n">
        <v>253.44</v>
      </c>
      <c r="J831" s="40" t="n">
        <v>0</v>
      </c>
      <c r="K831" s="6">
        <f>I831-J831</f>
        <v/>
      </c>
      <c r="L831" s="6">
        <f>IF(H831="DISTRATO",0,I831)</f>
        <v/>
      </c>
    </row>
    <row r="832">
      <c r="A832" s="38" t="inlineStr">
        <is>
          <t>Conta corrente MFRUGIS09.XLS</t>
        </is>
      </c>
      <c r="B832" s="39" t="n">
        <v>39930</v>
      </c>
      <c r="C832" s="4" t="n">
        <v>39904</v>
      </c>
      <c r="D832" s="5">
        <f>YEAR(C832)</f>
        <v/>
      </c>
      <c r="E832" s="5">
        <f>MONTH(C832)</f>
        <v/>
      </c>
      <c r="F832" s="38" t="inlineStr">
        <is>
          <t>NFV  :TENDA ATACADO LTDA</t>
        </is>
      </c>
      <c r="G832" s="38" t="inlineStr">
        <is>
          <t>MARIO FRUGIS (01.04.01)</t>
        </is>
      </c>
      <c r="H832" s="38" t="inlineStr">
        <is>
          <t>NFV</t>
        </is>
      </c>
      <c r="I832" s="40" t="n">
        <v>15.5</v>
      </c>
      <c r="J832" s="40" t="n">
        <v>0</v>
      </c>
      <c r="K832" s="6">
        <f>I832-J832</f>
        <v/>
      </c>
      <c r="L832" s="6">
        <f>IF(H832="DISTRATO",0,I832)</f>
        <v/>
      </c>
    </row>
    <row r="833">
      <c r="A833" s="38" t="inlineStr">
        <is>
          <t>Conta corrente MFRUGIS09.XLS</t>
        </is>
      </c>
      <c r="B833" s="39" t="n">
        <v>39930</v>
      </c>
      <c r="C833" s="4" t="n">
        <v>39904</v>
      </c>
      <c r="D833" s="5">
        <f>YEAR(C833)</f>
        <v/>
      </c>
      <c r="E833" s="5">
        <f>MONTH(C833)</f>
        <v/>
      </c>
      <c r="F833" s="38" t="inlineStr">
        <is>
          <t>NFV  :TENDA ATACADO LTDA</t>
        </is>
      </c>
      <c r="G833" s="38" t="inlineStr">
        <is>
          <t>MARIO FRUGIS (01.04.01)</t>
        </is>
      </c>
      <c r="H833" s="38" t="inlineStr">
        <is>
          <t>NFV</t>
        </is>
      </c>
      <c r="I833" s="40" t="n">
        <v>39.17</v>
      </c>
      <c r="J833" s="40" t="n">
        <v>0</v>
      </c>
      <c r="K833" s="6">
        <f>I833-J833</f>
        <v/>
      </c>
      <c r="L833" s="6">
        <f>IF(H833="DISTRATO",0,I833)</f>
        <v/>
      </c>
    </row>
    <row r="834">
      <c r="A834" s="38" t="inlineStr">
        <is>
          <t>Conta corrente MFRUGIS09.XLS</t>
        </is>
      </c>
      <c r="B834" s="39" t="n">
        <v>39930</v>
      </c>
      <c r="C834" s="4" t="n">
        <v>39904</v>
      </c>
      <c r="D834" s="5">
        <f>YEAR(C834)</f>
        <v/>
      </c>
      <c r="E834" s="5">
        <f>MONTH(C834)</f>
        <v/>
      </c>
      <c r="F834" s="38" t="inlineStr">
        <is>
          <t>NFV  :TENDA ATACADO LTDA</t>
        </is>
      </c>
      <c r="G834" s="38" t="inlineStr">
        <is>
          <t>MARIO FRUGIS (01.04.01)</t>
        </is>
      </c>
      <c r="H834" s="38" t="inlineStr">
        <is>
          <t>NFV</t>
        </is>
      </c>
      <c r="I834" s="40" t="n">
        <v>127.2</v>
      </c>
      <c r="J834" s="40" t="n">
        <v>0</v>
      </c>
      <c r="K834" s="6">
        <f>I834-J834</f>
        <v/>
      </c>
      <c r="L834" s="6">
        <f>IF(H834="DISTRATO",0,I834)</f>
        <v/>
      </c>
    </row>
    <row r="835">
      <c r="A835" s="38" t="inlineStr">
        <is>
          <t>Conta corrente MFRUGIS09.XLS</t>
        </is>
      </c>
      <c r="B835" s="39" t="n">
        <v>39930</v>
      </c>
      <c r="C835" s="4" t="n">
        <v>39904</v>
      </c>
      <c r="D835" s="5">
        <f>YEAR(C835)</f>
        <v/>
      </c>
      <c r="E835" s="5">
        <f>MONTH(C835)</f>
        <v/>
      </c>
      <c r="F835" s="38" t="inlineStr">
        <is>
          <t>NFV  :TENDA ATACADO LTDA</t>
        </is>
      </c>
      <c r="G835" s="38" t="inlineStr">
        <is>
          <t>MARIO FRUGIS (01.04.01)</t>
        </is>
      </c>
      <c r="H835" s="38" t="inlineStr">
        <is>
          <t>NFV</t>
        </is>
      </c>
      <c r="I835" s="40" t="n">
        <v>190.04</v>
      </c>
      <c r="J835" s="40" t="n">
        <v>0</v>
      </c>
      <c r="K835" s="6">
        <f>I835-J835</f>
        <v/>
      </c>
      <c r="L835" s="6">
        <f>IF(H835="DISTRATO",0,I835)</f>
        <v/>
      </c>
    </row>
    <row r="836">
      <c r="A836" s="38" t="inlineStr">
        <is>
          <t>Conta corrente MFRUGIS09.XLS</t>
        </is>
      </c>
      <c r="B836" s="39" t="n">
        <v>39930</v>
      </c>
      <c r="C836" s="4" t="n">
        <v>39904</v>
      </c>
      <c r="D836" s="5">
        <f>YEAR(C836)</f>
        <v/>
      </c>
      <c r="E836" s="5">
        <f>MONTH(C836)</f>
        <v/>
      </c>
      <c r="F836" s="38" t="inlineStr">
        <is>
          <t>NFV  :TENDA ATACADO LTDA</t>
        </is>
      </c>
      <c r="G836" s="38" t="inlineStr">
        <is>
          <t>MARIO FRUGIS (01.04.01)</t>
        </is>
      </c>
      <c r="H836" s="38" t="inlineStr">
        <is>
          <t>NFV</t>
        </is>
      </c>
      <c r="I836" s="40" t="n">
        <v>88.08</v>
      </c>
      <c r="J836" s="40" t="n">
        <v>0</v>
      </c>
      <c r="K836" s="6">
        <f>I836-J836</f>
        <v/>
      </c>
      <c r="L836" s="6">
        <f>IF(H836="DISTRATO",0,I836)</f>
        <v/>
      </c>
    </row>
    <row r="837">
      <c r="A837" s="38" t="inlineStr">
        <is>
          <t>Conta corrente MFRUGIS09.XLS</t>
        </is>
      </c>
      <c r="B837" s="39" t="n">
        <v>39930</v>
      </c>
      <c r="C837" s="4" t="n">
        <v>39904</v>
      </c>
      <c r="D837" s="5">
        <f>YEAR(C837)</f>
        <v/>
      </c>
      <c r="E837" s="5">
        <f>MONTH(C837)</f>
        <v/>
      </c>
      <c r="F837" s="38" t="inlineStr">
        <is>
          <t>NFV  :TENDA ATACADO LTDA</t>
        </is>
      </c>
      <c r="G837" s="38" t="inlineStr">
        <is>
          <t>MARIO FRUGIS (01.04.01)</t>
        </is>
      </c>
      <c r="H837" s="38" t="inlineStr">
        <is>
          <t>NFV</t>
        </is>
      </c>
      <c r="I837" s="40" t="n">
        <v>15.5</v>
      </c>
      <c r="J837" s="40" t="n">
        <v>0</v>
      </c>
      <c r="K837" s="6">
        <f>I837-J837</f>
        <v/>
      </c>
      <c r="L837" s="6">
        <f>IF(H837="DISTRATO",0,I837)</f>
        <v/>
      </c>
    </row>
    <row r="838">
      <c r="A838" s="38" t="inlineStr">
        <is>
          <t>Conta corrente MFRUGIS09.XLS</t>
        </is>
      </c>
      <c r="B838" s="39" t="n">
        <v>39930</v>
      </c>
      <c r="C838" s="4" t="n">
        <v>39904</v>
      </c>
      <c r="D838" s="5">
        <f>YEAR(C838)</f>
        <v/>
      </c>
      <c r="E838" s="5">
        <f>MONTH(C838)</f>
        <v/>
      </c>
      <c r="F838" s="38" t="inlineStr">
        <is>
          <t>NFV  :TENDA ATACADO LTDA</t>
        </is>
      </c>
      <c r="G838" s="38" t="inlineStr">
        <is>
          <t>MARIO FRUGIS (01.04.01)</t>
        </is>
      </c>
      <c r="H838" s="38" t="inlineStr">
        <is>
          <t>NFV</t>
        </is>
      </c>
      <c r="I838" s="40" t="n">
        <v>104.02</v>
      </c>
      <c r="J838" s="40" t="n">
        <v>0</v>
      </c>
      <c r="K838" s="6">
        <f>I838-J838</f>
        <v/>
      </c>
      <c r="L838" s="6">
        <f>IF(H838="DISTRATO",0,I838)</f>
        <v/>
      </c>
    </row>
    <row r="839">
      <c r="A839" s="38" t="inlineStr">
        <is>
          <t>Conta corrente MFRUGIS09.XLS</t>
        </is>
      </c>
      <c r="B839" s="39" t="n">
        <v>39931</v>
      </c>
      <c r="C839" s="4" t="n">
        <v>39904</v>
      </c>
      <c r="D839" s="5">
        <f>YEAR(C839)</f>
        <v/>
      </c>
      <c r="E839" s="5">
        <f>MONTH(C839)</f>
        <v/>
      </c>
      <c r="F839" s="38" t="inlineStr">
        <is>
          <t>BONIF:TENDA ATACADO LTDA</t>
        </is>
      </c>
      <c r="G839" s="38" t="inlineStr">
        <is>
          <t>MARIO FRUGIS (01.04.01)</t>
        </is>
      </c>
      <c r="H839" s="38" t="inlineStr">
        <is>
          <t>BONIFICACAO</t>
        </is>
      </c>
      <c r="I839" s="40" t="n">
        <v>-23.84</v>
      </c>
      <c r="J839" s="40" t="n">
        <v>0</v>
      </c>
      <c r="K839" s="6">
        <f>I839-J839</f>
        <v/>
      </c>
      <c r="L839" s="6">
        <f>IF(H839="DISTRATO",0,I839)</f>
        <v/>
      </c>
    </row>
    <row r="840">
      <c r="A840" s="38" t="inlineStr">
        <is>
          <t>Conta corrente MFRUGIS09.XLS</t>
        </is>
      </c>
      <c r="B840" s="39" t="n">
        <v>39931</v>
      </c>
      <c r="C840" s="4" t="n">
        <v>39904</v>
      </c>
      <c r="D840" s="5">
        <f>YEAR(C840)</f>
        <v/>
      </c>
      <c r="E840" s="5">
        <f>MONTH(C840)</f>
        <v/>
      </c>
      <c r="F840" s="38" t="inlineStr">
        <is>
          <t>BONIF:TENDA ATACADO LTDA</t>
        </is>
      </c>
      <c r="G840" s="38" t="inlineStr">
        <is>
          <t>MARIO FRUGIS (01.04.01)</t>
        </is>
      </c>
      <c r="H840" s="38" t="inlineStr">
        <is>
          <t>BONIFICACAO</t>
        </is>
      </c>
      <c r="I840" s="40" t="n">
        <v>-20.52</v>
      </c>
      <c r="J840" s="40" t="n">
        <v>0</v>
      </c>
      <c r="K840" s="6">
        <f>I840-J840</f>
        <v/>
      </c>
      <c r="L840" s="6">
        <f>IF(H840="DISTRATO",0,I840)</f>
        <v/>
      </c>
    </row>
    <row r="841">
      <c r="A841" s="38" t="inlineStr">
        <is>
          <t>Conta corrente MFRUGIS09.XLS</t>
        </is>
      </c>
      <c r="B841" s="39" t="n">
        <v>39931</v>
      </c>
      <c r="C841" s="4" t="n">
        <v>39904</v>
      </c>
      <c r="D841" s="5">
        <f>YEAR(C841)</f>
        <v/>
      </c>
      <c r="E841" s="5">
        <f>MONTH(C841)</f>
        <v/>
      </c>
      <c r="F841" s="38" t="inlineStr">
        <is>
          <t>NFV  :TENDA ATACADO LTDA</t>
        </is>
      </c>
      <c r="G841" s="38" t="inlineStr">
        <is>
          <t>MARIO FRUGIS (01.04.01)</t>
        </is>
      </c>
      <c r="H841" s="38" t="inlineStr">
        <is>
          <t>NFV</t>
        </is>
      </c>
      <c r="I841" s="40" t="n">
        <v>31</v>
      </c>
      <c r="J841" s="40" t="n">
        <v>0</v>
      </c>
      <c r="K841" s="6">
        <f>I841-J841</f>
        <v/>
      </c>
      <c r="L841" s="6">
        <f>IF(H841="DISTRATO",0,I841)</f>
        <v/>
      </c>
    </row>
    <row r="842">
      <c r="A842" s="38" t="inlineStr">
        <is>
          <t>Conta corrente MFRUGIS09.XLS</t>
        </is>
      </c>
      <c r="B842" s="39" t="n">
        <v>39931</v>
      </c>
      <c r="C842" s="4" t="n">
        <v>39904</v>
      </c>
      <c r="D842" s="5">
        <f>YEAR(C842)</f>
        <v/>
      </c>
      <c r="E842" s="5">
        <f>MONTH(C842)</f>
        <v/>
      </c>
      <c r="F842" s="38" t="inlineStr">
        <is>
          <t>NFV  :TENDA ATACADO LTDA</t>
        </is>
      </c>
      <c r="G842" s="38" t="inlineStr">
        <is>
          <t>MARIO FRUGIS (01.04.01)</t>
        </is>
      </c>
      <c r="H842" s="38" t="inlineStr">
        <is>
          <t>NFV</t>
        </is>
      </c>
      <c r="I842" s="40" t="n">
        <v>121.87</v>
      </c>
      <c r="J842" s="40" t="n">
        <v>0</v>
      </c>
      <c r="K842" s="6">
        <f>I842-J842</f>
        <v/>
      </c>
      <c r="L842" s="6">
        <f>IF(H842="DISTRATO",0,I842)</f>
        <v/>
      </c>
    </row>
    <row r="843">
      <c r="A843" s="38" t="inlineStr">
        <is>
          <t>Conta corrente MFRUGIS09.XLS</t>
        </is>
      </c>
      <c r="B843" s="39" t="n">
        <v>39931</v>
      </c>
      <c r="C843" s="4" t="n">
        <v>39904</v>
      </c>
      <c r="D843" s="5">
        <f>YEAR(C843)</f>
        <v/>
      </c>
      <c r="E843" s="5">
        <f>MONTH(C843)</f>
        <v/>
      </c>
      <c r="F843" s="38" t="inlineStr">
        <is>
          <t>NFV  :TENDA ATACADO LTDA</t>
        </is>
      </c>
      <c r="G843" s="38" t="inlineStr">
        <is>
          <t>MARIO FRUGIS (01.04.01)</t>
        </is>
      </c>
      <c r="H843" s="38" t="inlineStr">
        <is>
          <t>NFV</t>
        </is>
      </c>
      <c r="I843" s="40" t="n">
        <v>94.33</v>
      </c>
      <c r="J843" s="40" t="n">
        <v>0</v>
      </c>
      <c r="K843" s="6">
        <f>I843-J843</f>
        <v/>
      </c>
      <c r="L843" s="6">
        <f>IF(H843="DISTRATO",0,I843)</f>
        <v/>
      </c>
    </row>
    <row r="844">
      <c r="A844" s="38" t="inlineStr">
        <is>
          <t>Conta corrente MFRUGIS09.XLS</t>
        </is>
      </c>
      <c r="B844" s="39" t="n">
        <v>39933</v>
      </c>
      <c r="C844" s="4" t="n">
        <v>39904</v>
      </c>
      <c r="D844" s="5">
        <f>YEAR(C844)</f>
        <v/>
      </c>
      <c r="E844" s="5">
        <f>MONTH(C844)</f>
        <v/>
      </c>
      <c r="F844" s="38" t="inlineStr">
        <is>
          <t>DIFERENCA x 41.0% (rateio: part. Tenda no mês)</t>
        </is>
      </c>
      <c r="G844" s="38" t="inlineStr">
        <is>
          <t>MARIO FRUGIS (01.04.01)</t>
        </is>
      </c>
      <c r="H844" s="38" t="inlineStr">
        <is>
          <t>AJUSTE % RATEIO</t>
        </is>
      </c>
      <c r="I844" s="40" t="n">
        <v>36.47</v>
      </c>
      <c r="J844" s="40" t="n">
        <v>0</v>
      </c>
      <c r="K844" s="6">
        <f>I844-J844</f>
        <v/>
      </c>
      <c r="L844" s="6">
        <f>IF(H844="DISTRATO",0,I844)</f>
        <v/>
      </c>
    </row>
    <row r="845">
      <c r="A845" s="38" t="inlineStr">
        <is>
          <t>Conta corrente MFRUGIS09.XLS</t>
        </is>
      </c>
      <c r="B845" s="39" t="n">
        <v>39944</v>
      </c>
      <c r="C845" s="4" t="n">
        <v>39934</v>
      </c>
      <c r="D845" s="5">
        <f>YEAR(C845)</f>
        <v/>
      </c>
      <c r="E845" s="5">
        <f>MONTH(C845)</f>
        <v/>
      </c>
      <c r="F845" s="38" t="inlineStr">
        <is>
          <t>NFV  :TENDA ATACADO LTDA</t>
        </is>
      </c>
      <c r="G845" s="38" t="inlineStr">
        <is>
          <t>MARIO FRUGIS (01.04.01)</t>
        </is>
      </c>
      <c r="H845" s="38" t="inlineStr">
        <is>
          <t>NFV</t>
        </is>
      </c>
      <c r="I845" s="40" t="n">
        <v>57.74</v>
      </c>
      <c r="J845" s="40" t="n">
        <v>0</v>
      </c>
      <c r="K845" s="6">
        <f>I845-J845</f>
        <v/>
      </c>
      <c r="L845" s="6">
        <f>IF(H845="DISTRATO",0,I845)</f>
        <v/>
      </c>
    </row>
    <row r="846">
      <c r="A846" s="38" t="inlineStr">
        <is>
          <t>Conta corrente MFRUGIS09.XLS</t>
        </is>
      </c>
      <c r="B846" s="39" t="n">
        <v>39944</v>
      </c>
      <c r="C846" s="4" t="n">
        <v>39934</v>
      </c>
      <c r="D846" s="5">
        <f>YEAR(C846)</f>
        <v/>
      </c>
      <c r="E846" s="5">
        <f>MONTH(C846)</f>
        <v/>
      </c>
      <c r="F846" s="38" t="inlineStr">
        <is>
          <t>NFV  :TENDA ATACADO LTDA</t>
        </is>
      </c>
      <c r="G846" s="38" t="inlineStr">
        <is>
          <t>MARIO FRUGIS (01.04.01)</t>
        </is>
      </c>
      <c r="H846" s="38" t="inlineStr">
        <is>
          <t>NFV</t>
        </is>
      </c>
      <c r="I846" s="40" t="n">
        <v>115.39</v>
      </c>
      <c r="J846" s="40" t="n">
        <v>0</v>
      </c>
      <c r="K846" s="6">
        <f>I846-J846</f>
        <v/>
      </c>
      <c r="L846" s="6">
        <f>IF(H846="DISTRATO",0,I846)</f>
        <v/>
      </c>
    </row>
    <row r="847">
      <c r="A847" s="38" t="inlineStr">
        <is>
          <t>Conta corrente MFRUGIS09.XLS</t>
        </is>
      </c>
      <c r="B847" s="39" t="n">
        <v>39944</v>
      </c>
      <c r="C847" s="4" t="n">
        <v>39934</v>
      </c>
      <c r="D847" s="5">
        <f>YEAR(C847)</f>
        <v/>
      </c>
      <c r="E847" s="5">
        <f>MONTH(C847)</f>
        <v/>
      </c>
      <c r="F847" s="38" t="inlineStr">
        <is>
          <t>NFV  :TENDA ATACADO LTDA</t>
        </is>
      </c>
      <c r="G847" s="38" t="inlineStr">
        <is>
          <t>MARIO FRUGIS (01.04.01)</t>
        </is>
      </c>
      <c r="H847" s="38" t="inlineStr">
        <is>
          <t>NFV</t>
        </is>
      </c>
      <c r="I847" s="40" t="n">
        <v>44.32</v>
      </c>
      <c r="J847" s="40" t="n">
        <v>0</v>
      </c>
      <c r="K847" s="6">
        <f>I847-J847</f>
        <v/>
      </c>
      <c r="L847" s="6">
        <f>IF(H847="DISTRATO",0,I847)</f>
        <v/>
      </c>
    </row>
    <row r="848">
      <c r="A848" s="38" t="inlineStr">
        <is>
          <t>Conta corrente MFRUGIS09.XLS</t>
        </is>
      </c>
      <c r="B848" s="39" t="n">
        <v>39944</v>
      </c>
      <c r="C848" s="4" t="n">
        <v>39934</v>
      </c>
      <c r="D848" s="5">
        <f>YEAR(C848)</f>
        <v/>
      </c>
      <c r="E848" s="5">
        <f>MONTH(C848)</f>
        <v/>
      </c>
      <c r="F848" s="38" t="inlineStr">
        <is>
          <t>NFV  :TENDA ATACADO LTDA</t>
        </is>
      </c>
      <c r="G848" s="38" t="inlineStr">
        <is>
          <t>MARIO FRUGIS (01.04.01)</t>
        </is>
      </c>
      <c r="H848" s="38" t="inlineStr">
        <is>
          <t>NFV</t>
        </is>
      </c>
      <c r="I848" s="40" t="n">
        <v>69.2</v>
      </c>
      <c r="J848" s="40" t="n">
        <v>0</v>
      </c>
      <c r="K848" s="6">
        <f>I848-J848</f>
        <v/>
      </c>
      <c r="L848" s="6">
        <f>IF(H848="DISTRATO",0,I848)</f>
        <v/>
      </c>
    </row>
    <row r="849">
      <c r="A849" s="38" t="inlineStr">
        <is>
          <t>Conta corrente MFRUGIS09.XLS</t>
        </is>
      </c>
      <c r="B849" s="39" t="n">
        <v>39944</v>
      </c>
      <c r="C849" s="4" t="n">
        <v>39934</v>
      </c>
      <c r="D849" s="5">
        <f>YEAR(C849)</f>
        <v/>
      </c>
      <c r="E849" s="5">
        <f>MONTH(C849)</f>
        <v/>
      </c>
      <c r="F849" s="38" t="inlineStr">
        <is>
          <t>NFV  :TENDA ATACADO LTDA</t>
        </is>
      </c>
      <c r="G849" s="38" t="inlineStr">
        <is>
          <t>MARIO FRUGIS (01.04.01)</t>
        </is>
      </c>
      <c r="H849" s="38" t="inlineStr">
        <is>
          <t>NFV</t>
        </is>
      </c>
      <c r="I849" s="40" t="n">
        <v>188.67</v>
      </c>
      <c r="J849" s="40" t="n">
        <v>0</v>
      </c>
      <c r="K849" s="6">
        <f>I849-J849</f>
        <v/>
      </c>
      <c r="L849" s="6">
        <f>IF(H849="DISTRATO",0,I849)</f>
        <v/>
      </c>
    </row>
    <row r="850">
      <c r="A850" s="38" t="inlineStr">
        <is>
          <t>Conta corrente MFRUGIS09.XLS</t>
        </is>
      </c>
      <c r="B850" s="39" t="n">
        <v>39944</v>
      </c>
      <c r="C850" s="4" t="n">
        <v>39934</v>
      </c>
      <c r="D850" s="5">
        <f>YEAR(C850)</f>
        <v/>
      </c>
      <c r="E850" s="5">
        <f>MONTH(C850)</f>
        <v/>
      </c>
      <c r="F850" s="38" t="inlineStr">
        <is>
          <t>NFV  :TENDA ATACADO LTDA</t>
        </is>
      </c>
      <c r="G850" s="38" t="inlineStr">
        <is>
          <t>MARIO FRUGIS (01.04.01)</t>
        </is>
      </c>
      <c r="H850" s="38" t="inlineStr">
        <is>
          <t>NFV</t>
        </is>
      </c>
      <c r="I850" s="40" t="n">
        <v>26.82</v>
      </c>
      <c r="J850" s="40" t="n">
        <v>0</v>
      </c>
      <c r="K850" s="6">
        <f>I850-J850</f>
        <v/>
      </c>
      <c r="L850" s="6">
        <f>IF(H850="DISTRATO",0,I850)</f>
        <v/>
      </c>
    </row>
    <row r="851">
      <c r="A851" s="38" t="inlineStr">
        <is>
          <t>Conta corrente MFRUGIS09.XLS</t>
        </is>
      </c>
      <c r="B851" s="39" t="n">
        <v>39944</v>
      </c>
      <c r="C851" s="4" t="n">
        <v>39934</v>
      </c>
      <c r="D851" s="5">
        <f>YEAR(C851)</f>
        <v/>
      </c>
      <c r="E851" s="5">
        <f>MONTH(C851)</f>
        <v/>
      </c>
      <c r="F851" s="38" t="inlineStr">
        <is>
          <t>NFV  :TENDA ATACADO LTDA</t>
        </is>
      </c>
      <c r="G851" s="38" t="inlineStr">
        <is>
          <t>MARIO FRUGIS (01.04.01)</t>
        </is>
      </c>
      <c r="H851" s="38" t="inlineStr">
        <is>
          <t>NFV</t>
        </is>
      </c>
      <c r="I851" s="40" t="n">
        <v>23.57</v>
      </c>
      <c r="J851" s="40" t="n">
        <v>0</v>
      </c>
      <c r="K851" s="6">
        <f>I851-J851</f>
        <v/>
      </c>
      <c r="L851" s="6">
        <f>IF(H851="DISTRATO",0,I851)</f>
        <v/>
      </c>
    </row>
    <row r="852">
      <c r="A852" s="38" t="inlineStr">
        <is>
          <t>Conta corrente MFRUGIS09.XLS</t>
        </is>
      </c>
      <c r="B852" s="39" t="n">
        <v>39944</v>
      </c>
      <c r="C852" s="4" t="n">
        <v>39934</v>
      </c>
      <c r="D852" s="5">
        <f>YEAR(C852)</f>
        <v/>
      </c>
      <c r="E852" s="5">
        <f>MONTH(C852)</f>
        <v/>
      </c>
      <c r="F852" s="38" t="inlineStr">
        <is>
          <t>NFV  :TENDA ATACADO LTDA</t>
        </is>
      </c>
      <c r="G852" s="38" t="inlineStr">
        <is>
          <t>MARIO FRUGIS (01.04.01)</t>
        </is>
      </c>
      <c r="H852" s="38" t="inlineStr">
        <is>
          <t>NFV</t>
        </is>
      </c>
      <c r="I852" s="40" t="n">
        <v>111.1</v>
      </c>
      <c r="J852" s="40" t="n">
        <v>0</v>
      </c>
      <c r="K852" s="6">
        <f>I852-J852</f>
        <v/>
      </c>
      <c r="L852" s="6">
        <f>IF(H852="DISTRATO",0,I852)</f>
        <v/>
      </c>
    </row>
    <row r="853">
      <c r="A853" s="38" t="inlineStr">
        <is>
          <t>Conta corrente MFRUGIS09.XLS</t>
        </is>
      </c>
      <c r="B853" s="39" t="n">
        <v>39944</v>
      </c>
      <c r="C853" s="4" t="n">
        <v>39934</v>
      </c>
      <c r="D853" s="5">
        <f>YEAR(C853)</f>
        <v/>
      </c>
      <c r="E853" s="5">
        <f>MONTH(C853)</f>
        <v/>
      </c>
      <c r="F853" s="38" t="inlineStr">
        <is>
          <t>NFV  :TENDA ATACADO LTDA</t>
        </is>
      </c>
      <c r="G853" s="38" t="inlineStr">
        <is>
          <t>MARIO FRUGIS (01.04.01)</t>
        </is>
      </c>
      <c r="H853" s="38" t="inlineStr">
        <is>
          <t>NFV</t>
        </is>
      </c>
      <c r="I853" s="40" t="n">
        <v>90.20999999999999</v>
      </c>
      <c r="J853" s="40" t="n">
        <v>0</v>
      </c>
      <c r="K853" s="6">
        <f>I853-J853</f>
        <v/>
      </c>
      <c r="L853" s="6">
        <f>IF(H853="DISTRATO",0,I853)</f>
        <v/>
      </c>
    </row>
    <row r="854">
      <c r="A854" s="38" t="inlineStr">
        <is>
          <t>Conta corrente MFRUGIS09.XLS</t>
        </is>
      </c>
      <c r="B854" s="39" t="n">
        <v>39944</v>
      </c>
      <c r="C854" s="4" t="n">
        <v>39934</v>
      </c>
      <c r="D854" s="5">
        <f>YEAR(C854)</f>
        <v/>
      </c>
      <c r="E854" s="5">
        <f>MONTH(C854)</f>
        <v/>
      </c>
      <c r="F854" s="38" t="inlineStr">
        <is>
          <t>NFV  :TENDA ATACADO LTDA</t>
        </is>
      </c>
      <c r="G854" s="38" t="inlineStr">
        <is>
          <t>MARIO FRUGIS (01.04.01)</t>
        </is>
      </c>
      <c r="H854" s="38" t="inlineStr">
        <is>
          <t>NFV</t>
        </is>
      </c>
      <c r="I854" s="40" t="n">
        <v>21.35</v>
      </c>
      <c r="J854" s="40" t="n">
        <v>0</v>
      </c>
      <c r="K854" s="6">
        <f>I854-J854</f>
        <v/>
      </c>
      <c r="L854" s="6">
        <f>IF(H854="DISTRATO",0,I854)</f>
        <v/>
      </c>
    </row>
    <row r="855">
      <c r="A855" s="38" t="inlineStr">
        <is>
          <t>Conta corrente MFRUGIS09.XLS</t>
        </is>
      </c>
      <c r="B855" s="39" t="n">
        <v>39944</v>
      </c>
      <c r="C855" s="4" t="n">
        <v>39934</v>
      </c>
      <c r="D855" s="5">
        <f>YEAR(C855)</f>
        <v/>
      </c>
      <c r="E855" s="5">
        <f>MONTH(C855)</f>
        <v/>
      </c>
      <c r="F855" s="38" t="inlineStr">
        <is>
          <t>NFV  :TENDA ATACADO LTDA</t>
        </is>
      </c>
      <c r="G855" s="38" t="inlineStr">
        <is>
          <t>MARIO FRUGIS (01.04.01)</t>
        </is>
      </c>
      <c r="H855" s="38" t="inlineStr">
        <is>
          <t>NFV</t>
        </is>
      </c>
      <c r="I855" s="40" t="n">
        <v>85.93000000000001</v>
      </c>
      <c r="J855" s="40" t="n">
        <v>0</v>
      </c>
      <c r="K855" s="6">
        <f>I855-J855</f>
        <v/>
      </c>
      <c r="L855" s="6">
        <f>IF(H855="DISTRATO",0,I855)</f>
        <v/>
      </c>
    </row>
    <row r="856">
      <c r="A856" s="38" t="inlineStr">
        <is>
          <t>Conta corrente MFRUGIS09.XLS</t>
        </is>
      </c>
      <c r="B856" s="39" t="n">
        <v>39944</v>
      </c>
      <c r="C856" s="4" t="n">
        <v>39934</v>
      </c>
      <c r="D856" s="5">
        <f>YEAR(C856)</f>
        <v/>
      </c>
      <c r="E856" s="5">
        <f>MONTH(C856)</f>
        <v/>
      </c>
      <c r="F856" s="38" t="inlineStr">
        <is>
          <t>NFV  :TENDA ATACADO LTDA</t>
        </is>
      </c>
      <c r="G856" s="38" t="inlineStr">
        <is>
          <t>MARIO FRUGIS (01.04.01)</t>
        </is>
      </c>
      <c r="H856" s="38" t="inlineStr">
        <is>
          <t>NFV</t>
        </is>
      </c>
      <c r="I856" s="40" t="n">
        <v>58.96</v>
      </c>
      <c r="J856" s="40" t="n">
        <v>0</v>
      </c>
      <c r="K856" s="6">
        <f>I856-J856</f>
        <v/>
      </c>
      <c r="L856" s="6">
        <f>IF(H856="DISTRATO",0,I856)</f>
        <v/>
      </c>
    </row>
    <row r="857">
      <c r="A857" s="38" t="inlineStr">
        <is>
          <t>Conta corrente MFRUGIS09.XLS</t>
        </is>
      </c>
      <c r="B857" s="39" t="n">
        <v>39948</v>
      </c>
      <c r="C857" s="4" t="n">
        <v>39934</v>
      </c>
      <c r="D857" s="5">
        <f>YEAR(C857)</f>
        <v/>
      </c>
      <c r="E857" s="5">
        <f>MONTH(C857)</f>
        <v/>
      </c>
      <c r="F857" s="38" t="inlineStr">
        <is>
          <t>NFV  :TENDA ATACADO LTDA</t>
        </is>
      </c>
      <c r="G857" s="38" t="inlineStr">
        <is>
          <t>MARIO FRUGIS (01.04.01)</t>
        </is>
      </c>
      <c r="H857" s="38" t="inlineStr">
        <is>
          <t>NFV</t>
        </is>
      </c>
      <c r="I857" s="40" t="n">
        <v>44.32</v>
      </c>
      <c r="J857" s="40" t="n">
        <v>0</v>
      </c>
      <c r="K857" s="6">
        <f>I857-J857</f>
        <v/>
      </c>
      <c r="L857" s="6">
        <f>IF(H857="DISTRATO",0,I857)</f>
        <v/>
      </c>
    </row>
    <row r="858">
      <c r="A858" s="38" t="inlineStr">
        <is>
          <t>Conta corrente MFRUGIS09.XLS</t>
        </is>
      </c>
      <c r="B858" s="39" t="n">
        <v>39953</v>
      </c>
      <c r="C858" s="4" t="n">
        <v>39934</v>
      </c>
      <c r="D858" s="5">
        <f>YEAR(C858)</f>
        <v/>
      </c>
      <c r="E858" s="5">
        <f>MONTH(C858)</f>
        <v/>
      </c>
      <c r="F858" s="38" t="inlineStr">
        <is>
          <t>NFV  :TENDA ATACADO LTDA</t>
        </is>
      </c>
      <c r="G858" s="38" t="inlineStr">
        <is>
          <t>MARIO FRUGIS (01.04.01)</t>
        </is>
      </c>
      <c r="H858" s="38" t="inlineStr">
        <is>
          <t>NFV</t>
        </is>
      </c>
      <c r="I858" s="40" t="n">
        <v>112.48</v>
      </c>
      <c r="J858" s="40" t="n">
        <v>0</v>
      </c>
      <c r="K858" s="6">
        <f>I858-J858</f>
        <v/>
      </c>
      <c r="L858" s="6">
        <f>IF(H858="DISTRATO",0,I858)</f>
        <v/>
      </c>
    </row>
    <row r="859">
      <c r="A859" s="38" t="inlineStr">
        <is>
          <t>Conta corrente MFRUGIS09.XLS</t>
        </is>
      </c>
      <c r="B859" s="39" t="n">
        <v>39953</v>
      </c>
      <c r="C859" s="4" t="n">
        <v>39934</v>
      </c>
      <c r="D859" s="5">
        <f>YEAR(C859)</f>
        <v/>
      </c>
      <c r="E859" s="5">
        <f>MONTH(C859)</f>
        <v/>
      </c>
      <c r="F859" s="38" t="inlineStr">
        <is>
          <t>NFV  :TENDA ATACADO LTDA</t>
        </is>
      </c>
      <c r="G859" s="38" t="inlineStr">
        <is>
          <t>MARIO FRUGIS (01.04.01)</t>
        </is>
      </c>
      <c r="H859" s="38" t="inlineStr">
        <is>
          <t>NFV</t>
        </is>
      </c>
      <c r="I859" s="40" t="n">
        <v>79.09999999999999</v>
      </c>
      <c r="J859" s="40" t="n">
        <v>0</v>
      </c>
      <c r="K859" s="6">
        <f>I859-J859</f>
        <v/>
      </c>
      <c r="L859" s="6">
        <f>IF(H859="DISTRATO",0,I859)</f>
        <v/>
      </c>
    </row>
    <row r="860">
      <c r="A860" s="38" t="inlineStr">
        <is>
          <t>Conta corrente MFRUGIS09.XLS</t>
        </is>
      </c>
      <c r="B860" s="39" t="n">
        <v>39953</v>
      </c>
      <c r="C860" s="4" t="n">
        <v>39934</v>
      </c>
      <c r="D860" s="5">
        <f>YEAR(C860)</f>
        <v/>
      </c>
      <c r="E860" s="5">
        <f>MONTH(C860)</f>
        <v/>
      </c>
      <c r="F860" s="38" t="inlineStr">
        <is>
          <t>NFV  :TENDA ATACADO LTDA</t>
        </is>
      </c>
      <c r="G860" s="38" t="inlineStr">
        <is>
          <t>MARIO FRUGIS (01.04.01)</t>
        </is>
      </c>
      <c r="H860" s="38" t="inlineStr">
        <is>
          <t>NFV</t>
        </is>
      </c>
      <c r="I860" s="40" t="n">
        <v>96.12</v>
      </c>
      <c r="J860" s="40" t="n">
        <v>0</v>
      </c>
      <c r="K860" s="6">
        <f>I860-J860</f>
        <v/>
      </c>
      <c r="L860" s="6">
        <f>IF(H860="DISTRATO",0,I860)</f>
        <v/>
      </c>
    </row>
    <row r="861">
      <c r="A861" s="38" t="inlineStr">
        <is>
          <t>Conta corrente MFRUGIS09.XLS</t>
        </is>
      </c>
      <c r="B861" s="39" t="n">
        <v>39953</v>
      </c>
      <c r="C861" s="4" t="n">
        <v>39934</v>
      </c>
      <c r="D861" s="5">
        <f>YEAR(C861)</f>
        <v/>
      </c>
      <c r="E861" s="5">
        <f>MONTH(C861)</f>
        <v/>
      </c>
      <c r="F861" s="38" t="inlineStr">
        <is>
          <t>NFV  :TENDA ATACADO LTDA</t>
        </is>
      </c>
      <c r="G861" s="38" t="inlineStr">
        <is>
          <t>MARIO FRUGIS (01.04.01)</t>
        </is>
      </c>
      <c r="H861" s="38" t="inlineStr">
        <is>
          <t>NFV</t>
        </is>
      </c>
      <c r="I861" s="40" t="n">
        <v>130.89</v>
      </c>
      <c r="J861" s="40" t="n">
        <v>0</v>
      </c>
      <c r="K861" s="6">
        <f>I861-J861</f>
        <v/>
      </c>
      <c r="L861" s="6">
        <f>IF(H861="DISTRATO",0,I861)</f>
        <v/>
      </c>
    </row>
    <row r="862">
      <c r="A862" s="38" t="inlineStr">
        <is>
          <t>Conta corrente MFRUGIS09.XLS</t>
        </is>
      </c>
      <c r="B862" s="39" t="n">
        <v>39953</v>
      </c>
      <c r="C862" s="4" t="n">
        <v>39934</v>
      </c>
      <c r="D862" s="5">
        <f>YEAR(C862)</f>
        <v/>
      </c>
      <c r="E862" s="5">
        <f>MONTH(C862)</f>
        <v/>
      </c>
      <c r="F862" s="38" t="inlineStr">
        <is>
          <t>NFV  :TENDA ATACADO LTDA</t>
        </is>
      </c>
      <c r="G862" s="38" t="inlineStr">
        <is>
          <t>MARIO FRUGIS (01.04.01)</t>
        </is>
      </c>
      <c r="H862" s="38" t="inlineStr">
        <is>
          <t>NFV</t>
        </is>
      </c>
      <c r="I862" s="40" t="n">
        <v>103.98</v>
      </c>
      <c r="J862" s="40" t="n">
        <v>0</v>
      </c>
      <c r="K862" s="6">
        <f>I862-J862</f>
        <v/>
      </c>
      <c r="L862" s="6">
        <f>IF(H862="DISTRATO",0,I862)</f>
        <v/>
      </c>
    </row>
    <row r="863">
      <c r="A863" s="38" t="inlineStr">
        <is>
          <t>Conta corrente MFRUGIS09.XLS</t>
        </is>
      </c>
      <c r="B863" s="39" t="n">
        <v>39953</v>
      </c>
      <c r="C863" s="4" t="n">
        <v>39934</v>
      </c>
      <c r="D863" s="5">
        <f>YEAR(C863)</f>
        <v/>
      </c>
      <c r="E863" s="5">
        <f>MONTH(C863)</f>
        <v/>
      </c>
      <c r="F863" s="38" t="inlineStr">
        <is>
          <t>NFV  :TENDA ATACADO LTDA</t>
        </is>
      </c>
      <c r="G863" s="38" t="inlineStr">
        <is>
          <t>MARIO FRUGIS (01.04.01)</t>
        </is>
      </c>
      <c r="H863" s="38" t="inlineStr">
        <is>
          <t>NFV</t>
        </is>
      </c>
      <c r="I863" s="40" t="n">
        <v>151.71</v>
      </c>
      <c r="J863" s="40" t="n">
        <v>0</v>
      </c>
      <c r="K863" s="6">
        <f>I863-J863</f>
        <v/>
      </c>
      <c r="L863" s="6">
        <f>IF(H863="DISTRATO",0,I863)</f>
        <v/>
      </c>
    </row>
    <row r="864">
      <c r="A864" s="38" t="inlineStr">
        <is>
          <t>Conta corrente MFRUGIS09.XLS</t>
        </is>
      </c>
      <c r="B864" s="39" t="n">
        <v>39953</v>
      </c>
      <c r="C864" s="4" t="n">
        <v>39934</v>
      </c>
      <c r="D864" s="5">
        <f>YEAR(C864)</f>
        <v/>
      </c>
      <c r="E864" s="5">
        <f>MONTH(C864)</f>
        <v/>
      </c>
      <c r="F864" s="38" t="inlineStr">
        <is>
          <t>NFV  :TENDA ATACADO LTDA</t>
        </is>
      </c>
      <c r="G864" s="38" t="inlineStr">
        <is>
          <t>MARIO FRUGIS (01.04.01)</t>
        </is>
      </c>
      <c r="H864" s="38" t="inlineStr">
        <is>
          <t>NFV</t>
        </is>
      </c>
      <c r="I864" s="40" t="n">
        <v>94.12</v>
      </c>
      <c r="J864" s="40" t="n">
        <v>0</v>
      </c>
      <c r="K864" s="6">
        <f>I864-J864</f>
        <v/>
      </c>
      <c r="L864" s="6">
        <f>IF(H864="DISTRATO",0,I864)</f>
        <v/>
      </c>
    </row>
    <row r="865">
      <c r="A865" s="38" t="inlineStr">
        <is>
          <t>Conta corrente MFRUGIS09.XLS</t>
        </is>
      </c>
      <c r="B865" s="39" t="n">
        <v>39953</v>
      </c>
      <c r="C865" s="4" t="n">
        <v>39934</v>
      </c>
      <c r="D865" s="5">
        <f>YEAR(C865)</f>
        <v/>
      </c>
      <c r="E865" s="5">
        <f>MONTH(C865)</f>
        <v/>
      </c>
      <c r="F865" s="38" t="inlineStr">
        <is>
          <t>NFV  :TENDA ATACADO LTDA</t>
        </is>
      </c>
      <c r="G865" s="38" t="inlineStr">
        <is>
          <t>MARIO FRUGIS (01.04.01)</t>
        </is>
      </c>
      <c r="H865" s="38" t="inlineStr">
        <is>
          <t>NFV</t>
        </is>
      </c>
      <c r="I865" s="40" t="n">
        <v>94.70999999999999</v>
      </c>
      <c r="J865" s="40" t="n">
        <v>0</v>
      </c>
      <c r="K865" s="6">
        <f>I865-J865</f>
        <v/>
      </c>
      <c r="L865" s="6">
        <f>IF(H865="DISTRATO",0,I865)</f>
        <v/>
      </c>
    </row>
    <row r="866">
      <c r="A866" s="38" t="inlineStr">
        <is>
          <t>Conta corrente MFRUGIS09.XLS</t>
        </is>
      </c>
      <c r="B866" s="39" t="n">
        <v>39953</v>
      </c>
      <c r="C866" s="4" t="n">
        <v>39934</v>
      </c>
      <c r="D866" s="5">
        <f>YEAR(C866)</f>
        <v/>
      </c>
      <c r="E866" s="5">
        <f>MONTH(C866)</f>
        <v/>
      </c>
      <c r="F866" s="38" t="inlineStr">
        <is>
          <t>NFV  :TENDA ATACADO LTDA</t>
        </is>
      </c>
      <c r="G866" s="38" t="inlineStr">
        <is>
          <t>MARIO FRUGIS (01.04.01)</t>
        </is>
      </c>
      <c r="H866" s="38" t="inlineStr">
        <is>
          <t>NFV</t>
        </is>
      </c>
      <c r="I866" s="40" t="n">
        <v>79.22</v>
      </c>
      <c r="J866" s="40" t="n">
        <v>0</v>
      </c>
      <c r="K866" s="6">
        <f>I866-J866</f>
        <v/>
      </c>
      <c r="L866" s="6">
        <f>IF(H866="DISTRATO",0,I866)</f>
        <v/>
      </c>
    </row>
    <row r="867">
      <c r="A867" s="38" t="inlineStr">
        <is>
          <t>Conta corrente MFRUGIS09.XLS</t>
        </is>
      </c>
      <c r="B867" s="39" t="n">
        <v>39953</v>
      </c>
      <c r="C867" s="4" t="n">
        <v>39934</v>
      </c>
      <c r="D867" s="5">
        <f>YEAR(C867)</f>
        <v/>
      </c>
      <c r="E867" s="5">
        <f>MONTH(C867)</f>
        <v/>
      </c>
      <c r="F867" s="38" t="inlineStr">
        <is>
          <t>NFV  :TENDA ATACADO LTDA</t>
        </is>
      </c>
      <c r="G867" s="38" t="inlineStr">
        <is>
          <t>MARIO FRUGIS (01.04.01)</t>
        </is>
      </c>
      <c r="H867" s="38" t="inlineStr">
        <is>
          <t>NFV</t>
        </is>
      </c>
      <c r="I867" s="40" t="n">
        <v>94.12</v>
      </c>
      <c r="J867" s="40" t="n">
        <v>0</v>
      </c>
      <c r="K867" s="6">
        <f>I867-J867</f>
        <v/>
      </c>
      <c r="L867" s="6">
        <f>IF(H867="DISTRATO",0,I867)</f>
        <v/>
      </c>
    </row>
    <row r="868">
      <c r="A868" s="38" t="inlineStr">
        <is>
          <t>Conta corrente MFRUGIS09.XLS</t>
        </is>
      </c>
      <c r="B868" s="39" t="n">
        <v>39953</v>
      </c>
      <c r="C868" s="4" t="n">
        <v>39934</v>
      </c>
      <c r="D868" s="5">
        <f>YEAR(C868)</f>
        <v/>
      </c>
      <c r="E868" s="5">
        <f>MONTH(C868)</f>
        <v/>
      </c>
      <c r="F868" s="38" t="inlineStr">
        <is>
          <t>NFV  :TENDA ATACADO LTDA</t>
        </is>
      </c>
      <c r="G868" s="38" t="inlineStr">
        <is>
          <t>MARIO FRUGIS (01.04.01)</t>
        </is>
      </c>
      <c r="H868" s="38" t="inlineStr">
        <is>
          <t>NFV</t>
        </is>
      </c>
      <c r="I868" s="40" t="n">
        <v>112.66</v>
      </c>
      <c r="J868" s="40" t="n">
        <v>0</v>
      </c>
      <c r="K868" s="6">
        <f>I868-J868</f>
        <v/>
      </c>
      <c r="L868" s="6">
        <f>IF(H868="DISTRATO",0,I868)</f>
        <v/>
      </c>
    </row>
    <row r="869">
      <c r="A869" s="38" t="inlineStr">
        <is>
          <t>Conta corrente MFRUGIS09.XLS</t>
        </is>
      </c>
      <c r="B869" s="39" t="n">
        <v>39954</v>
      </c>
      <c r="C869" s="4" t="n">
        <v>39934</v>
      </c>
      <c r="D869" s="5">
        <f>YEAR(C869)</f>
        <v/>
      </c>
      <c r="E869" s="5">
        <f>MONTH(C869)</f>
        <v/>
      </c>
      <c r="F869" s="38" t="inlineStr">
        <is>
          <t>BONIF:TENDA ATACADO LTDA</t>
        </is>
      </c>
      <c r="G869" s="38" t="inlineStr">
        <is>
          <t>MARIO FRUGIS (01.04.01)</t>
        </is>
      </c>
      <c r="H869" s="38" t="inlineStr">
        <is>
          <t>BONIFICACAO</t>
        </is>
      </c>
      <c r="I869" s="40" t="n">
        <v>-30.3</v>
      </c>
      <c r="J869" s="40" t="n">
        <v>0</v>
      </c>
      <c r="K869" s="6">
        <f>I869-J869</f>
        <v/>
      </c>
      <c r="L869" s="6">
        <f>IF(H869="DISTRATO",0,I869)</f>
        <v/>
      </c>
    </row>
    <row r="870">
      <c r="A870" s="38" t="inlineStr">
        <is>
          <t>Conta corrente MFRUGIS09.XLS</t>
        </is>
      </c>
      <c r="B870" s="39" t="n">
        <v>39954</v>
      </c>
      <c r="C870" s="4" t="n">
        <v>39934</v>
      </c>
      <c r="D870" s="5">
        <f>YEAR(C870)</f>
        <v/>
      </c>
      <c r="E870" s="5">
        <f>MONTH(C870)</f>
        <v/>
      </c>
      <c r="F870" s="38" t="inlineStr">
        <is>
          <t>NFV  :TENDA ATACADO LTDA</t>
        </is>
      </c>
      <c r="G870" s="38" t="inlineStr">
        <is>
          <t>MARIO FRUGIS (01.04.01)</t>
        </is>
      </c>
      <c r="H870" s="38" t="inlineStr">
        <is>
          <t>NFV</t>
        </is>
      </c>
      <c r="I870" s="40" t="n">
        <v>151.5</v>
      </c>
      <c r="J870" s="40" t="n">
        <v>0</v>
      </c>
      <c r="K870" s="6">
        <f>I870-J870</f>
        <v/>
      </c>
      <c r="L870" s="6">
        <f>IF(H870="DISTRATO",0,I870)</f>
        <v/>
      </c>
    </row>
    <row r="871">
      <c r="A871" s="38" t="inlineStr">
        <is>
          <t>Conta corrente MFRUGIS09.XLS</t>
        </is>
      </c>
      <c r="B871" s="39" t="n">
        <v>39959</v>
      </c>
      <c r="C871" s="4" t="n">
        <v>39934</v>
      </c>
      <c r="D871" s="5">
        <f>YEAR(C871)</f>
        <v/>
      </c>
      <c r="E871" s="5">
        <f>MONTH(C871)</f>
        <v/>
      </c>
      <c r="F871" s="38" t="inlineStr">
        <is>
          <t>BONIF:TENDA ATACADO LTDA</t>
        </is>
      </c>
      <c r="G871" s="38" t="inlineStr">
        <is>
          <t>MARIO FRUGIS (01.04.01)</t>
        </is>
      </c>
      <c r="H871" s="38" t="inlineStr">
        <is>
          <t>BONIFICACAO</t>
        </is>
      </c>
      <c r="I871" s="40" t="n">
        <v>-21.87</v>
      </c>
      <c r="J871" s="40" t="n">
        <v>0</v>
      </c>
      <c r="K871" s="6">
        <f>I871-J871</f>
        <v/>
      </c>
      <c r="L871" s="6">
        <f>IF(H871="DISTRATO",0,I871)</f>
        <v/>
      </c>
    </row>
    <row r="872">
      <c r="A872" s="38" t="inlineStr">
        <is>
          <t>Conta corrente MFRUGIS09.XLS</t>
        </is>
      </c>
      <c r="B872" s="39" t="n">
        <v>39959</v>
      </c>
      <c r="C872" s="4" t="n">
        <v>39934</v>
      </c>
      <c r="D872" s="5">
        <f>YEAR(C872)</f>
        <v/>
      </c>
      <c r="E872" s="5">
        <f>MONTH(C872)</f>
        <v/>
      </c>
      <c r="F872" s="38" t="inlineStr">
        <is>
          <t>NFV  :TENDA ATACADO LTDA</t>
        </is>
      </c>
      <c r="G872" s="38" t="inlineStr">
        <is>
          <t>MARIO FRUGIS (01.04.01)</t>
        </is>
      </c>
      <c r="H872" s="38" t="inlineStr">
        <is>
          <t>NFV</t>
        </is>
      </c>
      <c r="I872" s="40" t="n">
        <v>28.72</v>
      </c>
      <c r="J872" s="40" t="n">
        <v>0</v>
      </c>
      <c r="K872" s="6">
        <f>I872-J872</f>
        <v/>
      </c>
      <c r="L872" s="6">
        <f>IF(H872="DISTRATO",0,I872)</f>
        <v/>
      </c>
    </row>
    <row r="873">
      <c r="A873" s="38" t="inlineStr">
        <is>
          <t>Conta corrente MFRUGIS09.XLS</t>
        </is>
      </c>
      <c r="B873" s="39" t="n">
        <v>39959</v>
      </c>
      <c r="C873" s="4" t="n">
        <v>39934</v>
      </c>
      <c r="D873" s="5">
        <f>YEAR(C873)</f>
        <v/>
      </c>
      <c r="E873" s="5">
        <f>MONTH(C873)</f>
        <v/>
      </c>
      <c r="F873" s="38" t="inlineStr">
        <is>
          <t>NFV  :TENDA ATACADO LTDA</t>
        </is>
      </c>
      <c r="G873" s="38" t="inlineStr">
        <is>
          <t>MARIO FRUGIS (01.04.01)</t>
        </is>
      </c>
      <c r="H873" s="38" t="inlineStr">
        <is>
          <t>NFV</t>
        </is>
      </c>
      <c r="I873" s="40" t="n">
        <v>75.39</v>
      </c>
      <c r="J873" s="40" t="n">
        <v>0</v>
      </c>
      <c r="K873" s="6">
        <f>I873-J873</f>
        <v/>
      </c>
      <c r="L873" s="6">
        <f>IF(H873="DISTRATO",0,I873)</f>
        <v/>
      </c>
    </row>
    <row r="874">
      <c r="A874" s="38" t="inlineStr">
        <is>
          <t>Conta corrente MFRUGIS09.XLS</t>
        </is>
      </c>
      <c r="B874" s="39" t="n">
        <v>39959</v>
      </c>
      <c r="C874" s="4" t="n">
        <v>39934</v>
      </c>
      <c r="D874" s="5">
        <f>YEAR(C874)</f>
        <v/>
      </c>
      <c r="E874" s="5">
        <f>MONTH(C874)</f>
        <v/>
      </c>
      <c r="F874" s="38" t="inlineStr">
        <is>
          <t>NFV  :TENDA ATACADO LTDA</t>
        </is>
      </c>
      <c r="G874" s="38" t="inlineStr">
        <is>
          <t>MARIO FRUGIS (01.04.01)</t>
        </is>
      </c>
      <c r="H874" s="38" t="inlineStr">
        <is>
          <t>NFV</t>
        </is>
      </c>
      <c r="I874" s="40" t="n">
        <v>28.72</v>
      </c>
      <c r="J874" s="40" t="n">
        <v>0</v>
      </c>
      <c r="K874" s="6">
        <f>I874-J874</f>
        <v/>
      </c>
      <c r="L874" s="6">
        <f>IF(H874="DISTRATO",0,I874)</f>
        <v/>
      </c>
    </row>
    <row r="875">
      <c r="A875" s="38" t="inlineStr">
        <is>
          <t>Conta corrente MFRUGIS09.XLS</t>
        </is>
      </c>
      <c r="B875" s="39" t="n">
        <v>39959</v>
      </c>
      <c r="C875" s="4" t="n">
        <v>39934</v>
      </c>
      <c r="D875" s="5">
        <f>YEAR(C875)</f>
        <v/>
      </c>
      <c r="E875" s="5">
        <f>MONTH(C875)</f>
        <v/>
      </c>
      <c r="F875" s="38" t="inlineStr">
        <is>
          <t>NFV  :TENDA ATACADO LTDA</t>
        </is>
      </c>
      <c r="G875" s="38" t="inlineStr">
        <is>
          <t>MARIO FRUGIS (01.04.01)</t>
        </is>
      </c>
      <c r="H875" s="38" t="inlineStr">
        <is>
          <t>NFV</t>
        </is>
      </c>
      <c r="I875" s="40" t="n">
        <v>69.22</v>
      </c>
      <c r="J875" s="40" t="n">
        <v>0</v>
      </c>
      <c r="K875" s="6">
        <f>I875-J875</f>
        <v/>
      </c>
      <c r="L875" s="6">
        <f>IF(H875="DISTRATO",0,I875)</f>
        <v/>
      </c>
    </row>
    <row r="876">
      <c r="A876" s="38" t="inlineStr">
        <is>
          <t>Conta corrente MFRUGIS09.XLS</t>
        </is>
      </c>
      <c r="B876" s="39" t="n">
        <v>39959</v>
      </c>
      <c r="C876" s="4" t="n">
        <v>39934</v>
      </c>
      <c r="D876" s="5">
        <f>YEAR(C876)</f>
        <v/>
      </c>
      <c r="E876" s="5">
        <f>MONTH(C876)</f>
        <v/>
      </c>
      <c r="F876" s="38" t="inlineStr">
        <is>
          <t>NFV  :TENDA ATACADO LTDA</t>
        </is>
      </c>
      <c r="G876" s="38" t="inlineStr">
        <is>
          <t>MARIO FRUGIS (01.04.01)</t>
        </is>
      </c>
      <c r="H876" s="38" t="inlineStr">
        <is>
          <t>NFV</t>
        </is>
      </c>
      <c r="I876" s="40" t="n">
        <v>23.67</v>
      </c>
      <c r="J876" s="40" t="n">
        <v>0</v>
      </c>
      <c r="K876" s="6">
        <f>I876-J876</f>
        <v/>
      </c>
      <c r="L876" s="6">
        <f>IF(H876="DISTRATO",0,I876)</f>
        <v/>
      </c>
    </row>
    <row r="877">
      <c r="A877" s="38" t="inlineStr">
        <is>
          <t>Conta corrente MFRUGIS09.XLS</t>
        </is>
      </c>
      <c r="B877" s="39" t="n">
        <v>39959</v>
      </c>
      <c r="C877" s="4" t="n">
        <v>39934</v>
      </c>
      <c r="D877" s="5">
        <f>YEAR(C877)</f>
        <v/>
      </c>
      <c r="E877" s="5">
        <f>MONTH(C877)</f>
        <v/>
      </c>
      <c r="F877" s="38" t="inlineStr">
        <is>
          <t>NFV  :TENDA ATACADO LTDA</t>
        </is>
      </c>
      <c r="G877" s="38" t="inlineStr">
        <is>
          <t>MARIO FRUGIS (01.04.01)</t>
        </is>
      </c>
      <c r="H877" s="38" t="inlineStr">
        <is>
          <t>NFV</t>
        </is>
      </c>
      <c r="I877" s="40" t="n">
        <v>42.41</v>
      </c>
      <c r="J877" s="40" t="n">
        <v>0</v>
      </c>
      <c r="K877" s="6">
        <f>I877-J877</f>
        <v/>
      </c>
      <c r="L877" s="6">
        <f>IF(H877="DISTRATO",0,I877)</f>
        <v/>
      </c>
    </row>
    <row r="878">
      <c r="A878" s="38" t="inlineStr">
        <is>
          <t>Conta corrente MFRUGIS09.XLS</t>
        </is>
      </c>
      <c r="B878" s="39" t="n">
        <v>39959</v>
      </c>
      <c r="C878" s="4" t="n">
        <v>39934</v>
      </c>
      <c r="D878" s="5">
        <f>YEAR(C878)</f>
        <v/>
      </c>
      <c r="E878" s="5">
        <f>MONTH(C878)</f>
        <v/>
      </c>
      <c r="F878" s="38" t="inlineStr">
        <is>
          <t>NFV  :TENDA ATACADO LTDA</t>
        </is>
      </c>
      <c r="G878" s="38" t="inlineStr">
        <is>
          <t>MARIO FRUGIS (01.04.01)</t>
        </is>
      </c>
      <c r="H878" s="38" t="inlineStr">
        <is>
          <t>NFV</t>
        </is>
      </c>
      <c r="I878" s="40" t="n">
        <v>47.33</v>
      </c>
      <c r="J878" s="40" t="n">
        <v>0</v>
      </c>
      <c r="K878" s="6">
        <f>I878-J878</f>
        <v/>
      </c>
      <c r="L878" s="6">
        <f>IF(H878="DISTRATO",0,I878)</f>
        <v/>
      </c>
    </row>
    <row r="879">
      <c r="A879" s="38" t="inlineStr">
        <is>
          <t>Conta corrente MFRUGIS09.XLS</t>
        </is>
      </c>
      <c r="B879" s="39" t="n">
        <v>39959</v>
      </c>
      <c r="C879" s="4" t="n">
        <v>39934</v>
      </c>
      <c r="D879" s="5">
        <f>YEAR(C879)</f>
        <v/>
      </c>
      <c r="E879" s="5">
        <f>MONTH(C879)</f>
        <v/>
      </c>
      <c r="F879" s="38" t="inlineStr">
        <is>
          <t>NFV  :TENDA ATACADO LTDA</t>
        </is>
      </c>
      <c r="G879" s="38" t="inlineStr">
        <is>
          <t>MARIO FRUGIS (01.04.01)</t>
        </is>
      </c>
      <c r="H879" s="38" t="inlineStr">
        <is>
          <t>NFV</t>
        </is>
      </c>
      <c r="I879" s="40" t="n">
        <v>66.08</v>
      </c>
      <c r="J879" s="40" t="n">
        <v>0</v>
      </c>
      <c r="K879" s="6">
        <f>I879-J879</f>
        <v/>
      </c>
      <c r="L879" s="6">
        <f>IF(H879="DISTRATO",0,I879)</f>
        <v/>
      </c>
    </row>
    <row r="880">
      <c r="A880" s="38" t="inlineStr">
        <is>
          <t>Conta corrente MFRUGIS09.XLS</t>
        </is>
      </c>
      <c r="B880" s="39" t="n">
        <v>39959</v>
      </c>
      <c r="C880" s="4" t="n">
        <v>39934</v>
      </c>
      <c r="D880" s="5">
        <f>YEAR(C880)</f>
        <v/>
      </c>
      <c r="E880" s="5">
        <f>MONTH(C880)</f>
        <v/>
      </c>
      <c r="F880" s="38" t="inlineStr">
        <is>
          <t>NFV  :TENDA ATACADO LTDA</t>
        </is>
      </c>
      <c r="G880" s="38" t="inlineStr">
        <is>
          <t>MARIO FRUGIS (01.04.01)</t>
        </is>
      </c>
      <c r="H880" s="38" t="inlineStr">
        <is>
          <t>NFV</t>
        </is>
      </c>
      <c r="I880" s="40" t="n">
        <v>61.7</v>
      </c>
      <c r="J880" s="40" t="n">
        <v>0</v>
      </c>
      <c r="K880" s="6">
        <f>I880-J880</f>
        <v/>
      </c>
      <c r="L880" s="6">
        <f>IF(H880="DISTRATO",0,I880)</f>
        <v/>
      </c>
    </row>
    <row r="881">
      <c r="A881" s="38" t="inlineStr">
        <is>
          <t>Conta corrente MFRUGIS09.XLS</t>
        </is>
      </c>
      <c r="B881" s="39" t="n">
        <v>39961</v>
      </c>
      <c r="C881" s="4" t="n">
        <v>39934</v>
      </c>
      <c r="D881" s="5">
        <f>YEAR(C881)</f>
        <v/>
      </c>
      <c r="E881" s="5">
        <f>MONTH(C881)</f>
        <v/>
      </c>
      <c r="F881" s="38" t="inlineStr">
        <is>
          <t>DEV  :TENDA ATACADO LTDA</t>
        </is>
      </c>
      <c r="G881" s="38" t="inlineStr">
        <is>
          <t>MARIO FRUGIS (01.04.01)</t>
        </is>
      </c>
      <c r="H881" s="38" t="inlineStr">
        <is>
          <t>DEVOLUCAO</t>
        </is>
      </c>
      <c r="I881" s="40" t="n">
        <v>-3</v>
      </c>
      <c r="J881" s="40" t="n">
        <v>0</v>
      </c>
      <c r="K881" s="6">
        <f>I881-J881</f>
        <v/>
      </c>
      <c r="L881" s="6">
        <f>IF(H881="DISTRATO",0,I881)</f>
        <v/>
      </c>
    </row>
    <row r="882">
      <c r="A882" s="38" t="inlineStr">
        <is>
          <t>Conta corrente MFRUGIS09.XLS</t>
        </is>
      </c>
      <c r="B882" s="39" t="n">
        <v>39962</v>
      </c>
      <c r="C882" s="4" t="n">
        <v>39934</v>
      </c>
      <c r="D882" s="5">
        <f>YEAR(C882)</f>
        <v/>
      </c>
      <c r="E882" s="5">
        <f>MONTH(C882)</f>
        <v/>
      </c>
      <c r="F882" s="38" t="inlineStr">
        <is>
          <t>DIFERENCA x 38.3% (rateio: part. Tenda no mês)</t>
        </is>
      </c>
      <c r="G882" s="38" t="inlineStr">
        <is>
          <t>MARIO FRUGIS (01.04.01)</t>
        </is>
      </c>
      <c r="H882" s="38" t="inlineStr">
        <is>
          <t>AJUSTE % RATEIO</t>
        </is>
      </c>
      <c r="I882" s="40" t="n">
        <v>39.99</v>
      </c>
      <c r="J882" s="40" t="n">
        <v>0</v>
      </c>
      <c r="K882" s="6">
        <f>I882-J882</f>
        <v/>
      </c>
      <c r="L882" s="6">
        <f>IF(H882="DISTRATO",0,I882)</f>
        <v/>
      </c>
    </row>
    <row r="883">
      <c r="A883" s="38" t="inlineStr">
        <is>
          <t>Conta corrente MFRUGIS09.XLS</t>
        </is>
      </c>
      <c r="B883" s="39" t="n">
        <v>39968</v>
      </c>
      <c r="C883" s="4" t="n">
        <v>39965</v>
      </c>
      <c r="D883" s="5">
        <f>YEAR(C883)</f>
        <v/>
      </c>
      <c r="E883" s="5">
        <f>MONTH(C883)</f>
        <v/>
      </c>
      <c r="F883" s="38" t="inlineStr">
        <is>
          <t>NFV  :TENDA ATACADO LTDA</t>
        </is>
      </c>
      <c r="G883" s="38" t="inlineStr">
        <is>
          <t>MARIO FRUGIS (01.04.01)</t>
        </is>
      </c>
      <c r="H883" s="38" t="inlineStr">
        <is>
          <t>NFV</t>
        </is>
      </c>
      <c r="I883" s="40" t="n">
        <v>79.45999999999999</v>
      </c>
      <c r="J883" s="40" t="n">
        <v>0</v>
      </c>
      <c r="K883" s="6">
        <f>I883-J883</f>
        <v/>
      </c>
      <c r="L883" s="6">
        <f>IF(H883="DISTRATO",0,I883)</f>
        <v/>
      </c>
    </row>
    <row r="884">
      <c r="A884" s="38" t="inlineStr">
        <is>
          <t>Conta corrente MFRUGIS09.XLS</t>
        </is>
      </c>
      <c r="B884" s="39" t="n">
        <v>39968</v>
      </c>
      <c r="C884" s="4" t="n">
        <v>39965</v>
      </c>
      <c r="D884" s="5">
        <f>YEAR(C884)</f>
        <v/>
      </c>
      <c r="E884" s="5">
        <f>MONTH(C884)</f>
        <v/>
      </c>
      <c r="F884" s="38" t="inlineStr">
        <is>
          <t>NFV  :TENDA ATACADO LTDA</t>
        </is>
      </c>
      <c r="G884" s="38" t="inlineStr">
        <is>
          <t>MARIO FRUGIS (01.04.01)</t>
        </is>
      </c>
      <c r="H884" s="38" t="inlineStr">
        <is>
          <t>NFV</t>
        </is>
      </c>
      <c r="I884" s="40" t="n">
        <v>203.95</v>
      </c>
      <c r="J884" s="40" t="n">
        <v>0</v>
      </c>
      <c r="K884" s="6">
        <f>I884-J884</f>
        <v/>
      </c>
      <c r="L884" s="6">
        <f>IF(H884="DISTRATO",0,I884)</f>
        <v/>
      </c>
    </row>
    <row r="885">
      <c r="A885" s="38" t="inlineStr">
        <is>
          <t>Conta corrente MFRUGIS09.XLS</t>
        </is>
      </c>
      <c r="B885" s="39" t="n">
        <v>39968</v>
      </c>
      <c r="C885" s="4" t="n">
        <v>39965</v>
      </c>
      <c r="D885" s="5">
        <f>YEAR(C885)</f>
        <v/>
      </c>
      <c r="E885" s="5">
        <f>MONTH(C885)</f>
        <v/>
      </c>
      <c r="F885" s="38" t="inlineStr">
        <is>
          <t>NFV  :TENDA ATACADO LTDA</t>
        </is>
      </c>
      <c r="G885" s="38" t="inlineStr">
        <is>
          <t>MARIO FRUGIS (01.04.01)</t>
        </is>
      </c>
      <c r="H885" s="38" t="inlineStr">
        <is>
          <t>NFV</t>
        </is>
      </c>
      <c r="I885" s="40" t="n">
        <v>109.9</v>
      </c>
      <c r="J885" s="40" t="n">
        <v>0</v>
      </c>
      <c r="K885" s="6">
        <f>I885-J885</f>
        <v/>
      </c>
      <c r="L885" s="6">
        <f>IF(H885="DISTRATO",0,I885)</f>
        <v/>
      </c>
    </row>
    <row r="886">
      <c r="A886" s="38" t="inlineStr">
        <is>
          <t>Conta corrente MFRUGIS09.XLS</t>
        </is>
      </c>
      <c r="B886" s="39" t="n">
        <v>39968</v>
      </c>
      <c r="C886" s="4" t="n">
        <v>39965</v>
      </c>
      <c r="D886" s="5">
        <f>YEAR(C886)</f>
        <v/>
      </c>
      <c r="E886" s="5">
        <f>MONTH(C886)</f>
        <v/>
      </c>
      <c r="F886" s="38" t="inlineStr">
        <is>
          <t>NFV  :TENDA ATACADO LTDA</t>
        </is>
      </c>
      <c r="G886" s="38" t="inlineStr">
        <is>
          <t>MARIO FRUGIS (01.04.01)</t>
        </is>
      </c>
      <c r="H886" s="38" t="inlineStr">
        <is>
          <t>NFV</t>
        </is>
      </c>
      <c r="I886" s="40" t="n">
        <v>174.88</v>
      </c>
      <c r="J886" s="40" t="n">
        <v>0</v>
      </c>
      <c r="K886" s="6">
        <f>I886-J886</f>
        <v/>
      </c>
      <c r="L886" s="6">
        <f>IF(H886="DISTRATO",0,I886)</f>
        <v/>
      </c>
    </row>
    <row r="887">
      <c r="A887" s="38" t="inlineStr">
        <is>
          <t>Conta corrente MFRUGIS09.XLS</t>
        </is>
      </c>
      <c r="B887" s="39" t="n">
        <v>39968</v>
      </c>
      <c r="C887" s="4" t="n">
        <v>39965</v>
      </c>
      <c r="D887" s="5">
        <f>YEAR(C887)</f>
        <v/>
      </c>
      <c r="E887" s="5">
        <f>MONTH(C887)</f>
        <v/>
      </c>
      <c r="F887" s="38" t="inlineStr">
        <is>
          <t>NFV  :TENDA ATACADO LTDA</t>
        </is>
      </c>
      <c r="G887" s="38" t="inlineStr">
        <is>
          <t>MARIO FRUGIS (01.04.01)</t>
        </is>
      </c>
      <c r="H887" s="38" t="inlineStr">
        <is>
          <t>NFV</t>
        </is>
      </c>
      <c r="I887" s="40" t="n">
        <v>132.05</v>
      </c>
      <c r="J887" s="40" t="n">
        <v>0</v>
      </c>
      <c r="K887" s="6">
        <f>I887-J887</f>
        <v/>
      </c>
      <c r="L887" s="6">
        <f>IF(H887="DISTRATO",0,I887)</f>
        <v/>
      </c>
    </row>
    <row r="888">
      <c r="A888" s="38" t="inlineStr">
        <is>
          <t>Conta corrente MFRUGIS09.XLS</t>
        </is>
      </c>
      <c r="B888" s="39" t="n">
        <v>39968</v>
      </c>
      <c r="C888" s="4" t="n">
        <v>39965</v>
      </c>
      <c r="D888" s="5">
        <f>YEAR(C888)</f>
        <v/>
      </c>
      <c r="E888" s="5">
        <f>MONTH(C888)</f>
        <v/>
      </c>
      <c r="F888" s="38" t="inlineStr">
        <is>
          <t>NFV  :TENDA ATACADO LTDA</t>
        </is>
      </c>
      <c r="G888" s="38" t="inlineStr">
        <is>
          <t>MARIO FRUGIS (01.04.01)</t>
        </is>
      </c>
      <c r="H888" s="38" t="inlineStr">
        <is>
          <t>NFV</t>
        </is>
      </c>
      <c r="I888" s="40" t="n">
        <v>170.69</v>
      </c>
      <c r="J888" s="40" t="n">
        <v>0</v>
      </c>
      <c r="K888" s="6">
        <f>I888-J888</f>
        <v/>
      </c>
      <c r="L888" s="6">
        <f>IF(H888="DISTRATO",0,I888)</f>
        <v/>
      </c>
    </row>
    <row r="889">
      <c r="A889" s="38" t="inlineStr">
        <is>
          <t>Conta corrente MFRUGIS09.XLS</t>
        </is>
      </c>
      <c r="B889" s="39" t="n">
        <v>39968</v>
      </c>
      <c r="C889" s="4" t="n">
        <v>39965</v>
      </c>
      <c r="D889" s="5">
        <f>YEAR(C889)</f>
        <v/>
      </c>
      <c r="E889" s="5">
        <f>MONTH(C889)</f>
        <v/>
      </c>
      <c r="F889" s="38" t="inlineStr">
        <is>
          <t>NFV  :TENDA ATACADO LTDA</t>
        </is>
      </c>
      <c r="G889" s="38" t="inlineStr">
        <is>
          <t>MARIO FRUGIS (01.04.01)</t>
        </is>
      </c>
      <c r="H889" s="38" t="inlineStr">
        <is>
          <t>NFV</t>
        </is>
      </c>
      <c r="I889" s="40" t="n">
        <v>171.56</v>
      </c>
      <c r="J889" s="40" t="n">
        <v>0</v>
      </c>
      <c r="K889" s="6">
        <f>I889-J889</f>
        <v/>
      </c>
      <c r="L889" s="6">
        <f>IF(H889="DISTRATO",0,I889)</f>
        <v/>
      </c>
    </row>
    <row r="890">
      <c r="A890" s="38" t="inlineStr">
        <is>
          <t>Conta corrente MFRUGIS09.XLS</t>
        </is>
      </c>
      <c r="B890" s="39" t="n">
        <v>39968</v>
      </c>
      <c r="C890" s="4" t="n">
        <v>39965</v>
      </c>
      <c r="D890" s="5">
        <f>YEAR(C890)</f>
        <v/>
      </c>
      <c r="E890" s="5">
        <f>MONTH(C890)</f>
        <v/>
      </c>
      <c r="F890" s="38" t="inlineStr">
        <is>
          <t>NFV  :TENDA ATACADO LTDA</t>
        </is>
      </c>
      <c r="G890" s="38" t="inlineStr">
        <is>
          <t>MARIO FRUGIS (01.04.01)</t>
        </is>
      </c>
      <c r="H890" s="38" t="inlineStr">
        <is>
          <t>NFV</t>
        </is>
      </c>
      <c r="I890" s="40" t="n">
        <v>112.47</v>
      </c>
      <c r="J890" s="40" t="n">
        <v>0</v>
      </c>
      <c r="K890" s="6">
        <f>I890-J890</f>
        <v/>
      </c>
      <c r="L890" s="6">
        <f>IF(H890="DISTRATO",0,I890)</f>
        <v/>
      </c>
    </row>
    <row r="891">
      <c r="A891" s="38" t="inlineStr">
        <is>
          <t>Conta corrente MFRUGIS09.XLS</t>
        </is>
      </c>
      <c r="B891" s="39" t="n">
        <v>39968</v>
      </c>
      <c r="C891" s="4" t="n">
        <v>39965</v>
      </c>
      <c r="D891" s="5">
        <f>YEAR(C891)</f>
        <v/>
      </c>
      <c r="E891" s="5">
        <f>MONTH(C891)</f>
        <v/>
      </c>
      <c r="F891" s="38" t="inlineStr">
        <is>
          <t>NFV  :TENDA ATACADO LTDA</t>
        </is>
      </c>
      <c r="G891" s="38" t="inlineStr">
        <is>
          <t>MARIO FRUGIS (01.04.01)</t>
        </is>
      </c>
      <c r="H891" s="38" t="inlineStr">
        <is>
          <t>NFV</t>
        </is>
      </c>
      <c r="I891" s="40" t="n">
        <v>62.72</v>
      </c>
      <c r="J891" s="40" t="n">
        <v>0</v>
      </c>
      <c r="K891" s="6">
        <f>I891-J891</f>
        <v/>
      </c>
      <c r="L891" s="6">
        <f>IF(H891="DISTRATO",0,I891)</f>
        <v/>
      </c>
    </row>
    <row r="892">
      <c r="A892" s="38" t="inlineStr">
        <is>
          <t>Conta corrente MFRUGIS09.XLS</t>
        </is>
      </c>
      <c r="B892" s="39" t="n">
        <v>39968</v>
      </c>
      <c r="C892" s="4" t="n">
        <v>39965</v>
      </c>
      <c r="D892" s="5">
        <f>YEAR(C892)</f>
        <v/>
      </c>
      <c r="E892" s="5">
        <f>MONTH(C892)</f>
        <v/>
      </c>
      <c r="F892" s="38" t="inlineStr">
        <is>
          <t>NFV  :TENDA ATACADO LTDA</t>
        </is>
      </c>
      <c r="G892" s="38" t="inlineStr">
        <is>
          <t>MARIO FRUGIS (01.04.01)</t>
        </is>
      </c>
      <c r="H892" s="38" t="inlineStr">
        <is>
          <t>NFV</t>
        </is>
      </c>
      <c r="I892" s="40" t="n">
        <v>138.39</v>
      </c>
      <c r="J892" s="40" t="n">
        <v>0</v>
      </c>
      <c r="K892" s="6">
        <f>I892-J892</f>
        <v/>
      </c>
      <c r="L892" s="6">
        <f>IF(H892="DISTRATO",0,I892)</f>
        <v/>
      </c>
    </row>
    <row r="893">
      <c r="A893" s="38" t="inlineStr">
        <is>
          <t>Conta corrente MFRUGIS09.XLS</t>
        </is>
      </c>
      <c r="B893" s="39" t="n">
        <v>39968</v>
      </c>
      <c r="C893" s="4" t="n">
        <v>39965</v>
      </c>
      <c r="D893" s="5">
        <f>YEAR(C893)</f>
        <v/>
      </c>
      <c r="E893" s="5">
        <f>MONTH(C893)</f>
        <v/>
      </c>
      <c r="F893" s="38" t="inlineStr">
        <is>
          <t>NFV  :TENDA ATACADO LTDA</t>
        </is>
      </c>
      <c r="G893" s="38" t="inlineStr">
        <is>
          <t>MARIO FRUGIS (01.04.01)</t>
        </is>
      </c>
      <c r="H893" s="38" t="inlineStr">
        <is>
          <t>NFV</t>
        </is>
      </c>
      <c r="I893" s="40" t="n">
        <v>61.27</v>
      </c>
      <c r="J893" s="40" t="n">
        <v>0</v>
      </c>
      <c r="K893" s="6">
        <f>I893-J893</f>
        <v/>
      </c>
      <c r="L893" s="6">
        <f>IF(H893="DISTRATO",0,I893)</f>
        <v/>
      </c>
    </row>
    <row r="894">
      <c r="A894" s="38" t="inlineStr">
        <is>
          <t>Conta corrente MFRUGIS09.XLS</t>
        </is>
      </c>
      <c r="B894" s="39" t="n">
        <v>39968</v>
      </c>
      <c r="C894" s="4" t="n">
        <v>39965</v>
      </c>
      <c r="D894" s="5">
        <f>YEAR(C894)</f>
        <v/>
      </c>
      <c r="E894" s="5">
        <f>MONTH(C894)</f>
        <v/>
      </c>
      <c r="F894" s="38" t="inlineStr">
        <is>
          <t>NFV  :TENDA ATACADO LTDA</t>
        </is>
      </c>
      <c r="G894" s="38" t="inlineStr">
        <is>
          <t>MARIO FRUGIS (01.04.01)</t>
        </is>
      </c>
      <c r="H894" s="38" t="inlineStr">
        <is>
          <t>NFV</t>
        </is>
      </c>
      <c r="I894" s="40" t="n">
        <v>49.33</v>
      </c>
      <c r="J894" s="40" t="n">
        <v>0</v>
      </c>
      <c r="K894" s="6">
        <f>I894-J894</f>
        <v/>
      </c>
      <c r="L894" s="6">
        <f>IF(H894="DISTRATO",0,I894)</f>
        <v/>
      </c>
    </row>
    <row r="895">
      <c r="A895" s="38" t="inlineStr">
        <is>
          <t>Conta corrente MFRUGIS09.XLS</t>
        </is>
      </c>
      <c r="B895" s="39" t="n">
        <v>39969</v>
      </c>
      <c r="C895" s="4" t="n">
        <v>39965</v>
      </c>
      <c r="D895" s="5">
        <f>YEAR(C895)</f>
        <v/>
      </c>
      <c r="E895" s="5">
        <f>MONTH(C895)</f>
        <v/>
      </c>
      <c r="F895" s="38" t="inlineStr">
        <is>
          <t>NFV  :TENDA ATACADO LTDA</t>
        </is>
      </c>
      <c r="G895" s="38" t="inlineStr">
        <is>
          <t>MARIO FRUGIS (01.04.01)</t>
        </is>
      </c>
      <c r="H895" s="38" t="inlineStr">
        <is>
          <t>NFV</t>
        </is>
      </c>
      <c r="I895" s="40" t="n">
        <v>25.68</v>
      </c>
      <c r="J895" s="40" t="n">
        <v>0</v>
      </c>
      <c r="K895" s="6">
        <f>I895-J895</f>
        <v/>
      </c>
      <c r="L895" s="6">
        <f>IF(H895="DISTRATO",0,I895)</f>
        <v/>
      </c>
    </row>
    <row r="896">
      <c r="A896" s="38" t="inlineStr">
        <is>
          <t>Conta corrente MFRUGIS09.XLS</t>
        </is>
      </c>
      <c r="B896" s="39" t="n">
        <v>39980</v>
      </c>
      <c r="C896" s="4" t="n">
        <v>39965</v>
      </c>
      <c r="D896" s="5">
        <f>YEAR(C896)</f>
        <v/>
      </c>
      <c r="E896" s="5">
        <f>MONTH(C896)</f>
        <v/>
      </c>
      <c r="F896" s="38" t="inlineStr">
        <is>
          <t>NFV  :TENDA ATACADO LTDA</t>
        </is>
      </c>
      <c r="G896" s="38" t="inlineStr">
        <is>
          <t>MARIO FRUGIS (01.04.01)</t>
        </is>
      </c>
      <c r="H896" s="38" t="inlineStr">
        <is>
          <t>NFV</t>
        </is>
      </c>
      <c r="I896" s="40" t="n">
        <v>82.45999999999999</v>
      </c>
      <c r="J896" s="40" t="n">
        <v>0</v>
      </c>
      <c r="K896" s="6">
        <f>I896-J896</f>
        <v/>
      </c>
      <c r="L896" s="6">
        <f>IF(H896="DISTRATO",0,I896)</f>
        <v/>
      </c>
    </row>
    <row r="897">
      <c r="A897" s="38" t="inlineStr">
        <is>
          <t>Conta corrente MFRUGIS09.XLS</t>
        </is>
      </c>
      <c r="B897" s="39" t="n">
        <v>39980</v>
      </c>
      <c r="C897" s="4" t="n">
        <v>39965</v>
      </c>
      <c r="D897" s="5">
        <f>YEAR(C897)</f>
        <v/>
      </c>
      <c r="E897" s="5">
        <f>MONTH(C897)</f>
        <v/>
      </c>
      <c r="F897" s="38" t="inlineStr">
        <is>
          <t>NFV  :TENDA ATACADO LTDA</t>
        </is>
      </c>
      <c r="G897" s="38" t="inlineStr">
        <is>
          <t>MARIO FRUGIS (01.04.01)</t>
        </is>
      </c>
      <c r="H897" s="38" t="inlineStr">
        <is>
          <t>NFV</t>
        </is>
      </c>
      <c r="I897" s="40" t="n">
        <v>130.15</v>
      </c>
      <c r="J897" s="40" t="n">
        <v>0</v>
      </c>
      <c r="K897" s="6">
        <f>I897-J897</f>
        <v/>
      </c>
      <c r="L897" s="6">
        <f>IF(H897="DISTRATO",0,I897)</f>
        <v/>
      </c>
    </row>
    <row r="898">
      <c r="A898" s="38" t="inlineStr">
        <is>
          <t>Conta corrente MFRUGIS09.XLS</t>
        </is>
      </c>
      <c r="B898" s="39" t="n">
        <v>39980</v>
      </c>
      <c r="C898" s="4" t="n">
        <v>39965</v>
      </c>
      <c r="D898" s="5">
        <f>YEAR(C898)</f>
        <v/>
      </c>
      <c r="E898" s="5">
        <f>MONTH(C898)</f>
        <v/>
      </c>
      <c r="F898" s="38" t="inlineStr">
        <is>
          <t>NFV  :TENDA ATACADO LTDA</t>
        </is>
      </c>
      <c r="G898" s="38" t="inlineStr">
        <is>
          <t>MARIO FRUGIS (01.04.01)</t>
        </is>
      </c>
      <c r="H898" s="38" t="inlineStr">
        <is>
          <t>NFV</t>
        </is>
      </c>
      <c r="I898" s="40" t="n">
        <v>210.28</v>
      </c>
      <c r="J898" s="40" t="n">
        <v>0</v>
      </c>
      <c r="K898" s="6">
        <f>I898-J898</f>
        <v/>
      </c>
      <c r="L898" s="6">
        <f>IF(H898="DISTRATO",0,I898)</f>
        <v/>
      </c>
    </row>
    <row r="899">
      <c r="A899" s="38" t="inlineStr">
        <is>
          <t>Conta corrente MFRUGIS09.XLS</t>
        </is>
      </c>
      <c r="B899" s="39" t="n">
        <v>39980</v>
      </c>
      <c r="C899" s="4" t="n">
        <v>39965</v>
      </c>
      <c r="D899" s="5">
        <f>YEAR(C899)</f>
        <v/>
      </c>
      <c r="E899" s="5">
        <f>MONTH(C899)</f>
        <v/>
      </c>
      <c r="F899" s="38" t="inlineStr">
        <is>
          <t>NFV  :TENDA ATACADO LTDA</t>
        </is>
      </c>
      <c r="G899" s="38" t="inlineStr">
        <is>
          <t>MARIO FRUGIS (01.04.01)</t>
        </is>
      </c>
      <c r="H899" s="38" t="inlineStr">
        <is>
          <t>NFV</t>
        </is>
      </c>
      <c r="I899" s="40" t="n">
        <v>188.76</v>
      </c>
      <c r="J899" s="40" t="n">
        <v>0</v>
      </c>
      <c r="K899" s="6">
        <f>I899-J899</f>
        <v/>
      </c>
      <c r="L899" s="6">
        <f>IF(H899="DISTRATO",0,I899)</f>
        <v/>
      </c>
    </row>
    <row r="900">
      <c r="A900" s="38" t="inlineStr">
        <is>
          <t>Conta corrente MFRUGIS09.XLS</t>
        </is>
      </c>
      <c r="B900" s="39" t="n">
        <v>39980</v>
      </c>
      <c r="C900" s="4" t="n">
        <v>39965</v>
      </c>
      <c r="D900" s="5">
        <f>YEAR(C900)</f>
        <v/>
      </c>
      <c r="E900" s="5">
        <f>MONTH(C900)</f>
        <v/>
      </c>
      <c r="F900" s="38" t="inlineStr">
        <is>
          <t>NFV  :TENDA ATACADO LTDA</t>
        </is>
      </c>
      <c r="G900" s="38" t="inlineStr">
        <is>
          <t>MARIO FRUGIS (01.04.01)</t>
        </is>
      </c>
      <c r="H900" s="38" t="inlineStr">
        <is>
          <t>NFV</t>
        </is>
      </c>
      <c r="I900" s="40" t="n">
        <v>83.13</v>
      </c>
      <c r="J900" s="40" t="n">
        <v>0</v>
      </c>
      <c r="K900" s="6">
        <f>I900-J900</f>
        <v/>
      </c>
      <c r="L900" s="6">
        <f>IF(H900="DISTRATO",0,I900)</f>
        <v/>
      </c>
    </row>
    <row r="901">
      <c r="A901" s="38" t="inlineStr">
        <is>
          <t>Conta corrente MFRUGIS09.XLS</t>
        </is>
      </c>
      <c r="B901" s="39" t="n">
        <v>39980</v>
      </c>
      <c r="C901" s="4" t="n">
        <v>39965</v>
      </c>
      <c r="D901" s="5">
        <f>YEAR(C901)</f>
        <v/>
      </c>
      <c r="E901" s="5">
        <f>MONTH(C901)</f>
        <v/>
      </c>
      <c r="F901" s="38" t="inlineStr">
        <is>
          <t>NFV  :TENDA ATACADO LTDA</t>
        </is>
      </c>
      <c r="G901" s="38" t="inlineStr">
        <is>
          <t>MARIO FRUGIS (01.04.01)</t>
        </is>
      </c>
      <c r="H901" s="38" t="inlineStr">
        <is>
          <t>NFV</t>
        </is>
      </c>
      <c r="I901" s="40" t="n">
        <v>80.55</v>
      </c>
      <c r="J901" s="40" t="n">
        <v>0</v>
      </c>
      <c r="K901" s="6">
        <f>I901-J901</f>
        <v/>
      </c>
      <c r="L901" s="6">
        <f>IF(H901="DISTRATO",0,I901)</f>
        <v/>
      </c>
    </row>
    <row r="902">
      <c r="A902" s="38" t="inlineStr">
        <is>
          <t>Conta corrente MFRUGIS09.XLS</t>
        </is>
      </c>
      <c r="B902" s="39" t="n">
        <v>39980</v>
      </c>
      <c r="C902" s="4" t="n">
        <v>39965</v>
      </c>
      <c r="D902" s="5">
        <f>YEAR(C902)</f>
        <v/>
      </c>
      <c r="E902" s="5">
        <f>MONTH(C902)</f>
        <v/>
      </c>
      <c r="F902" s="38" t="inlineStr">
        <is>
          <t>NFV  :TENDA ATACADO LTDA</t>
        </is>
      </c>
      <c r="G902" s="38" t="inlineStr">
        <is>
          <t>MARIO FRUGIS (01.04.01)</t>
        </is>
      </c>
      <c r="H902" s="38" t="inlineStr">
        <is>
          <t>NFV</t>
        </is>
      </c>
      <c r="I902" s="40" t="n">
        <v>158.63</v>
      </c>
      <c r="J902" s="40" t="n">
        <v>0</v>
      </c>
      <c r="K902" s="6">
        <f>I902-J902</f>
        <v/>
      </c>
      <c r="L902" s="6">
        <f>IF(H902="DISTRATO",0,I902)</f>
        <v/>
      </c>
    </row>
    <row r="903">
      <c r="A903" s="38" t="inlineStr">
        <is>
          <t>Conta corrente MFRUGIS09.XLS</t>
        </is>
      </c>
      <c r="B903" s="39" t="n">
        <v>39980</v>
      </c>
      <c r="C903" s="4" t="n">
        <v>39965</v>
      </c>
      <c r="D903" s="5">
        <f>YEAR(C903)</f>
        <v/>
      </c>
      <c r="E903" s="5">
        <f>MONTH(C903)</f>
        <v/>
      </c>
      <c r="F903" s="38" t="inlineStr">
        <is>
          <t>NFV  :TENDA ATACADO LTDA</t>
        </is>
      </c>
      <c r="G903" s="38" t="inlineStr">
        <is>
          <t>MARIO FRUGIS (01.04.01)</t>
        </is>
      </c>
      <c r="H903" s="38" t="inlineStr">
        <is>
          <t>NFV</t>
        </is>
      </c>
      <c r="I903" s="40" t="n">
        <v>42.06</v>
      </c>
      <c r="J903" s="40" t="n">
        <v>0</v>
      </c>
      <c r="K903" s="6">
        <f>I903-J903</f>
        <v/>
      </c>
      <c r="L903" s="6">
        <f>IF(H903="DISTRATO",0,I903)</f>
        <v/>
      </c>
    </row>
    <row r="904">
      <c r="A904" s="38" t="inlineStr">
        <is>
          <t>Conta corrente MFRUGIS09.XLS</t>
        </is>
      </c>
      <c r="B904" s="39" t="n">
        <v>39980</v>
      </c>
      <c r="C904" s="4" t="n">
        <v>39965</v>
      </c>
      <c r="D904" s="5">
        <f>YEAR(C904)</f>
        <v/>
      </c>
      <c r="E904" s="5">
        <f>MONTH(C904)</f>
        <v/>
      </c>
      <c r="F904" s="38" t="inlineStr">
        <is>
          <t>NFV  :TENDA ATACADO LTDA</t>
        </is>
      </c>
      <c r="G904" s="38" t="inlineStr">
        <is>
          <t>MARIO FRUGIS (01.04.01)</t>
        </is>
      </c>
      <c r="H904" s="38" t="inlineStr">
        <is>
          <t>NFV</t>
        </is>
      </c>
      <c r="I904" s="40" t="n">
        <v>108.28</v>
      </c>
      <c r="J904" s="40" t="n">
        <v>0</v>
      </c>
      <c r="K904" s="6">
        <f>I904-J904</f>
        <v/>
      </c>
      <c r="L904" s="6">
        <f>IF(H904="DISTRATO",0,I904)</f>
        <v/>
      </c>
    </row>
    <row r="905">
      <c r="A905" s="38" t="inlineStr">
        <is>
          <t>Conta corrente MFRUGIS09.XLS</t>
        </is>
      </c>
      <c r="B905" s="39" t="n">
        <v>39980</v>
      </c>
      <c r="C905" s="4" t="n">
        <v>39965</v>
      </c>
      <c r="D905" s="5">
        <f>YEAR(C905)</f>
        <v/>
      </c>
      <c r="E905" s="5">
        <f>MONTH(C905)</f>
        <v/>
      </c>
      <c r="F905" s="38" t="inlineStr">
        <is>
          <t>NFV  :TENDA ATACADO LTDA</t>
        </is>
      </c>
      <c r="G905" s="38" t="inlineStr">
        <is>
          <t>MARIO FRUGIS (01.04.01)</t>
        </is>
      </c>
      <c r="H905" s="38" t="inlineStr">
        <is>
          <t>NFV</t>
        </is>
      </c>
      <c r="I905" s="40" t="n">
        <v>96.04000000000001</v>
      </c>
      <c r="J905" s="40" t="n">
        <v>0</v>
      </c>
      <c r="K905" s="6">
        <f>I905-J905</f>
        <v/>
      </c>
      <c r="L905" s="6">
        <f>IF(H905="DISTRATO",0,I905)</f>
        <v/>
      </c>
    </row>
    <row r="906">
      <c r="A906" s="38" t="inlineStr">
        <is>
          <t>Conta corrente MFRUGIS09.XLS</t>
        </is>
      </c>
      <c r="B906" s="39" t="n">
        <v>39980</v>
      </c>
      <c r="C906" s="4" t="n">
        <v>39965</v>
      </c>
      <c r="D906" s="5">
        <f>YEAR(C906)</f>
        <v/>
      </c>
      <c r="E906" s="5">
        <f>MONTH(C906)</f>
        <v/>
      </c>
      <c r="F906" s="38" t="inlineStr">
        <is>
          <t>NFV  :TENDA ATACADO LTDA</t>
        </is>
      </c>
      <c r="G906" s="38" t="inlineStr">
        <is>
          <t>MARIO FRUGIS (01.04.01)</t>
        </is>
      </c>
      <c r="H906" s="38" t="inlineStr">
        <is>
          <t>NFV</t>
        </is>
      </c>
      <c r="I906" s="40" t="n">
        <v>152.66</v>
      </c>
      <c r="J906" s="40" t="n">
        <v>0</v>
      </c>
      <c r="K906" s="6">
        <f>I906-J906</f>
        <v/>
      </c>
      <c r="L906" s="6">
        <f>IF(H906="DISTRATO",0,I906)</f>
        <v/>
      </c>
    </row>
    <row r="907">
      <c r="A907" s="38" t="inlineStr">
        <is>
          <t>Conta corrente MFRUGIS09.XLS</t>
        </is>
      </c>
      <c r="B907" s="39" t="n">
        <v>39981</v>
      </c>
      <c r="C907" s="4" t="n">
        <v>39965</v>
      </c>
      <c r="D907" s="5">
        <f>YEAR(C907)</f>
        <v/>
      </c>
      <c r="E907" s="5">
        <f>MONTH(C907)</f>
        <v/>
      </c>
      <c r="F907" s="38" t="inlineStr">
        <is>
          <t>NFV  :TENDA ATACADO LTDA</t>
        </is>
      </c>
      <c r="G907" s="38" t="inlineStr">
        <is>
          <t>MARIO FRUGIS (01.04.01)</t>
        </is>
      </c>
      <c r="H907" s="38" t="inlineStr">
        <is>
          <t>NFV</t>
        </is>
      </c>
      <c r="I907" s="40" t="n">
        <v>145.45</v>
      </c>
      <c r="J907" s="40" t="n">
        <v>0</v>
      </c>
      <c r="K907" s="6">
        <f>I907-J907</f>
        <v/>
      </c>
      <c r="L907" s="6">
        <f>IF(H907="DISTRATO",0,I907)</f>
        <v/>
      </c>
    </row>
    <row r="908">
      <c r="A908" s="38" t="inlineStr">
        <is>
          <t>Conta corrente MFRUGIS09.XLS</t>
        </is>
      </c>
      <c r="B908" s="39" t="n">
        <v>39982</v>
      </c>
      <c r="C908" s="4" t="n">
        <v>39965</v>
      </c>
      <c r="D908" s="5">
        <f>YEAR(C908)</f>
        <v/>
      </c>
      <c r="E908" s="5">
        <f>MONTH(C908)</f>
        <v/>
      </c>
      <c r="F908" s="38" t="inlineStr">
        <is>
          <t>NFV  :TENDA ATACADO LTDA</t>
        </is>
      </c>
      <c r="G908" s="38" t="inlineStr">
        <is>
          <t>MARIO FRUGIS (01.04.01)</t>
        </is>
      </c>
      <c r="H908" s="38" t="inlineStr">
        <is>
          <t>NFV</t>
        </is>
      </c>
      <c r="I908" s="40" t="n">
        <v>151.08</v>
      </c>
      <c r="J908" s="40" t="n">
        <v>0</v>
      </c>
      <c r="K908" s="6">
        <f>I908-J908</f>
        <v/>
      </c>
      <c r="L908" s="6">
        <f>IF(H908="DISTRATO",0,I908)</f>
        <v/>
      </c>
    </row>
    <row r="909">
      <c r="A909" s="38" t="inlineStr">
        <is>
          <t>Conta corrente MFRUGIS09.XLS</t>
        </is>
      </c>
      <c r="B909" s="39" t="n">
        <v>39986</v>
      </c>
      <c r="C909" s="4" t="n">
        <v>39965</v>
      </c>
      <c r="D909" s="5">
        <f>YEAR(C909)</f>
        <v/>
      </c>
      <c r="E909" s="5">
        <f>MONTH(C909)</f>
        <v/>
      </c>
      <c r="F909" s="38" t="inlineStr">
        <is>
          <t>DEV  :TENDA ATACADO LTDA</t>
        </is>
      </c>
      <c r="G909" s="38" t="inlineStr">
        <is>
          <t>MARIO FRUGIS (01.04.01)</t>
        </is>
      </c>
      <c r="H909" s="38" t="inlineStr">
        <is>
          <t>DEVOLUCAO</t>
        </is>
      </c>
      <c r="I909" s="40" t="n">
        <v>-8.609999999999999</v>
      </c>
      <c r="J909" s="40" t="n">
        <v>0</v>
      </c>
      <c r="K909" s="6">
        <f>I909-J909</f>
        <v/>
      </c>
      <c r="L909" s="6">
        <f>IF(H909="DISTRATO",0,I909)</f>
        <v/>
      </c>
    </row>
    <row r="910">
      <c r="A910" s="38" t="inlineStr">
        <is>
          <t>Conta corrente MFRUGIS09.XLS</t>
        </is>
      </c>
      <c r="B910" s="39" t="n">
        <v>39986</v>
      </c>
      <c r="C910" s="4" t="n">
        <v>39965</v>
      </c>
      <c r="D910" s="5">
        <f>YEAR(C910)</f>
        <v/>
      </c>
      <c r="E910" s="5">
        <f>MONTH(C910)</f>
        <v/>
      </c>
      <c r="F910" s="38" t="inlineStr">
        <is>
          <t>NFV  :TENDA ATACADO LTDA</t>
        </is>
      </c>
      <c r="G910" s="38" t="inlineStr">
        <is>
          <t>MARIO FRUGIS (01.04.01)</t>
        </is>
      </c>
      <c r="H910" s="38" t="inlineStr">
        <is>
          <t>NFV</t>
        </is>
      </c>
      <c r="I910" s="40" t="n">
        <v>46.11</v>
      </c>
      <c r="J910" s="40" t="n">
        <v>0</v>
      </c>
      <c r="K910" s="6">
        <f>I910-J910</f>
        <v/>
      </c>
      <c r="L910" s="6">
        <f>IF(H910="DISTRATO",0,I910)</f>
        <v/>
      </c>
    </row>
    <row r="911">
      <c r="A911" s="38" t="inlineStr">
        <is>
          <t>Conta corrente MFRUGIS09.XLS</t>
        </is>
      </c>
      <c r="B911" s="39" t="n">
        <v>39987</v>
      </c>
      <c r="C911" s="4" t="n">
        <v>39965</v>
      </c>
      <c r="D911" s="5">
        <f>YEAR(C911)</f>
        <v/>
      </c>
      <c r="E911" s="5">
        <f>MONTH(C911)</f>
        <v/>
      </c>
      <c r="F911" s="38" t="inlineStr">
        <is>
          <t>NFV  :TENDA ATACADO LTDA</t>
        </is>
      </c>
      <c r="G911" s="38" t="inlineStr">
        <is>
          <t>MARIO FRUGIS (01.04.01)</t>
        </is>
      </c>
      <c r="H911" s="38" t="inlineStr">
        <is>
          <t>NFV</t>
        </is>
      </c>
      <c r="I911" s="40" t="n">
        <v>23.67</v>
      </c>
      <c r="J911" s="40" t="n">
        <v>0</v>
      </c>
      <c r="K911" s="6">
        <f>I911-J911</f>
        <v/>
      </c>
      <c r="L911" s="6">
        <f>IF(H911="DISTRATO",0,I911)</f>
        <v/>
      </c>
    </row>
    <row r="912">
      <c r="A912" s="38" t="inlineStr">
        <is>
          <t>Conta corrente MFRUGIS09.XLS</t>
        </is>
      </c>
      <c r="B912" s="39" t="n">
        <v>39987</v>
      </c>
      <c r="C912" s="4" t="n">
        <v>39965</v>
      </c>
      <c r="D912" s="5">
        <f>YEAR(C912)</f>
        <v/>
      </c>
      <c r="E912" s="5">
        <f>MONTH(C912)</f>
        <v/>
      </c>
      <c r="F912" s="38" t="inlineStr">
        <is>
          <t>NFV  :TENDA ATACADO LTDA</t>
        </is>
      </c>
      <c r="G912" s="38" t="inlineStr">
        <is>
          <t>MARIO FRUGIS (01.04.01)</t>
        </is>
      </c>
      <c r="H912" s="38" t="inlineStr">
        <is>
          <t>NFV</t>
        </is>
      </c>
      <c r="I912" s="40" t="n">
        <v>38.03</v>
      </c>
      <c r="J912" s="40" t="n">
        <v>0</v>
      </c>
      <c r="K912" s="6">
        <f>I912-J912</f>
        <v/>
      </c>
      <c r="L912" s="6">
        <f>IF(H912="DISTRATO",0,I912)</f>
        <v/>
      </c>
    </row>
    <row r="913">
      <c r="A913" s="38" t="inlineStr">
        <is>
          <t>Conta corrente MFRUGIS09.XLS</t>
        </is>
      </c>
      <c r="B913" s="39" t="n">
        <v>39987</v>
      </c>
      <c r="C913" s="4" t="n">
        <v>39965</v>
      </c>
      <c r="D913" s="5">
        <f>YEAR(C913)</f>
        <v/>
      </c>
      <c r="E913" s="5">
        <f>MONTH(C913)</f>
        <v/>
      </c>
      <c r="F913" s="38" t="inlineStr">
        <is>
          <t>NFV  :TENDA ATACADO LTDA</t>
        </is>
      </c>
      <c r="G913" s="38" t="inlineStr">
        <is>
          <t>MARIO FRUGIS (01.04.01)</t>
        </is>
      </c>
      <c r="H913" s="38" t="inlineStr">
        <is>
          <t>NFV</t>
        </is>
      </c>
      <c r="I913" s="40" t="n">
        <v>61.69</v>
      </c>
      <c r="J913" s="40" t="n">
        <v>0</v>
      </c>
      <c r="K913" s="6">
        <f>I913-J913</f>
        <v/>
      </c>
      <c r="L913" s="6">
        <f>IF(H913="DISTRATO",0,I913)</f>
        <v/>
      </c>
    </row>
    <row r="914">
      <c r="A914" s="38" t="inlineStr">
        <is>
          <t>Conta corrente MFRUGIS09.XLS</t>
        </is>
      </c>
      <c r="B914" s="39" t="n">
        <v>39987</v>
      </c>
      <c r="C914" s="4" t="n">
        <v>39965</v>
      </c>
      <c r="D914" s="5">
        <f>YEAR(C914)</f>
        <v/>
      </c>
      <c r="E914" s="5">
        <f>MONTH(C914)</f>
        <v/>
      </c>
      <c r="F914" s="38" t="inlineStr">
        <is>
          <t>NFV  :TENDA ATACADO LTDA</t>
        </is>
      </c>
      <c r="G914" s="38" t="inlineStr">
        <is>
          <t>MARIO FRUGIS (01.04.01)</t>
        </is>
      </c>
      <c r="H914" s="38" t="inlineStr">
        <is>
          <t>NFV</t>
        </is>
      </c>
      <c r="I914" s="40" t="n">
        <v>52.39</v>
      </c>
      <c r="J914" s="40" t="n">
        <v>0</v>
      </c>
      <c r="K914" s="6">
        <f>I914-J914</f>
        <v/>
      </c>
      <c r="L914" s="6">
        <f>IF(H914="DISTRATO",0,I914)</f>
        <v/>
      </c>
    </row>
    <row r="915">
      <c r="A915" s="38" t="inlineStr">
        <is>
          <t>Conta corrente MFRUGIS09.XLS</t>
        </is>
      </c>
      <c r="B915" s="39" t="n">
        <v>39989</v>
      </c>
      <c r="C915" s="4" t="n">
        <v>39965</v>
      </c>
      <c r="D915" s="5">
        <f>YEAR(C915)</f>
        <v/>
      </c>
      <c r="E915" s="5">
        <f>MONTH(C915)</f>
        <v/>
      </c>
      <c r="F915" s="38" t="inlineStr">
        <is>
          <t>NFV  :TENDA ATACADO LTDA</t>
        </is>
      </c>
      <c r="G915" s="38" t="inlineStr">
        <is>
          <t>MARIO FRUGIS (01.04.01)</t>
        </is>
      </c>
      <c r="H915" s="38" t="inlineStr">
        <is>
          <t>NFV</t>
        </is>
      </c>
      <c r="I915" s="40" t="n">
        <v>71.42</v>
      </c>
      <c r="J915" s="40" t="n">
        <v>0</v>
      </c>
      <c r="K915" s="6">
        <f>I915-J915</f>
        <v/>
      </c>
      <c r="L915" s="6">
        <f>IF(H915="DISTRATO",0,I915)</f>
        <v/>
      </c>
    </row>
    <row r="916">
      <c r="A916" s="38" t="inlineStr">
        <is>
          <t>Conta corrente MFRUGIS09.XLS</t>
        </is>
      </c>
      <c r="B916" s="39" t="n">
        <v>39989</v>
      </c>
      <c r="C916" s="4" t="n">
        <v>39965</v>
      </c>
      <c r="D916" s="5">
        <f>YEAR(C916)</f>
        <v/>
      </c>
      <c r="E916" s="5">
        <f>MONTH(C916)</f>
        <v/>
      </c>
      <c r="F916" s="38" t="inlineStr">
        <is>
          <t>NFV  :TENDA ATACADO LTDA</t>
        </is>
      </c>
      <c r="G916" s="38" t="inlineStr">
        <is>
          <t>MARIO FRUGIS (01.04.01)</t>
        </is>
      </c>
      <c r="H916" s="38" t="inlineStr">
        <is>
          <t>NFV</t>
        </is>
      </c>
      <c r="I916" s="40" t="n">
        <v>42.4</v>
      </c>
      <c r="J916" s="40" t="n">
        <v>0</v>
      </c>
      <c r="K916" s="6">
        <f>I916-J916</f>
        <v/>
      </c>
      <c r="L916" s="6">
        <f>IF(H916="DISTRATO",0,I916)</f>
        <v/>
      </c>
    </row>
    <row r="917">
      <c r="A917" s="38" t="inlineStr">
        <is>
          <t>Conta corrente MFRUGIS09.XLS</t>
        </is>
      </c>
      <c r="B917" s="39" t="n">
        <v>39989</v>
      </c>
      <c r="C917" s="4" t="n">
        <v>39965</v>
      </c>
      <c r="D917" s="5">
        <f>YEAR(C917)</f>
        <v/>
      </c>
      <c r="E917" s="5">
        <f>MONTH(C917)</f>
        <v/>
      </c>
      <c r="F917" s="38" t="inlineStr">
        <is>
          <t>NFV  :TENDA ATACADO LTDA</t>
        </is>
      </c>
      <c r="G917" s="38" t="inlineStr">
        <is>
          <t>MARIO FRUGIS (01.04.01)</t>
        </is>
      </c>
      <c r="H917" s="38" t="inlineStr">
        <is>
          <t>NFV</t>
        </is>
      </c>
      <c r="I917" s="40" t="n">
        <v>74.3</v>
      </c>
      <c r="J917" s="40" t="n">
        <v>0</v>
      </c>
      <c r="K917" s="6">
        <f>I917-J917</f>
        <v/>
      </c>
      <c r="L917" s="6">
        <f>IF(H917="DISTRATO",0,I917)</f>
        <v/>
      </c>
    </row>
    <row r="918">
      <c r="A918" s="38" t="inlineStr">
        <is>
          <t>Conta corrente MFRUGIS09.XLS</t>
        </is>
      </c>
      <c r="B918" s="39" t="n">
        <v>39989</v>
      </c>
      <c r="C918" s="4" t="n">
        <v>39965</v>
      </c>
      <c r="D918" s="5">
        <f>YEAR(C918)</f>
        <v/>
      </c>
      <c r="E918" s="5">
        <f>MONTH(C918)</f>
        <v/>
      </c>
      <c r="F918" s="38" t="inlineStr">
        <is>
          <t>NFV  :TENDA ATACADO LTDA</t>
        </is>
      </c>
      <c r="G918" s="38" t="inlineStr">
        <is>
          <t>MARIO FRUGIS (01.04.01)</t>
        </is>
      </c>
      <c r="H918" s="38" t="inlineStr">
        <is>
          <t>NFV</t>
        </is>
      </c>
      <c r="I918" s="40" t="n">
        <v>46.79</v>
      </c>
      <c r="J918" s="40" t="n">
        <v>0</v>
      </c>
      <c r="K918" s="6">
        <f>I918-J918</f>
        <v/>
      </c>
      <c r="L918" s="6">
        <f>IF(H918="DISTRATO",0,I918)</f>
        <v/>
      </c>
    </row>
    <row r="919">
      <c r="A919" s="38" t="inlineStr">
        <is>
          <t>Conta corrente MFRUGIS09.XLS</t>
        </is>
      </c>
      <c r="B919" s="39" t="n">
        <v>39989</v>
      </c>
      <c r="C919" s="4" t="n">
        <v>39965</v>
      </c>
      <c r="D919" s="5">
        <f>YEAR(C919)</f>
        <v/>
      </c>
      <c r="E919" s="5">
        <f>MONTH(C919)</f>
        <v/>
      </c>
      <c r="F919" s="38" t="inlineStr">
        <is>
          <t>NFV  :TENDA ATACADO LTDA</t>
        </is>
      </c>
      <c r="G919" s="38" t="inlineStr">
        <is>
          <t>MARIO FRUGIS (01.04.01)</t>
        </is>
      </c>
      <c r="H919" s="38" t="inlineStr">
        <is>
          <t>NFV</t>
        </is>
      </c>
      <c r="I919" s="40" t="n">
        <v>106.77</v>
      </c>
      <c r="J919" s="40" t="n">
        <v>0</v>
      </c>
      <c r="K919" s="6">
        <f>I919-J919</f>
        <v/>
      </c>
      <c r="L919" s="6">
        <f>IF(H919="DISTRATO",0,I919)</f>
        <v/>
      </c>
    </row>
    <row r="920">
      <c r="A920" s="38" t="inlineStr">
        <is>
          <t>Conta corrente MFRUGIS09.XLS</t>
        </is>
      </c>
      <c r="B920" s="39" t="n">
        <v>39989</v>
      </c>
      <c r="C920" s="4" t="n">
        <v>39965</v>
      </c>
      <c r="D920" s="5">
        <f>YEAR(C920)</f>
        <v/>
      </c>
      <c r="E920" s="5">
        <f>MONTH(C920)</f>
        <v/>
      </c>
      <c r="F920" s="38" t="inlineStr">
        <is>
          <t>NFV  :TENDA ATACADO LTDA</t>
        </is>
      </c>
      <c r="G920" s="38" t="inlineStr">
        <is>
          <t>MARIO FRUGIS (01.04.01)</t>
        </is>
      </c>
      <c r="H920" s="38" t="inlineStr">
        <is>
          <t>NFV</t>
        </is>
      </c>
      <c r="I920" s="40" t="n">
        <v>61.21</v>
      </c>
      <c r="J920" s="40" t="n">
        <v>0</v>
      </c>
      <c r="K920" s="6">
        <f>I920-J920</f>
        <v/>
      </c>
      <c r="L920" s="6">
        <f>IF(H920="DISTRATO",0,I920)</f>
        <v/>
      </c>
    </row>
    <row r="921">
      <c r="A921" s="38" t="inlineStr">
        <is>
          <t>Conta corrente MFRUGIS09.XLS</t>
        </is>
      </c>
      <c r="B921" s="39" t="n">
        <v>39989</v>
      </c>
      <c r="C921" s="4" t="n">
        <v>39965</v>
      </c>
      <c r="D921" s="5">
        <f>YEAR(C921)</f>
        <v/>
      </c>
      <c r="E921" s="5">
        <f>MONTH(C921)</f>
        <v/>
      </c>
      <c r="F921" s="38" t="inlineStr">
        <is>
          <t>NFV  :TENDA ATACADO LTDA</t>
        </is>
      </c>
      <c r="G921" s="38" t="inlineStr">
        <is>
          <t>MARIO FRUGIS (01.04.01)</t>
        </is>
      </c>
      <c r="H921" s="38" t="inlineStr">
        <is>
          <t>NFV</t>
        </is>
      </c>
      <c r="I921" s="40" t="n">
        <v>14.36</v>
      </c>
      <c r="J921" s="40" t="n">
        <v>0</v>
      </c>
      <c r="K921" s="6">
        <f>I921-J921</f>
        <v/>
      </c>
      <c r="L921" s="6">
        <f>IF(H921="DISTRATO",0,I921)</f>
        <v/>
      </c>
    </row>
    <row r="922">
      <c r="A922" s="38" t="inlineStr">
        <is>
          <t>Conta corrente MFRUGIS09.XLS</t>
        </is>
      </c>
      <c r="B922" s="39" t="n">
        <v>39990</v>
      </c>
      <c r="C922" s="4" t="n">
        <v>39965</v>
      </c>
      <c r="D922" s="5">
        <f>YEAR(C922)</f>
        <v/>
      </c>
      <c r="E922" s="5">
        <f>MONTH(C922)</f>
        <v/>
      </c>
      <c r="F922" s="38" t="inlineStr">
        <is>
          <t>BONIF:TENDA ATACADO LTDA</t>
        </is>
      </c>
      <c r="G922" s="38" t="inlineStr">
        <is>
          <t>MARIO FRUGIS (01.04.01)</t>
        </is>
      </c>
      <c r="H922" s="38" t="inlineStr">
        <is>
          <t>BONIFICACAO</t>
        </is>
      </c>
      <c r="I922" s="40" t="n">
        <v>-24.34</v>
      </c>
      <c r="J922" s="40" t="n">
        <v>0</v>
      </c>
      <c r="K922" s="6">
        <f>I922-J922</f>
        <v/>
      </c>
      <c r="L922" s="6">
        <f>IF(H922="DISTRATO",0,I922)</f>
        <v/>
      </c>
    </row>
    <row r="923">
      <c r="A923" s="38" t="inlineStr">
        <is>
          <t>Conta corrente MFRUGIS09.XLS</t>
        </is>
      </c>
      <c r="B923" s="39" t="n">
        <v>39990</v>
      </c>
      <c r="C923" s="4" t="n">
        <v>39965</v>
      </c>
      <c r="D923" s="5">
        <f>YEAR(C923)</f>
        <v/>
      </c>
      <c r="E923" s="5">
        <f>MONTH(C923)</f>
        <v/>
      </c>
      <c r="F923" s="38" t="inlineStr">
        <is>
          <t>BONIF:TENDA ATACADO LTDA</t>
        </is>
      </c>
      <c r="G923" s="38" t="inlineStr">
        <is>
          <t>MARIO FRUGIS (01.04.01)</t>
        </is>
      </c>
      <c r="H923" s="38" t="inlineStr">
        <is>
          <t>BONIFICACAO</t>
        </is>
      </c>
      <c r="I923" s="40" t="n">
        <v>-41.73</v>
      </c>
      <c r="J923" s="40" t="n">
        <v>0</v>
      </c>
      <c r="K923" s="6">
        <f>I923-J923</f>
        <v/>
      </c>
      <c r="L923" s="6">
        <f>IF(H923="DISTRATO",0,I923)</f>
        <v/>
      </c>
    </row>
    <row r="924">
      <c r="A924" s="38" t="inlineStr">
        <is>
          <t>Conta corrente MFRUGIS09.XLS</t>
        </is>
      </c>
      <c r="B924" s="39" t="n">
        <v>39990</v>
      </c>
      <c r="C924" s="4" t="n">
        <v>39965</v>
      </c>
      <c r="D924" s="5">
        <f>YEAR(C924)</f>
        <v/>
      </c>
      <c r="E924" s="5">
        <f>MONTH(C924)</f>
        <v/>
      </c>
      <c r="F924" s="38" t="inlineStr">
        <is>
          <t>NFV  :TENDA ATACADO LTDA</t>
        </is>
      </c>
      <c r="G924" s="38" t="inlineStr">
        <is>
          <t>MARIO FRUGIS (01.04.01)</t>
        </is>
      </c>
      <c r="H924" s="38" t="inlineStr">
        <is>
          <t>NFV</t>
        </is>
      </c>
      <c r="I924" s="40" t="n">
        <v>31.03</v>
      </c>
      <c r="J924" s="40" t="n">
        <v>0</v>
      </c>
      <c r="K924" s="6">
        <f>I924-J924</f>
        <v/>
      </c>
      <c r="L924" s="6">
        <f>IF(H924="DISTRATO",0,I924)</f>
        <v/>
      </c>
    </row>
    <row r="925">
      <c r="A925" s="38" t="inlineStr">
        <is>
          <t>Conta corrente MFRUGIS09.XLS</t>
        </is>
      </c>
      <c r="B925" s="39" t="n">
        <v>39990</v>
      </c>
      <c r="C925" s="4" t="n">
        <v>39965</v>
      </c>
      <c r="D925" s="5">
        <f>YEAR(C925)</f>
        <v/>
      </c>
      <c r="E925" s="5">
        <f>MONTH(C925)</f>
        <v/>
      </c>
      <c r="F925" s="38" t="inlineStr">
        <is>
          <t>NFV  :TENDA ATACADO LTDA</t>
        </is>
      </c>
      <c r="G925" s="38" t="inlineStr">
        <is>
          <t>MARIO FRUGIS (01.04.01)</t>
        </is>
      </c>
      <c r="H925" s="38" t="inlineStr">
        <is>
          <t>NFV</t>
        </is>
      </c>
      <c r="I925" s="40" t="n">
        <v>33.62</v>
      </c>
      <c r="J925" s="40" t="n">
        <v>0</v>
      </c>
      <c r="K925" s="6">
        <f>I925-J925</f>
        <v/>
      </c>
      <c r="L925" s="6">
        <f>IF(H925="DISTRATO",0,I925)</f>
        <v/>
      </c>
    </row>
    <row r="926">
      <c r="A926" s="38" t="inlineStr">
        <is>
          <t>Conta corrente MFRUGIS09.XLS</t>
        </is>
      </c>
      <c r="B926" s="39" t="n">
        <v>39990</v>
      </c>
      <c r="C926" s="4" t="n">
        <v>39965</v>
      </c>
      <c r="D926" s="5">
        <f>YEAR(C926)</f>
        <v/>
      </c>
      <c r="E926" s="5">
        <f>MONTH(C926)</f>
        <v/>
      </c>
      <c r="F926" s="38" t="inlineStr">
        <is>
          <t>NFV  :TENDA ATACADO LTDA</t>
        </is>
      </c>
      <c r="G926" s="38" t="inlineStr">
        <is>
          <t>MARIO FRUGIS (01.04.01)</t>
        </is>
      </c>
      <c r="H926" s="38" t="inlineStr">
        <is>
          <t>NFV</t>
        </is>
      </c>
      <c r="I926" s="40" t="n">
        <v>23.67</v>
      </c>
      <c r="J926" s="40" t="n">
        <v>0</v>
      </c>
      <c r="K926" s="6">
        <f>I926-J926</f>
        <v/>
      </c>
      <c r="L926" s="6">
        <f>IF(H926="DISTRATO",0,I926)</f>
        <v/>
      </c>
    </row>
    <row r="927">
      <c r="A927" s="38" t="inlineStr">
        <is>
          <t>Conta corrente MFRUGIS09.XLS</t>
        </is>
      </c>
      <c r="B927" s="39" t="n">
        <v>39990</v>
      </c>
      <c r="C927" s="4" t="n">
        <v>39965</v>
      </c>
      <c r="D927" s="5">
        <f>YEAR(C927)</f>
        <v/>
      </c>
      <c r="E927" s="5">
        <f>MONTH(C927)</f>
        <v/>
      </c>
      <c r="F927" s="38" t="inlineStr">
        <is>
          <t>NFV  :TENDA ATACADO LTDA</t>
        </is>
      </c>
      <c r="G927" s="38" t="inlineStr">
        <is>
          <t>MARIO FRUGIS (01.04.01)</t>
        </is>
      </c>
      <c r="H927" s="38" t="inlineStr">
        <is>
          <t>NFV</t>
        </is>
      </c>
      <c r="I927" s="40" t="n">
        <v>38.03</v>
      </c>
      <c r="J927" s="40" t="n">
        <v>0</v>
      </c>
      <c r="K927" s="6">
        <f>I927-J927</f>
        <v/>
      </c>
      <c r="L927" s="6">
        <f>IF(H927="DISTRATO",0,I927)</f>
        <v/>
      </c>
    </row>
    <row r="928">
      <c r="A928" s="38" t="inlineStr">
        <is>
          <t>Conta corrente MFRUGIS09.XLS</t>
        </is>
      </c>
      <c r="B928" s="39" t="n">
        <v>39990</v>
      </c>
      <c r="C928" s="4" t="n">
        <v>39965</v>
      </c>
      <c r="D928" s="5">
        <f>YEAR(C928)</f>
        <v/>
      </c>
      <c r="E928" s="5">
        <f>MONTH(C928)</f>
        <v/>
      </c>
      <c r="F928" s="38" t="inlineStr">
        <is>
          <t>NFV  :TENDA ATACADO LTDA</t>
        </is>
      </c>
      <c r="G928" s="38" t="inlineStr">
        <is>
          <t>MARIO FRUGIS (01.04.01)</t>
        </is>
      </c>
      <c r="H928" s="38" t="inlineStr">
        <is>
          <t>NFV</t>
        </is>
      </c>
      <c r="I928" s="40" t="n">
        <v>14.36</v>
      </c>
      <c r="J928" s="40" t="n">
        <v>0</v>
      </c>
      <c r="K928" s="6">
        <f>I928-J928</f>
        <v/>
      </c>
      <c r="L928" s="6">
        <f>IF(H928="DISTRATO",0,I928)</f>
        <v/>
      </c>
    </row>
    <row r="929">
      <c r="A929" s="38" t="inlineStr">
        <is>
          <t>Conta corrente MFRUGIS09.XLS</t>
        </is>
      </c>
      <c r="B929" s="39" t="n">
        <v>39990</v>
      </c>
      <c r="C929" s="4" t="n">
        <v>39965</v>
      </c>
      <c r="D929" s="5">
        <f>YEAR(C929)</f>
        <v/>
      </c>
      <c r="E929" s="5">
        <f>MONTH(C929)</f>
        <v/>
      </c>
      <c r="F929" s="38" t="inlineStr">
        <is>
          <t>NFV  :TENDA ATACADO LTDA</t>
        </is>
      </c>
      <c r="G929" s="38" t="inlineStr">
        <is>
          <t>MARIO FRUGIS (01.04.01)</t>
        </is>
      </c>
      <c r="H929" s="38" t="inlineStr">
        <is>
          <t>NFV</t>
        </is>
      </c>
      <c r="I929" s="40" t="n">
        <v>89.2</v>
      </c>
      <c r="J929" s="40" t="n">
        <v>0</v>
      </c>
      <c r="K929" s="6">
        <f>I929-J929</f>
        <v/>
      </c>
      <c r="L929" s="6">
        <f>IF(H929="DISTRATO",0,I929)</f>
        <v/>
      </c>
    </row>
    <row r="930">
      <c r="A930" s="38" t="inlineStr">
        <is>
          <t>Conta corrente MFRUGIS09.XLS</t>
        </is>
      </c>
      <c r="B930" s="39" t="n">
        <v>39990</v>
      </c>
      <c r="C930" s="4" t="n">
        <v>39965</v>
      </c>
      <c r="D930" s="5">
        <f>YEAR(C930)</f>
        <v/>
      </c>
      <c r="E930" s="5">
        <f>MONTH(C930)</f>
        <v/>
      </c>
      <c r="F930" s="38" t="inlineStr">
        <is>
          <t>NFV  :TENDA ATACADO LTDA</t>
        </is>
      </c>
      <c r="G930" s="38" t="inlineStr">
        <is>
          <t>MARIO FRUGIS (01.04.01)</t>
        </is>
      </c>
      <c r="H930" s="38" t="inlineStr">
        <is>
          <t>NFV</t>
        </is>
      </c>
      <c r="I930" s="40" t="n">
        <v>83.66</v>
      </c>
      <c r="J930" s="40" t="n">
        <v>0</v>
      </c>
      <c r="K930" s="6">
        <f>I930-J930</f>
        <v/>
      </c>
      <c r="L930" s="6">
        <f>IF(H930="DISTRATO",0,I930)</f>
        <v/>
      </c>
    </row>
    <row r="931">
      <c r="A931" s="38" t="inlineStr">
        <is>
          <t>Conta corrente MFRUGIS09.XLS</t>
        </is>
      </c>
      <c r="B931" s="39" t="n">
        <v>39990</v>
      </c>
      <c r="C931" s="4" t="n">
        <v>39965</v>
      </c>
      <c r="D931" s="5">
        <f>YEAR(C931)</f>
        <v/>
      </c>
      <c r="E931" s="5">
        <f>MONTH(C931)</f>
        <v/>
      </c>
      <c r="F931" s="38" t="inlineStr">
        <is>
          <t>NFV  :TENDA ATACADO LTDA</t>
        </is>
      </c>
      <c r="G931" s="38" t="inlineStr">
        <is>
          <t>MARIO FRUGIS (01.04.01)</t>
        </is>
      </c>
      <c r="H931" s="38" t="inlineStr">
        <is>
          <t>NFV</t>
        </is>
      </c>
      <c r="I931" s="40" t="n">
        <v>88.05</v>
      </c>
      <c r="J931" s="40" t="n">
        <v>0</v>
      </c>
      <c r="K931" s="6">
        <f>I931-J931</f>
        <v/>
      </c>
      <c r="L931" s="6">
        <f>IF(H931="DISTRATO",0,I931)</f>
        <v/>
      </c>
    </row>
    <row r="932">
      <c r="A932" s="38" t="inlineStr">
        <is>
          <t>Conta corrente MFRUGIS09.XLS</t>
        </is>
      </c>
      <c r="B932" s="39" t="n">
        <v>39990</v>
      </c>
      <c r="C932" s="4" t="n">
        <v>39965</v>
      </c>
      <c r="D932" s="5">
        <f>YEAR(C932)</f>
        <v/>
      </c>
      <c r="E932" s="5">
        <f>MONTH(C932)</f>
        <v/>
      </c>
      <c r="F932" s="38" t="inlineStr">
        <is>
          <t>NFV  :TENDA ATACADO LTDA</t>
        </is>
      </c>
      <c r="G932" s="38" t="inlineStr">
        <is>
          <t>MARIO FRUGIS (01.04.01)</t>
        </is>
      </c>
      <c r="H932" s="38" t="inlineStr">
        <is>
          <t>NFV</t>
        </is>
      </c>
      <c r="I932" s="40" t="n">
        <v>49.19</v>
      </c>
      <c r="J932" s="40" t="n">
        <v>0</v>
      </c>
      <c r="K932" s="6">
        <f>I932-J932</f>
        <v/>
      </c>
      <c r="L932" s="6">
        <f>IF(H932="DISTRATO",0,I932)</f>
        <v/>
      </c>
    </row>
    <row r="933">
      <c r="A933" s="38" t="inlineStr">
        <is>
          <t>Conta corrente MFRUGIS09.XLS</t>
        </is>
      </c>
      <c r="B933" s="39" t="n">
        <v>39990</v>
      </c>
      <c r="C933" s="4" t="n">
        <v>39965</v>
      </c>
      <c r="D933" s="5">
        <f>YEAR(C933)</f>
        <v/>
      </c>
      <c r="E933" s="5">
        <f>MONTH(C933)</f>
        <v/>
      </c>
      <c r="F933" s="38" t="inlineStr">
        <is>
          <t>NFV  :TENDA ATACADO LTDA</t>
        </is>
      </c>
      <c r="G933" s="38" t="inlineStr">
        <is>
          <t>MARIO FRUGIS (01.04.01)</t>
        </is>
      </c>
      <c r="H933" s="38" t="inlineStr">
        <is>
          <t>NFV</t>
        </is>
      </c>
      <c r="I933" s="40" t="n">
        <v>180.28</v>
      </c>
      <c r="J933" s="40" t="n">
        <v>0</v>
      </c>
      <c r="K933" s="6">
        <f>I933-J933</f>
        <v/>
      </c>
      <c r="L933" s="6">
        <f>IF(H933="DISTRATO",0,I933)</f>
        <v/>
      </c>
    </row>
    <row r="934">
      <c r="A934" s="38" t="inlineStr">
        <is>
          <t>Conta corrente MFRUGIS09.XLS</t>
        </is>
      </c>
      <c r="B934" s="39" t="n">
        <v>39994</v>
      </c>
      <c r="C934" s="4" t="n">
        <v>39965</v>
      </c>
      <c r="D934" s="5">
        <f>YEAR(C934)</f>
        <v/>
      </c>
      <c r="E934" s="5">
        <f>MONTH(C934)</f>
        <v/>
      </c>
      <c r="F934" s="38" t="inlineStr">
        <is>
          <t>DIFERENCA x 54.2% (rateio: part. Tenda no mês)</t>
        </is>
      </c>
      <c r="G934" s="38" t="inlineStr">
        <is>
          <t>MARIO FRUGIS (01.04.01)</t>
        </is>
      </c>
      <c r="H934" s="38" t="inlineStr">
        <is>
          <t>AJUSTE % RATEIO</t>
        </is>
      </c>
      <c r="I934" s="40" t="n">
        <v>30.59</v>
      </c>
      <c r="J934" s="40" t="n">
        <v>0</v>
      </c>
      <c r="K934" s="6">
        <f>I934-J934</f>
        <v/>
      </c>
      <c r="L934" s="6">
        <f>IF(H934="DISTRATO",0,I934)</f>
        <v/>
      </c>
    </row>
    <row r="935">
      <c r="A935" s="38" t="inlineStr">
        <is>
          <t>Conta corrente MFRUGIS09.XLS</t>
        </is>
      </c>
      <c r="B935" s="39" t="n">
        <v>40004</v>
      </c>
      <c r="C935" s="4" t="n">
        <v>39995</v>
      </c>
      <c r="D935" s="5">
        <f>YEAR(C935)</f>
        <v/>
      </c>
      <c r="E935" s="5">
        <f>MONTH(C935)</f>
        <v/>
      </c>
      <c r="F935" s="38" t="inlineStr">
        <is>
          <t>NFV  :TENDA ATACADO LTDA</t>
        </is>
      </c>
      <c r="G935" s="38" t="inlineStr">
        <is>
          <t>MARIO FRUGIS (01.04.01)</t>
        </is>
      </c>
      <c r="H935" s="38" t="inlineStr">
        <is>
          <t>NFV</t>
        </is>
      </c>
      <c r="I935" s="40" t="n">
        <v>116.19</v>
      </c>
      <c r="J935" s="40" t="n">
        <v>0</v>
      </c>
      <c r="K935" s="6">
        <f>I935-J935</f>
        <v/>
      </c>
      <c r="L935" s="6">
        <f>IF(H935="DISTRATO",0,I935)</f>
        <v/>
      </c>
    </row>
    <row r="936">
      <c r="A936" s="38" t="inlineStr">
        <is>
          <t>Conta corrente MFRUGIS09.XLS</t>
        </is>
      </c>
      <c r="B936" s="39" t="n">
        <v>40004</v>
      </c>
      <c r="C936" s="4" t="n">
        <v>39995</v>
      </c>
      <c r="D936" s="5">
        <f>YEAR(C936)</f>
        <v/>
      </c>
      <c r="E936" s="5">
        <f>MONTH(C936)</f>
        <v/>
      </c>
      <c r="F936" s="38" t="inlineStr">
        <is>
          <t>NFV  :TENDA ATACADO LTDA</t>
        </is>
      </c>
      <c r="G936" s="38" t="inlineStr">
        <is>
          <t>MARIO FRUGIS (01.04.01)</t>
        </is>
      </c>
      <c r="H936" s="38" t="inlineStr">
        <is>
          <t>NFV</t>
        </is>
      </c>
      <c r="I936" s="40" t="n">
        <v>140.77</v>
      </c>
      <c r="J936" s="40" t="n">
        <v>0</v>
      </c>
      <c r="K936" s="6">
        <f>I936-J936</f>
        <v/>
      </c>
      <c r="L936" s="6">
        <f>IF(H936="DISTRATO",0,I936)</f>
        <v/>
      </c>
    </row>
    <row r="937">
      <c r="A937" s="38" t="inlineStr">
        <is>
          <t>Conta corrente MFRUGIS09.XLS</t>
        </is>
      </c>
      <c r="B937" s="39" t="n">
        <v>40004</v>
      </c>
      <c r="C937" s="4" t="n">
        <v>39995</v>
      </c>
      <c r="D937" s="5">
        <f>YEAR(C937)</f>
        <v/>
      </c>
      <c r="E937" s="5">
        <f>MONTH(C937)</f>
        <v/>
      </c>
      <c r="F937" s="38" t="inlineStr">
        <is>
          <t>NFV  :TENDA ATACADO LTDA</t>
        </is>
      </c>
      <c r="G937" s="38" t="inlineStr">
        <is>
          <t>MARIO FRUGIS (01.04.01)</t>
        </is>
      </c>
      <c r="H937" s="38" t="inlineStr">
        <is>
          <t>NFV</t>
        </is>
      </c>
      <c r="I937" s="40" t="n">
        <v>42.71</v>
      </c>
      <c r="J937" s="40" t="n">
        <v>0</v>
      </c>
      <c r="K937" s="6">
        <f>I937-J937</f>
        <v/>
      </c>
      <c r="L937" s="6">
        <f>IF(H937="DISTRATO",0,I937)</f>
        <v/>
      </c>
    </row>
    <row r="938">
      <c r="A938" s="38" t="inlineStr">
        <is>
          <t>Conta corrente MFRUGIS09.XLS</t>
        </is>
      </c>
      <c r="B938" s="39" t="n">
        <v>40004</v>
      </c>
      <c r="C938" s="4" t="n">
        <v>39995</v>
      </c>
      <c r="D938" s="5">
        <f>YEAR(C938)</f>
        <v/>
      </c>
      <c r="E938" s="5">
        <f>MONTH(C938)</f>
        <v/>
      </c>
      <c r="F938" s="38" t="inlineStr">
        <is>
          <t>NFV  :TENDA ATACADO LTDA</t>
        </is>
      </c>
      <c r="G938" s="38" t="inlineStr">
        <is>
          <t>MARIO FRUGIS (01.04.01)</t>
        </is>
      </c>
      <c r="H938" s="38" t="inlineStr">
        <is>
          <t>NFV</t>
        </is>
      </c>
      <c r="I938" s="40" t="n">
        <v>119.71</v>
      </c>
      <c r="J938" s="40" t="n">
        <v>0</v>
      </c>
      <c r="K938" s="6">
        <f>I938-J938</f>
        <v/>
      </c>
      <c r="L938" s="6">
        <f>IF(H938="DISTRATO",0,I938)</f>
        <v/>
      </c>
    </row>
    <row r="939">
      <c r="A939" s="38" t="inlineStr">
        <is>
          <t>Conta corrente MFRUGIS09.XLS</t>
        </is>
      </c>
      <c r="B939" s="39" t="n">
        <v>40004</v>
      </c>
      <c r="C939" s="4" t="n">
        <v>39995</v>
      </c>
      <c r="D939" s="5">
        <f>YEAR(C939)</f>
        <v/>
      </c>
      <c r="E939" s="5">
        <f>MONTH(C939)</f>
        <v/>
      </c>
      <c r="F939" s="38" t="inlineStr">
        <is>
          <t>NFV  :TENDA ATACADO LTDA</t>
        </is>
      </c>
      <c r="G939" s="38" t="inlineStr">
        <is>
          <t>MARIO FRUGIS (01.04.01)</t>
        </is>
      </c>
      <c r="H939" s="38" t="inlineStr">
        <is>
          <t>NFV</t>
        </is>
      </c>
      <c r="I939" s="40" t="n">
        <v>102</v>
      </c>
      <c r="J939" s="40" t="n">
        <v>0</v>
      </c>
      <c r="K939" s="6">
        <f>I939-J939</f>
        <v/>
      </c>
      <c r="L939" s="6">
        <f>IF(H939="DISTRATO",0,I939)</f>
        <v/>
      </c>
    </row>
    <row r="940">
      <c r="A940" s="38" t="inlineStr">
        <is>
          <t>Conta corrente MFRUGIS09.XLS</t>
        </is>
      </c>
      <c r="B940" s="39" t="n">
        <v>40004</v>
      </c>
      <c r="C940" s="4" t="n">
        <v>39995</v>
      </c>
      <c r="D940" s="5">
        <f>YEAR(C940)</f>
        <v/>
      </c>
      <c r="E940" s="5">
        <f>MONTH(C940)</f>
        <v/>
      </c>
      <c r="F940" s="38" t="inlineStr">
        <is>
          <t>NFV  :TENDA ATACADO LTDA</t>
        </is>
      </c>
      <c r="G940" s="38" t="inlineStr">
        <is>
          <t>MARIO FRUGIS (01.04.01)</t>
        </is>
      </c>
      <c r="H940" s="38" t="inlineStr">
        <is>
          <t>NFV</t>
        </is>
      </c>
      <c r="I940" s="40" t="n">
        <v>95.72</v>
      </c>
      <c r="J940" s="40" t="n">
        <v>0</v>
      </c>
      <c r="K940" s="6">
        <f>I940-J940</f>
        <v/>
      </c>
      <c r="L940" s="6">
        <f>IF(H940="DISTRATO",0,I940)</f>
        <v/>
      </c>
    </row>
    <row r="941">
      <c r="A941" s="38" t="inlineStr">
        <is>
          <t>Conta corrente MFRUGIS09.XLS</t>
        </is>
      </c>
      <c r="B941" s="39" t="n">
        <v>40004</v>
      </c>
      <c r="C941" s="4" t="n">
        <v>39995</v>
      </c>
      <c r="D941" s="5">
        <f>YEAR(C941)</f>
        <v/>
      </c>
      <c r="E941" s="5">
        <f>MONTH(C941)</f>
        <v/>
      </c>
      <c r="F941" s="38" t="inlineStr">
        <is>
          <t>NFV  :TENDA ATACADO LTDA</t>
        </is>
      </c>
      <c r="G941" s="38" t="inlineStr">
        <is>
          <t>MARIO FRUGIS (01.04.01)</t>
        </is>
      </c>
      <c r="H941" s="38" t="inlineStr">
        <is>
          <t>NFV</t>
        </is>
      </c>
      <c r="I941" s="40" t="n">
        <v>126.01</v>
      </c>
      <c r="J941" s="40" t="n">
        <v>0</v>
      </c>
      <c r="K941" s="6">
        <f>I941-J941</f>
        <v/>
      </c>
      <c r="L941" s="6">
        <f>IF(H941="DISTRATO",0,I941)</f>
        <v/>
      </c>
    </row>
    <row r="942">
      <c r="A942" s="38" t="inlineStr">
        <is>
          <t>Conta corrente MFRUGIS09.XLS</t>
        </is>
      </c>
      <c r="B942" s="39" t="n">
        <v>40004</v>
      </c>
      <c r="C942" s="4" t="n">
        <v>39995</v>
      </c>
      <c r="D942" s="5">
        <f>YEAR(C942)</f>
        <v/>
      </c>
      <c r="E942" s="5">
        <f>MONTH(C942)</f>
        <v/>
      </c>
      <c r="F942" s="38" t="inlineStr">
        <is>
          <t>NFV  :TENDA ATACADO LTDA</t>
        </is>
      </c>
      <c r="G942" s="38" t="inlineStr">
        <is>
          <t>MARIO FRUGIS (01.04.01)</t>
        </is>
      </c>
      <c r="H942" s="38" t="inlineStr">
        <is>
          <t>NFV</t>
        </is>
      </c>
      <c r="I942" s="40" t="n">
        <v>103.32</v>
      </c>
      <c r="J942" s="40" t="n">
        <v>0</v>
      </c>
      <c r="K942" s="6">
        <f>I942-J942</f>
        <v/>
      </c>
      <c r="L942" s="6">
        <f>IF(H942="DISTRATO",0,I942)</f>
        <v/>
      </c>
    </row>
    <row r="943">
      <c r="A943" s="38" t="inlineStr">
        <is>
          <t>Conta corrente MFRUGIS09.XLS</t>
        </is>
      </c>
      <c r="B943" s="39" t="n">
        <v>40004</v>
      </c>
      <c r="C943" s="4" t="n">
        <v>39995</v>
      </c>
      <c r="D943" s="5">
        <f>YEAR(C943)</f>
        <v/>
      </c>
      <c r="E943" s="5">
        <f>MONTH(C943)</f>
        <v/>
      </c>
      <c r="F943" s="38" t="inlineStr">
        <is>
          <t>NFV  :TENDA ATACADO LTDA</t>
        </is>
      </c>
      <c r="G943" s="38" t="inlineStr">
        <is>
          <t>MARIO FRUGIS (01.04.01)</t>
        </is>
      </c>
      <c r="H943" s="38" t="inlineStr">
        <is>
          <t>NFV</t>
        </is>
      </c>
      <c r="I943" s="40" t="n">
        <v>61.51</v>
      </c>
      <c r="J943" s="40" t="n">
        <v>0</v>
      </c>
      <c r="K943" s="6">
        <f>I943-J943</f>
        <v/>
      </c>
      <c r="L943" s="6">
        <f>IF(H943="DISTRATO",0,I943)</f>
        <v/>
      </c>
    </row>
    <row r="944">
      <c r="A944" s="38" t="inlineStr">
        <is>
          <t>Conta corrente MFRUGIS09.XLS</t>
        </is>
      </c>
      <c r="B944" s="39" t="n">
        <v>40004</v>
      </c>
      <c r="C944" s="4" t="n">
        <v>39995</v>
      </c>
      <c r="D944" s="5">
        <f>YEAR(C944)</f>
        <v/>
      </c>
      <c r="E944" s="5">
        <f>MONTH(C944)</f>
        <v/>
      </c>
      <c r="F944" s="38" t="inlineStr">
        <is>
          <t>NFV  :TENDA ATACADO LTDA</t>
        </is>
      </c>
      <c r="G944" s="38" t="inlineStr">
        <is>
          <t>MARIO FRUGIS (01.04.01)</t>
        </is>
      </c>
      <c r="H944" s="38" t="inlineStr">
        <is>
          <t>NFV</t>
        </is>
      </c>
      <c r="I944" s="40" t="n">
        <v>66.59</v>
      </c>
      <c r="J944" s="40" t="n">
        <v>0</v>
      </c>
      <c r="K944" s="6">
        <f>I944-J944</f>
        <v/>
      </c>
      <c r="L944" s="6">
        <f>IF(H944="DISTRATO",0,I944)</f>
        <v/>
      </c>
    </row>
    <row r="945">
      <c r="A945" s="38" t="inlineStr">
        <is>
          <t>Conta corrente MFRUGIS09.XLS</t>
        </is>
      </c>
      <c r="B945" s="39" t="n">
        <v>40004</v>
      </c>
      <c r="C945" s="4" t="n">
        <v>39995</v>
      </c>
      <c r="D945" s="5">
        <f>YEAR(C945)</f>
        <v/>
      </c>
      <c r="E945" s="5">
        <f>MONTH(C945)</f>
        <v/>
      </c>
      <c r="F945" s="38" t="inlineStr">
        <is>
          <t>NFV  :TENDA ATACADO LTDA</t>
        </is>
      </c>
      <c r="G945" s="38" t="inlineStr">
        <is>
          <t>MARIO FRUGIS (01.04.01)</t>
        </is>
      </c>
      <c r="H945" s="38" t="inlineStr">
        <is>
          <t>NFV</t>
        </is>
      </c>
      <c r="I945" s="40" t="n">
        <v>105.37</v>
      </c>
      <c r="J945" s="40" t="n">
        <v>0</v>
      </c>
      <c r="K945" s="6">
        <f>I945-J945</f>
        <v/>
      </c>
      <c r="L945" s="6">
        <f>IF(H945="DISTRATO",0,I945)</f>
        <v/>
      </c>
    </row>
    <row r="946">
      <c r="A946" s="38" t="inlineStr">
        <is>
          <t>Conta corrente MFRUGIS09.XLS</t>
        </is>
      </c>
      <c r="B946" s="39" t="n">
        <v>40008</v>
      </c>
      <c r="C946" s="4" t="n">
        <v>39995</v>
      </c>
      <c r="D946" s="5">
        <f>YEAR(C946)</f>
        <v/>
      </c>
      <c r="E946" s="5">
        <f>MONTH(C946)</f>
        <v/>
      </c>
      <c r="F946" s="38" t="inlineStr">
        <is>
          <t>NFV  :TENDA ATACADO LTDA</t>
        </is>
      </c>
      <c r="G946" s="38" t="inlineStr">
        <is>
          <t>MARIO FRUGIS (01.04.01)</t>
        </is>
      </c>
      <c r="H946" s="38" t="inlineStr">
        <is>
          <t>NFV</t>
        </is>
      </c>
      <c r="I946" s="40" t="n">
        <v>22.68</v>
      </c>
      <c r="J946" s="40" t="n">
        <v>0</v>
      </c>
      <c r="K946" s="6">
        <f>I946-J946</f>
        <v/>
      </c>
      <c r="L946" s="6">
        <f>IF(H946="DISTRATO",0,I946)</f>
        <v/>
      </c>
    </row>
    <row r="947">
      <c r="A947" s="38" t="inlineStr">
        <is>
          <t>Conta corrente MFRUGIS09.XLS</t>
        </is>
      </c>
      <c r="B947" s="39" t="n">
        <v>40017</v>
      </c>
      <c r="C947" s="4" t="n">
        <v>39995</v>
      </c>
      <c r="D947" s="5">
        <f>YEAR(C947)</f>
        <v/>
      </c>
      <c r="E947" s="5">
        <f>MONTH(C947)</f>
        <v/>
      </c>
      <c r="F947" s="38" t="inlineStr">
        <is>
          <t>NFV  :TENDA ATACADO LTDA</t>
        </is>
      </c>
      <c r="G947" s="38" t="inlineStr">
        <is>
          <t>MARIO FRUGIS (01.04.01)</t>
        </is>
      </c>
      <c r="H947" s="38" t="inlineStr">
        <is>
          <t>NFV</t>
        </is>
      </c>
      <c r="I947" s="40" t="n">
        <v>90.92</v>
      </c>
      <c r="J947" s="40" t="n">
        <v>0</v>
      </c>
      <c r="K947" s="6">
        <f>I947-J947</f>
        <v/>
      </c>
      <c r="L947" s="6">
        <f>IF(H947="DISTRATO",0,I947)</f>
        <v/>
      </c>
    </row>
    <row r="948">
      <c r="A948" s="38" t="inlineStr">
        <is>
          <t>Conta corrente MFRUGIS09.XLS</t>
        </is>
      </c>
      <c r="B948" s="39" t="n">
        <v>40017</v>
      </c>
      <c r="C948" s="4" t="n">
        <v>39995</v>
      </c>
      <c r="D948" s="5">
        <f>YEAR(C948)</f>
        <v/>
      </c>
      <c r="E948" s="5">
        <f>MONTH(C948)</f>
        <v/>
      </c>
      <c r="F948" s="38" t="inlineStr">
        <is>
          <t>NFV  :TENDA ATACADO LTDA</t>
        </is>
      </c>
      <c r="G948" s="38" t="inlineStr">
        <is>
          <t>MARIO FRUGIS (01.04.01)</t>
        </is>
      </c>
      <c r="H948" s="38" t="inlineStr">
        <is>
          <t>NFV</t>
        </is>
      </c>
      <c r="I948" s="40" t="n">
        <v>76.93000000000001</v>
      </c>
      <c r="J948" s="40" t="n">
        <v>0</v>
      </c>
      <c r="K948" s="6">
        <f>I948-J948</f>
        <v/>
      </c>
      <c r="L948" s="6">
        <f>IF(H948="DISTRATO",0,I948)</f>
        <v/>
      </c>
    </row>
    <row r="949">
      <c r="A949" s="38" t="inlineStr">
        <is>
          <t>Conta corrente MFRUGIS09.XLS</t>
        </is>
      </c>
      <c r="B949" s="39" t="n">
        <v>40017</v>
      </c>
      <c r="C949" s="4" t="n">
        <v>39995</v>
      </c>
      <c r="D949" s="5">
        <f>YEAR(C949)</f>
        <v/>
      </c>
      <c r="E949" s="5">
        <f>MONTH(C949)</f>
        <v/>
      </c>
      <c r="F949" s="38" t="inlineStr">
        <is>
          <t>NFV  :TENDA ATACADO LTDA</t>
        </is>
      </c>
      <c r="G949" s="38" t="inlineStr">
        <is>
          <t>MARIO FRUGIS (01.04.01)</t>
        </is>
      </c>
      <c r="H949" s="38" t="inlineStr">
        <is>
          <t>NFV</t>
        </is>
      </c>
      <c r="I949" s="40" t="n">
        <v>58.67</v>
      </c>
      <c r="J949" s="40" t="n">
        <v>0</v>
      </c>
      <c r="K949" s="6">
        <f>I949-J949</f>
        <v/>
      </c>
      <c r="L949" s="6">
        <f>IF(H949="DISTRATO",0,I949)</f>
        <v/>
      </c>
    </row>
    <row r="950">
      <c r="A950" s="38" t="inlineStr">
        <is>
          <t>Conta corrente MFRUGIS09.XLS</t>
        </is>
      </c>
      <c r="B950" s="39" t="n">
        <v>40017</v>
      </c>
      <c r="C950" s="4" t="n">
        <v>39995</v>
      </c>
      <c r="D950" s="5">
        <f>YEAR(C950)</f>
        <v/>
      </c>
      <c r="E950" s="5">
        <f>MONTH(C950)</f>
        <v/>
      </c>
      <c r="F950" s="38" t="inlineStr">
        <is>
          <t>NFV  :TENDA ATACADO LTDA</t>
        </is>
      </c>
      <c r="G950" s="38" t="inlineStr">
        <is>
          <t>MARIO FRUGIS (01.04.01)</t>
        </is>
      </c>
      <c r="H950" s="38" t="inlineStr">
        <is>
          <t>NFV</t>
        </is>
      </c>
      <c r="I950" s="40" t="n">
        <v>71.23999999999999</v>
      </c>
      <c r="J950" s="40" t="n">
        <v>0</v>
      </c>
      <c r="K950" s="6">
        <f>I950-J950</f>
        <v/>
      </c>
      <c r="L950" s="6">
        <f>IF(H950="DISTRATO",0,I950)</f>
        <v/>
      </c>
    </row>
    <row r="951">
      <c r="A951" s="38" t="inlineStr">
        <is>
          <t>Conta corrente MFRUGIS09.XLS</t>
        </is>
      </c>
      <c r="B951" s="39" t="n">
        <v>40018</v>
      </c>
      <c r="C951" s="4" t="n">
        <v>39995</v>
      </c>
      <c r="D951" s="5">
        <f>YEAR(C951)</f>
        <v/>
      </c>
      <c r="E951" s="5">
        <f>MONTH(C951)</f>
        <v/>
      </c>
      <c r="F951" s="38" t="inlineStr">
        <is>
          <t>NFV  :TENDA ATACADO LTDA</t>
        </is>
      </c>
      <c r="G951" s="38" t="inlineStr">
        <is>
          <t>MARIO FRUGIS (01.04.01)</t>
        </is>
      </c>
      <c r="H951" s="38" t="inlineStr">
        <is>
          <t>NFV</t>
        </is>
      </c>
      <c r="I951" s="40" t="n">
        <v>153.09</v>
      </c>
      <c r="J951" s="40" t="n">
        <v>0</v>
      </c>
      <c r="K951" s="6">
        <f>I951-J951</f>
        <v/>
      </c>
      <c r="L951" s="6">
        <f>IF(H951="DISTRATO",0,I951)</f>
        <v/>
      </c>
    </row>
    <row r="952">
      <c r="A952" s="38" t="inlineStr">
        <is>
          <t>Conta corrente MFRUGIS09.XLS</t>
        </is>
      </c>
      <c r="B952" s="39" t="n">
        <v>40018</v>
      </c>
      <c r="C952" s="4" t="n">
        <v>39995</v>
      </c>
      <c r="D952" s="5">
        <f>YEAR(C952)</f>
        <v/>
      </c>
      <c r="E952" s="5">
        <f>MONTH(C952)</f>
        <v/>
      </c>
      <c r="F952" s="38" t="inlineStr">
        <is>
          <t>NFV  :TENDA ATACADO LTDA</t>
        </is>
      </c>
      <c r="G952" s="38" t="inlineStr">
        <is>
          <t>MARIO FRUGIS (01.04.01)</t>
        </is>
      </c>
      <c r="H952" s="38" t="inlineStr">
        <is>
          <t>NFV</t>
        </is>
      </c>
      <c r="I952" s="40" t="n">
        <v>158.31</v>
      </c>
      <c r="J952" s="40" t="n">
        <v>0</v>
      </c>
      <c r="K952" s="6">
        <f>I952-J952</f>
        <v/>
      </c>
      <c r="L952" s="6">
        <f>IF(H952="DISTRATO",0,I952)</f>
        <v/>
      </c>
    </row>
    <row r="953">
      <c r="A953" s="38" t="inlineStr">
        <is>
          <t>Conta corrente MFRUGIS09.XLS</t>
        </is>
      </c>
      <c r="B953" s="39" t="n">
        <v>40018</v>
      </c>
      <c r="C953" s="4" t="n">
        <v>39995</v>
      </c>
      <c r="D953" s="5">
        <f>YEAR(C953)</f>
        <v/>
      </c>
      <c r="E953" s="5">
        <f>MONTH(C953)</f>
        <v/>
      </c>
      <c r="F953" s="38" t="inlineStr">
        <is>
          <t>NFV  :TENDA ATACADO LTDA</t>
        </is>
      </c>
      <c r="G953" s="38" t="inlineStr">
        <is>
          <t>MARIO FRUGIS (01.04.01)</t>
        </is>
      </c>
      <c r="H953" s="38" t="inlineStr">
        <is>
          <t>NFV</t>
        </is>
      </c>
      <c r="I953" s="40" t="n">
        <v>156.68</v>
      </c>
      <c r="J953" s="40" t="n">
        <v>0</v>
      </c>
      <c r="K953" s="6">
        <f>I953-J953</f>
        <v/>
      </c>
      <c r="L953" s="6">
        <f>IF(H953="DISTRATO",0,I953)</f>
        <v/>
      </c>
    </row>
    <row r="954">
      <c r="A954" s="38" t="inlineStr">
        <is>
          <t>Conta corrente MFRUGIS09.XLS</t>
        </is>
      </c>
      <c r="B954" s="39" t="n">
        <v>40018</v>
      </c>
      <c r="C954" s="4" t="n">
        <v>39995</v>
      </c>
      <c r="D954" s="5">
        <f>YEAR(C954)</f>
        <v/>
      </c>
      <c r="E954" s="5">
        <f>MONTH(C954)</f>
        <v/>
      </c>
      <c r="F954" s="38" t="inlineStr">
        <is>
          <t>NFV  :TENDA ATACADO LTDA</t>
        </is>
      </c>
      <c r="G954" s="38" t="inlineStr">
        <is>
          <t>MARIO FRUGIS (01.04.01)</t>
        </is>
      </c>
      <c r="H954" s="38" t="inlineStr">
        <is>
          <t>NFV</t>
        </is>
      </c>
      <c r="I954" s="40" t="n">
        <v>156.45</v>
      </c>
      <c r="J954" s="40" t="n">
        <v>0</v>
      </c>
      <c r="K954" s="6">
        <f>I954-J954</f>
        <v/>
      </c>
      <c r="L954" s="6">
        <f>IF(H954="DISTRATO",0,I954)</f>
        <v/>
      </c>
    </row>
    <row r="955">
      <c r="A955" s="38" t="inlineStr">
        <is>
          <t>Conta corrente MFRUGIS09.XLS</t>
        </is>
      </c>
      <c r="B955" s="39" t="n">
        <v>40018</v>
      </c>
      <c r="C955" s="4" t="n">
        <v>39995</v>
      </c>
      <c r="D955" s="5">
        <f>YEAR(C955)</f>
        <v/>
      </c>
      <c r="E955" s="5">
        <f>MONTH(C955)</f>
        <v/>
      </c>
      <c r="F955" s="38" t="inlineStr">
        <is>
          <t>NFV  :TENDA ATACADO LTDA</t>
        </is>
      </c>
      <c r="G955" s="38" t="inlineStr">
        <is>
          <t>MARIO FRUGIS (01.04.01)</t>
        </is>
      </c>
      <c r="H955" s="38" t="inlineStr">
        <is>
          <t>NFV</t>
        </is>
      </c>
      <c r="I955" s="40" t="n">
        <v>144.74</v>
      </c>
      <c r="J955" s="40" t="n">
        <v>0</v>
      </c>
      <c r="K955" s="6">
        <f>I955-J955</f>
        <v/>
      </c>
      <c r="L955" s="6">
        <f>IF(H955="DISTRATO",0,I955)</f>
        <v/>
      </c>
    </row>
    <row r="956">
      <c r="A956" s="38" t="inlineStr">
        <is>
          <t>Conta corrente MFRUGIS09.XLS</t>
        </is>
      </c>
      <c r="B956" s="39" t="n">
        <v>40018</v>
      </c>
      <c r="C956" s="4" t="n">
        <v>39995</v>
      </c>
      <c r="D956" s="5">
        <f>YEAR(C956)</f>
        <v/>
      </c>
      <c r="E956" s="5">
        <f>MONTH(C956)</f>
        <v/>
      </c>
      <c r="F956" s="38" t="inlineStr">
        <is>
          <t>NFV  :TENDA ATACADO LTDA</t>
        </is>
      </c>
      <c r="G956" s="38" t="inlineStr">
        <is>
          <t>MARIO FRUGIS (01.04.01)</t>
        </is>
      </c>
      <c r="H956" s="38" t="inlineStr">
        <is>
          <t>NFV</t>
        </is>
      </c>
      <c r="I956" s="40" t="n">
        <v>61.53</v>
      </c>
      <c r="J956" s="40" t="n">
        <v>0</v>
      </c>
      <c r="K956" s="6">
        <f>I956-J956</f>
        <v/>
      </c>
      <c r="L956" s="6">
        <f>IF(H956="DISTRATO",0,I956)</f>
        <v/>
      </c>
    </row>
    <row r="957">
      <c r="A957" s="38" t="inlineStr">
        <is>
          <t>Conta corrente MFRUGIS09.XLS</t>
        </is>
      </c>
      <c r="B957" s="39" t="n">
        <v>40018</v>
      </c>
      <c r="C957" s="4" t="n">
        <v>39995</v>
      </c>
      <c r="D957" s="5">
        <f>YEAR(C957)</f>
        <v/>
      </c>
      <c r="E957" s="5">
        <f>MONTH(C957)</f>
        <v/>
      </c>
      <c r="F957" s="38" t="inlineStr">
        <is>
          <t>NFV  :TENDA ATACADO LTDA</t>
        </is>
      </c>
      <c r="G957" s="38" t="inlineStr">
        <is>
          <t>MARIO FRUGIS (01.04.01)</t>
        </is>
      </c>
      <c r="H957" s="38" t="inlineStr">
        <is>
          <t>NFV</t>
        </is>
      </c>
      <c r="I957" s="40" t="n">
        <v>52.33</v>
      </c>
      <c r="J957" s="40" t="n">
        <v>0</v>
      </c>
      <c r="K957" s="6">
        <f>I957-J957</f>
        <v/>
      </c>
      <c r="L957" s="6">
        <f>IF(H957="DISTRATO",0,I957)</f>
        <v/>
      </c>
    </row>
    <row r="958">
      <c r="A958" s="38" t="inlineStr">
        <is>
          <t>Conta corrente MFRUGIS09.XLS</t>
        </is>
      </c>
      <c r="B958" s="39" t="n">
        <v>40018</v>
      </c>
      <c r="C958" s="4" t="n">
        <v>39995</v>
      </c>
      <c r="D958" s="5">
        <f>YEAR(C958)</f>
        <v/>
      </c>
      <c r="E958" s="5">
        <f>MONTH(C958)</f>
        <v/>
      </c>
      <c r="F958" s="38" t="inlineStr">
        <is>
          <t>NFV  :TENDA ATACADO LTDA</t>
        </is>
      </c>
      <c r="G958" s="38" t="inlineStr">
        <is>
          <t>MARIO FRUGIS (01.04.01)</t>
        </is>
      </c>
      <c r="H958" s="38" t="inlineStr">
        <is>
          <t>NFV</t>
        </is>
      </c>
      <c r="I958" s="40" t="n">
        <v>61.69</v>
      </c>
      <c r="J958" s="40" t="n">
        <v>0</v>
      </c>
      <c r="K958" s="6">
        <f>I958-J958</f>
        <v/>
      </c>
      <c r="L958" s="6">
        <f>IF(H958="DISTRATO",0,I958)</f>
        <v/>
      </c>
    </row>
    <row r="959">
      <c r="A959" s="38" t="inlineStr">
        <is>
          <t>Conta corrente MFRUGIS09.XLS</t>
        </is>
      </c>
      <c r="B959" s="39" t="n">
        <v>40018</v>
      </c>
      <c r="C959" s="4" t="n">
        <v>39995</v>
      </c>
      <c r="D959" s="5">
        <f>YEAR(C959)</f>
        <v/>
      </c>
      <c r="E959" s="5">
        <f>MONTH(C959)</f>
        <v/>
      </c>
      <c r="F959" s="38" t="inlineStr">
        <is>
          <t>NFV  :TENDA ATACADO LTDA</t>
        </is>
      </c>
      <c r="G959" s="38" t="inlineStr">
        <is>
          <t>MARIO FRUGIS (01.04.01)</t>
        </is>
      </c>
      <c r="H959" s="38" t="inlineStr">
        <is>
          <t>NFV</t>
        </is>
      </c>
      <c r="I959" s="40" t="n">
        <v>64.16</v>
      </c>
      <c r="J959" s="40" t="n">
        <v>0</v>
      </c>
      <c r="K959" s="6">
        <f>I959-J959</f>
        <v/>
      </c>
      <c r="L959" s="6">
        <f>IF(H959="DISTRATO",0,I959)</f>
        <v/>
      </c>
    </row>
    <row r="960">
      <c r="A960" s="38" t="inlineStr">
        <is>
          <t>Conta corrente MFRUGIS09.XLS</t>
        </is>
      </c>
      <c r="B960" s="39" t="n">
        <v>40018</v>
      </c>
      <c r="C960" s="4" t="n">
        <v>39995</v>
      </c>
      <c r="D960" s="5">
        <f>YEAR(C960)</f>
        <v/>
      </c>
      <c r="E960" s="5">
        <f>MONTH(C960)</f>
        <v/>
      </c>
      <c r="F960" s="38" t="inlineStr">
        <is>
          <t>NFV  :TENDA ATACADO LTDA</t>
        </is>
      </c>
      <c r="G960" s="38" t="inlineStr">
        <is>
          <t>MARIO FRUGIS (01.04.01)</t>
        </is>
      </c>
      <c r="H960" s="38" t="inlineStr">
        <is>
          <t>NFV</t>
        </is>
      </c>
      <c r="I960" s="40" t="n">
        <v>47.33</v>
      </c>
      <c r="J960" s="40" t="n">
        <v>0</v>
      </c>
      <c r="K960" s="6">
        <f>I960-J960</f>
        <v/>
      </c>
      <c r="L960" s="6">
        <f>IF(H960="DISTRATO",0,I960)</f>
        <v/>
      </c>
    </row>
    <row r="961">
      <c r="A961" s="38" t="inlineStr">
        <is>
          <t>Conta corrente MFRUGIS09.XLS</t>
        </is>
      </c>
      <c r="B961" s="39" t="n">
        <v>40018</v>
      </c>
      <c r="C961" s="4" t="n">
        <v>39995</v>
      </c>
      <c r="D961" s="5">
        <f>YEAR(C961)</f>
        <v/>
      </c>
      <c r="E961" s="5">
        <f>MONTH(C961)</f>
        <v/>
      </c>
      <c r="F961" s="38" t="inlineStr">
        <is>
          <t>NFV  :TENDA ATACADO LTDA</t>
        </is>
      </c>
      <c r="G961" s="38" t="inlineStr">
        <is>
          <t>MARIO FRUGIS (01.04.01)</t>
        </is>
      </c>
      <c r="H961" s="38" t="inlineStr">
        <is>
          <t>NFV</t>
        </is>
      </c>
      <c r="I961" s="40" t="n">
        <v>49.86</v>
      </c>
      <c r="J961" s="40" t="n">
        <v>0</v>
      </c>
      <c r="K961" s="6">
        <f>I961-J961</f>
        <v/>
      </c>
      <c r="L961" s="6">
        <f>IF(H961="DISTRATO",0,I961)</f>
        <v/>
      </c>
    </row>
    <row r="962">
      <c r="A962" s="38" t="inlineStr">
        <is>
          <t>Conta corrente MFRUGIS09.XLS</t>
        </is>
      </c>
      <c r="B962" s="39" t="n">
        <v>40018</v>
      </c>
      <c r="C962" s="4" t="n">
        <v>39995</v>
      </c>
      <c r="D962" s="5">
        <f>YEAR(C962)</f>
        <v/>
      </c>
      <c r="E962" s="5">
        <f>MONTH(C962)</f>
        <v/>
      </c>
      <c r="F962" s="38" t="inlineStr">
        <is>
          <t>NFV  :TENDA ATACADO LTDA</t>
        </is>
      </c>
      <c r="G962" s="38" t="inlineStr">
        <is>
          <t>MARIO FRUGIS (01.04.01)</t>
        </is>
      </c>
      <c r="H962" s="38" t="inlineStr">
        <is>
          <t>NFV</t>
        </is>
      </c>
      <c r="I962" s="40" t="n">
        <v>35.5</v>
      </c>
      <c r="J962" s="40" t="n">
        <v>0</v>
      </c>
      <c r="K962" s="6">
        <f>I962-J962</f>
        <v/>
      </c>
      <c r="L962" s="6">
        <f>IF(H962="DISTRATO",0,I962)</f>
        <v/>
      </c>
    </row>
    <row r="963">
      <c r="A963" s="38" t="inlineStr">
        <is>
          <t>Conta corrente MFRUGIS09.XLS</t>
        </is>
      </c>
      <c r="B963" s="39" t="n">
        <v>40018</v>
      </c>
      <c r="C963" s="4" t="n">
        <v>39995</v>
      </c>
      <c r="D963" s="5">
        <f>YEAR(C963)</f>
        <v/>
      </c>
      <c r="E963" s="5">
        <f>MONTH(C963)</f>
        <v/>
      </c>
      <c r="F963" s="38" t="inlineStr">
        <is>
          <t>NFV  :TENDA ATACADO LTDA</t>
        </is>
      </c>
      <c r="G963" s="38" t="inlineStr">
        <is>
          <t>MARIO FRUGIS (01.04.01)</t>
        </is>
      </c>
      <c r="H963" s="38" t="inlineStr">
        <is>
          <t>NFV</t>
        </is>
      </c>
      <c r="I963" s="40" t="n">
        <v>59.17</v>
      </c>
      <c r="J963" s="40" t="n">
        <v>0</v>
      </c>
      <c r="K963" s="6">
        <f>I963-J963</f>
        <v/>
      </c>
      <c r="L963" s="6">
        <f>IF(H963="DISTRATO",0,I963)</f>
        <v/>
      </c>
    </row>
    <row r="964">
      <c r="A964" s="38" t="inlineStr">
        <is>
          <t>Conta corrente MFRUGIS09.XLS</t>
        </is>
      </c>
      <c r="B964" s="39" t="n">
        <v>40018</v>
      </c>
      <c r="C964" s="4" t="n">
        <v>39995</v>
      </c>
      <c r="D964" s="5">
        <f>YEAR(C964)</f>
        <v/>
      </c>
      <c r="E964" s="5">
        <f>MONTH(C964)</f>
        <v/>
      </c>
      <c r="F964" s="38" t="inlineStr">
        <is>
          <t>NFV  :TENDA ATACADO LTDA</t>
        </is>
      </c>
      <c r="G964" s="38" t="inlineStr">
        <is>
          <t>MARIO FRUGIS (01.04.01)</t>
        </is>
      </c>
      <c r="H964" s="38" t="inlineStr">
        <is>
          <t>NFV</t>
        </is>
      </c>
      <c r="I964" s="40" t="n">
        <v>73.20999999999999</v>
      </c>
      <c r="J964" s="40" t="n">
        <v>0</v>
      </c>
      <c r="K964" s="6">
        <f>I964-J964</f>
        <v/>
      </c>
      <c r="L964" s="6">
        <f>IF(H964="DISTRATO",0,I964)</f>
        <v/>
      </c>
    </row>
    <row r="965">
      <c r="A965" s="38" t="inlineStr">
        <is>
          <t>Conta corrente MFRUGIS09.XLS</t>
        </is>
      </c>
      <c r="B965" s="39" t="n">
        <v>40018</v>
      </c>
      <c r="C965" s="4" t="n">
        <v>39995</v>
      </c>
      <c r="D965" s="5">
        <f>YEAR(C965)</f>
        <v/>
      </c>
      <c r="E965" s="5">
        <f>MONTH(C965)</f>
        <v/>
      </c>
      <c r="F965" s="38" t="inlineStr">
        <is>
          <t>NFV  :TENDA ATACADO LTDA</t>
        </is>
      </c>
      <c r="G965" s="38" t="inlineStr">
        <is>
          <t>MARIO FRUGIS (01.04.01)</t>
        </is>
      </c>
      <c r="H965" s="38" t="inlineStr">
        <is>
          <t>NFV</t>
        </is>
      </c>
      <c r="I965" s="40" t="n">
        <v>35.5</v>
      </c>
      <c r="J965" s="40" t="n">
        <v>0</v>
      </c>
      <c r="K965" s="6">
        <f>I965-J965</f>
        <v/>
      </c>
      <c r="L965" s="6">
        <f>IF(H965="DISTRATO",0,I965)</f>
        <v/>
      </c>
    </row>
    <row r="966">
      <c r="A966" s="38" t="inlineStr">
        <is>
          <t>Conta corrente MFRUGIS09.XLS</t>
        </is>
      </c>
      <c r="B966" s="39" t="n">
        <v>40018</v>
      </c>
      <c r="C966" s="4" t="n">
        <v>39995</v>
      </c>
      <c r="D966" s="5">
        <f>YEAR(C966)</f>
        <v/>
      </c>
      <c r="E966" s="5">
        <f>MONTH(C966)</f>
        <v/>
      </c>
      <c r="F966" s="38" t="inlineStr">
        <is>
          <t>NFV  :TENDA ATACADO LTDA</t>
        </is>
      </c>
      <c r="G966" s="38" t="inlineStr">
        <is>
          <t>MARIO FRUGIS (01.04.01)</t>
        </is>
      </c>
      <c r="H966" s="38" t="inlineStr">
        <is>
          <t>NFV</t>
        </is>
      </c>
      <c r="I966" s="40" t="n">
        <v>84.95999999999999</v>
      </c>
      <c r="J966" s="40" t="n">
        <v>0</v>
      </c>
      <c r="K966" s="6">
        <f>I966-J966</f>
        <v/>
      </c>
      <c r="L966" s="6">
        <f>IF(H966="DISTRATO",0,I966)</f>
        <v/>
      </c>
    </row>
    <row r="967">
      <c r="A967" s="38" t="inlineStr">
        <is>
          <t>Conta corrente MFRUGIS09.XLS</t>
        </is>
      </c>
      <c r="B967" s="39" t="n">
        <v>40018</v>
      </c>
      <c r="C967" s="4" t="n">
        <v>39995</v>
      </c>
      <c r="D967" s="5">
        <f>YEAR(C967)</f>
        <v/>
      </c>
      <c r="E967" s="5">
        <f>MONTH(C967)</f>
        <v/>
      </c>
      <c r="F967" s="38" t="inlineStr">
        <is>
          <t>NFV  :TENDA ATACADO LTDA</t>
        </is>
      </c>
      <c r="G967" s="38" t="inlineStr">
        <is>
          <t>MARIO FRUGIS (01.04.01)</t>
        </is>
      </c>
      <c r="H967" s="38" t="inlineStr">
        <is>
          <t>NFV</t>
        </is>
      </c>
      <c r="I967" s="40" t="n">
        <v>66.48</v>
      </c>
      <c r="J967" s="40" t="n">
        <v>0</v>
      </c>
      <c r="K967" s="6">
        <f>I967-J967</f>
        <v/>
      </c>
      <c r="L967" s="6">
        <f>IF(H967="DISTRATO",0,I967)</f>
        <v/>
      </c>
    </row>
    <row r="968">
      <c r="A968" s="38" t="inlineStr">
        <is>
          <t>Conta corrente MFRUGIS09.XLS</t>
        </is>
      </c>
      <c r="B968" s="39" t="n">
        <v>40018</v>
      </c>
      <c r="C968" s="4" t="n">
        <v>39995</v>
      </c>
      <c r="D968" s="5">
        <f>YEAR(C968)</f>
        <v/>
      </c>
      <c r="E968" s="5">
        <f>MONTH(C968)</f>
        <v/>
      </c>
      <c r="F968" s="38" t="inlineStr">
        <is>
          <t>NFV  :TENDA ATACADO LTDA</t>
        </is>
      </c>
      <c r="G968" s="38" t="inlineStr">
        <is>
          <t>MARIO FRUGIS (01.04.01)</t>
        </is>
      </c>
      <c r="H968" s="38" t="inlineStr">
        <is>
          <t>NFV</t>
        </is>
      </c>
      <c r="I968" s="40" t="n">
        <v>49.86</v>
      </c>
      <c r="J968" s="40" t="n">
        <v>0</v>
      </c>
      <c r="K968" s="6">
        <f>I968-J968</f>
        <v/>
      </c>
      <c r="L968" s="6">
        <f>IF(H968="DISTRATO",0,I968)</f>
        <v/>
      </c>
    </row>
    <row r="969">
      <c r="A969" s="38" t="inlineStr">
        <is>
          <t>Conta corrente MFRUGIS09.XLS</t>
        </is>
      </c>
      <c r="B969" s="39" t="n">
        <v>40018</v>
      </c>
      <c r="C969" s="4" t="n">
        <v>39995</v>
      </c>
      <c r="D969" s="5">
        <f>YEAR(C969)</f>
        <v/>
      </c>
      <c r="E969" s="5">
        <f>MONTH(C969)</f>
        <v/>
      </c>
      <c r="F969" s="38" t="inlineStr">
        <is>
          <t>NFV  :TENDA ATACADO LTDA</t>
        </is>
      </c>
      <c r="G969" s="38" t="inlineStr">
        <is>
          <t>MARIO FRUGIS (01.04.01)</t>
        </is>
      </c>
      <c r="H969" s="38" t="inlineStr">
        <is>
          <t>NFV</t>
        </is>
      </c>
      <c r="I969" s="40" t="n">
        <v>35.5</v>
      </c>
      <c r="J969" s="40" t="n">
        <v>0</v>
      </c>
      <c r="K969" s="6">
        <f>I969-J969</f>
        <v/>
      </c>
      <c r="L969" s="6">
        <f>IF(H969="DISTRATO",0,I969)</f>
        <v/>
      </c>
    </row>
    <row r="970">
      <c r="A970" s="38" t="inlineStr">
        <is>
          <t>Conta corrente MFRUGIS09.XLS</t>
        </is>
      </c>
      <c r="B970" s="39" t="n">
        <v>40021</v>
      </c>
      <c r="C970" s="4" t="n">
        <v>39995</v>
      </c>
      <c r="D970" s="5">
        <f>YEAR(C970)</f>
        <v/>
      </c>
      <c r="E970" s="5">
        <f>MONTH(C970)</f>
        <v/>
      </c>
      <c r="F970" s="38" t="inlineStr">
        <is>
          <t>NFV  :TENDA ATACADO LTDA</t>
        </is>
      </c>
      <c r="G970" s="38" t="inlineStr">
        <is>
          <t>MARIO FRUGIS (01.04.01)</t>
        </is>
      </c>
      <c r="H970" s="38" t="inlineStr">
        <is>
          <t>NFV</t>
        </is>
      </c>
      <c r="I970" s="40" t="n">
        <v>148.1</v>
      </c>
      <c r="J970" s="40" t="n">
        <v>0</v>
      </c>
      <c r="K970" s="6">
        <f>I970-J970</f>
        <v/>
      </c>
      <c r="L970" s="6">
        <f>IF(H970="DISTRATO",0,I970)</f>
        <v/>
      </c>
    </row>
    <row r="971">
      <c r="A971" s="38" t="inlineStr">
        <is>
          <t>Conta corrente MFRUGIS09.XLS</t>
        </is>
      </c>
      <c r="B971" s="39" t="n">
        <v>40021</v>
      </c>
      <c r="C971" s="4" t="n">
        <v>39995</v>
      </c>
      <c r="D971" s="5">
        <f>YEAR(C971)</f>
        <v/>
      </c>
      <c r="E971" s="5">
        <f>MONTH(C971)</f>
        <v/>
      </c>
      <c r="F971" s="38" t="inlineStr">
        <is>
          <t>NFV  :TENDA ATACADO LTDA</t>
        </is>
      </c>
      <c r="G971" s="38" t="inlineStr">
        <is>
          <t>MARIO FRUGIS (01.04.01)</t>
        </is>
      </c>
      <c r="H971" s="38" t="inlineStr">
        <is>
          <t>NFV</t>
        </is>
      </c>
      <c r="I971" s="40" t="n">
        <v>35.5</v>
      </c>
      <c r="J971" s="40" t="n">
        <v>0</v>
      </c>
      <c r="K971" s="6">
        <f>I971-J971</f>
        <v/>
      </c>
      <c r="L971" s="6">
        <f>IF(H971="DISTRATO",0,I971)</f>
        <v/>
      </c>
    </row>
    <row r="972">
      <c r="A972" s="38" t="inlineStr">
        <is>
          <t>Conta corrente MFRUGIS09.XLS</t>
        </is>
      </c>
      <c r="B972" s="39" t="n">
        <v>40023</v>
      </c>
      <c r="C972" s="4" t="n">
        <v>39995</v>
      </c>
      <c r="D972" s="5">
        <f>YEAR(C972)</f>
        <v/>
      </c>
      <c r="E972" s="5">
        <f>MONTH(C972)</f>
        <v/>
      </c>
      <c r="F972" s="38" t="inlineStr">
        <is>
          <t>DEV  :TENDA ATACADO LTDA</t>
        </is>
      </c>
      <c r="G972" s="38" t="inlineStr">
        <is>
          <t>MARIO FRUGIS (01.04.01)</t>
        </is>
      </c>
      <c r="H972" s="38" t="inlineStr">
        <is>
          <t>DEVOLUCAO</t>
        </is>
      </c>
      <c r="I972" s="40" t="n">
        <v>-3.25</v>
      </c>
      <c r="J972" s="40" t="n">
        <v>0</v>
      </c>
      <c r="K972" s="6">
        <f>I972-J972</f>
        <v/>
      </c>
      <c r="L972" s="6">
        <f>IF(H972="DISTRATO",0,I972)</f>
        <v/>
      </c>
    </row>
    <row r="973">
      <c r="A973" s="38" t="inlineStr">
        <is>
          <t>Conta corrente MFRUGIS09.XLS</t>
        </is>
      </c>
      <c r="B973" s="39" t="n">
        <v>40039</v>
      </c>
      <c r="C973" s="4" t="n">
        <v>40026</v>
      </c>
      <c r="D973" s="5">
        <f>YEAR(C973)</f>
        <v/>
      </c>
      <c r="E973" s="5">
        <f>MONTH(C973)</f>
        <v/>
      </c>
      <c r="F973" s="38" t="inlineStr">
        <is>
          <t>NFV  :TENDA ATACADO LTDA</t>
        </is>
      </c>
      <c r="G973" s="38" t="inlineStr">
        <is>
          <t>MARIO FRUGIS (01.04.01)</t>
        </is>
      </c>
      <c r="H973" s="38" t="inlineStr">
        <is>
          <t>NFV</t>
        </is>
      </c>
      <c r="I973" s="40" t="n">
        <v>213.75</v>
      </c>
      <c r="J973" s="40" t="n">
        <v>0</v>
      </c>
      <c r="K973" s="6">
        <f>I973-J973</f>
        <v/>
      </c>
      <c r="L973" s="6">
        <f>IF(H973="DISTRATO",0,I973)</f>
        <v/>
      </c>
    </row>
    <row r="974">
      <c r="A974" s="38" t="inlineStr">
        <is>
          <t>Conta corrente MFRUGIS09.XLS</t>
        </is>
      </c>
      <c r="B974" s="39" t="n">
        <v>40039</v>
      </c>
      <c r="C974" s="4" t="n">
        <v>40026</v>
      </c>
      <c r="D974" s="5">
        <f>YEAR(C974)</f>
        <v/>
      </c>
      <c r="E974" s="5">
        <f>MONTH(C974)</f>
        <v/>
      </c>
      <c r="F974" s="38" t="inlineStr">
        <is>
          <t>NFV  :TENDA ATACADO LTDA</t>
        </is>
      </c>
      <c r="G974" s="38" t="inlineStr">
        <is>
          <t>MARIO FRUGIS (01.04.01)</t>
        </is>
      </c>
      <c r="H974" s="38" t="inlineStr">
        <is>
          <t>NFV</t>
        </is>
      </c>
      <c r="I974" s="40" t="n">
        <v>240.35</v>
      </c>
      <c r="J974" s="40" t="n">
        <v>0</v>
      </c>
      <c r="K974" s="6">
        <f>I974-J974</f>
        <v/>
      </c>
      <c r="L974" s="6">
        <f>IF(H974="DISTRATO",0,I974)</f>
        <v/>
      </c>
    </row>
    <row r="975">
      <c r="A975" s="38" t="inlineStr">
        <is>
          <t>Conta corrente MFRUGIS09.XLS</t>
        </is>
      </c>
      <c r="B975" s="39" t="n">
        <v>40039</v>
      </c>
      <c r="C975" s="4" t="n">
        <v>40026</v>
      </c>
      <c r="D975" s="5">
        <f>YEAR(C975)</f>
        <v/>
      </c>
      <c r="E975" s="5">
        <f>MONTH(C975)</f>
        <v/>
      </c>
      <c r="F975" s="38" t="inlineStr">
        <is>
          <t>NFV  :TENDA ATACADO LTDA</t>
        </is>
      </c>
      <c r="G975" s="38" t="inlineStr">
        <is>
          <t>MARIO FRUGIS (01.04.01)</t>
        </is>
      </c>
      <c r="H975" s="38" t="inlineStr">
        <is>
          <t>NFV</t>
        </is>
      </c>
      <c r="I975" s="40" t="n">
        <v>176.9</v>
      </c>
      <c r="J975" s="40" t="n">
        <v>0</v>
      </c>
      <c r="K975" s="6">
        <f>I975-J975</f>
        <v/>
      </c>
      <c r="L975" s="6">
        <f>IF(H975="DISTRATO",0,I975)</f>
        <v/>
      </c>
    </row>
    <row r="976">
      <c r="A976" s="38" t="inlineStr">
        <is>
          <t>Conta corrente MFRUGIS09.XLS</t>
        </is>
      </c>
      <c r="B976" s="39" t="n">
        <v>40039</v>
      </c>
      <c r="C976" s="4" t="n">
        <v>40026</v>
      </c>
      <c r="D976" s="5">
        <f>YEAR(C976)</f>
        <v/>
      </c>
      <c r="E976" s="5">
        <f>MONTH(C976)</f>
        <v/>
      </c>
      <c r="F976" s="38" t="inlineStr">
        <is>
          <t>NFV  :TENDA ATACADO LTDA</t>
        </is>
      </c>
      <c r="G976" s="38" t="inlineStr">
        <is>
          <t>MARIO FRUGIS (01.04.01)</t>
        </is>
      </c>
      <c r="H976" s="38" t="inlineStr">
        <is>
          <t>NFV</t>
        </is>
      </c>
      <c r="I976" s="40" t="n">
        <v>193.7</v>
      </c>
      <c r="J976" s="40" t="n">
        <v>0</v>
      </c>
      <c r="K976" s="6">
        <f>I976-J976</f>
        <v/>
      </c>
      <c r="L976" s="6">
        <f>IF(H976="DISTRATO",0,I976)</f>
        <v/>
      </c>
    </row>
    <row r="977">
      <c r="A977" s="38" t="inlineStr">
        <is>
          <t>Conta corrente MFRUGIS09.XLS</t>
        </is>
      </c>
      <c r="B977" s="39" t="n">
        <v>40039</v>
      </c>
      <c r="C977" s="4" t="n">
        <v>40026</v>
      </c>
      <c r="D977" s="5">
        <f>YEAR(C977)</f>
        <v/>
      </c>
      <c r="E977" s="5">
        <f>MONTH(C977)</f>
        <v/>
      </c>
      <c r="F977" s="38" t="inlineStr">
        <is>
          <t>NFV  :TENDA ATACADO LTDA</t>
        </is>
      </c>
      <c r="G977" s="38" t="inlineStr">
        <is>
          <t>MARIO FRUGIS (01.04.01)</t>
        </is>
      </c>
      <c r="H977" s="38" t="inlineStr">
        <is>
          <t>NFV</t>
        </is>
      </c>
      <c r="I977" s="40" t="n">
        <v>175.74</v>
      </c>
      <c r="J977" s="40" t="n">
        <v>0</v>
      </c>
      <c r="K977" s="6">
        <f>I977-J977</f>
        <v/>
      </c>
      <c r="L977" s="6">
        <f>IF(H977="DISTRATO",0,I977)</f>
        <v/>
      </c>
    </row>
    <row r="978">
      <c r="A978" s="38" t="inlineStr">
        <is>
          <t>Conta corrente MFRUGIS09.XLS</t>
        </is>
      </c>
      <c r="B978" s="39" t="n">
        <v>40039</v>
      </c>
      <c r="C978" s="4" t="n">
        <v>40026</v>
      </c>
      <c r="D978" s="5">
        <f>YEAR(C978)</f>
        <v/>
      </c>
      <c r="E978" s="5">
        <f>MONTH(C978)</f>
        <v/>
      </c>
      <c r="F978" s="38" t="inlineStr">
        <is>
          <t>NFV  :TENDA ATACADO LTDA</t>
        </is>
      </c>
      <c r="G978" s="38" t="inlineStr">
        <is>
          <t>MARIO FRUGIS (01.04.01)</t>
        </is>
      </c>
      <c r="H978" s="38" t="inlineStr">
        <is>
          <t>NFV</t>
        </is>
      </c>
      <c r="I978" s="40" t="n">
        <v>194.16</v>
      </c>
      <c r="J978" s="40" t="n">
        <v>0</v>
      </c>
      <c r="K978" s="6">
        <f>I978-J978</f>
        <v/>
      </c>
      <c r="L978" s="6">
        <f>IF(H978="DISTRATO",0,I978)</f>
        <v/>
      </c>
    </row>
    <row r="979">
      <c r="A979" s="38" t="inlineStr">
        <is>
          <t>Conta corrente MFRUGIS09.XLS</t>
        </is>
      </c>
      <c r="B979" s="39" t="n">
        <v>40039</v>
      </c>
      <c r="C979" s="4" t="n">
        <v>40026</v>
      </c>
      <c r="D979" s="5">
        <f>YEAR(C979)</f>
        <v/>
      </c>
      <c r="E979" s="5">
        <f>MONTH(C979)</f>
        <v/>
      </c>
      <c r="F979" s="38" t="inlineStr">
        <is>
          <t>NFV  :TENDA ATACADO LTDA</t>
        </is>
      </c>
      <c r="G979" s="38" t="inlineStr">
        <is>
          <t>MARIO FRUGIS (01.04.01)</t>
        </is>
      </c>
      <c r="H979" s="38" t="inlineStr">
        <is>
          <t>NFV</t>
        </is>
      </c>
      <c r="I979" s="40" t="n">
        <v>278.11</v>
      </c>
      <c r="J979" s="40" t="n">
        <v>0</v>
      </c>
      <c r="K979" s="6">
        <f>I979-J979</f>
        <v/>
      </c>
      <c r="L979" s="6">
        <f>IF(H979="DISTRATO",0,I979)</f>
        <v/>
      </c>
    </row>
    <row r="980">
      <c r="A980" s="38" t="inlineStr">
        <is>
          <t>Conta corrente MFRUGIS09.XLS</t>
        </is>
      </c>
      <c r="B980" s="39" t="n">
        <v>40039</v>
      </c>
      <c r="C980" s="4" t="n">
        <v>40026</v>
      </c>
      <c r="D980" s="5">
        <f>YEAR(C980)</f>
        <v/>
      </c>
      <c r="E980" s="5">
        <f>MONTH(C980)</f>
        <v/>
      </c>
      <c r="F980" s="38" t="inlineStr">
        <is>
          <t>NFV  :TENDA ATACADO LTDA</t>
        </is>
      </c>
      <c r="G980" s="38" t="inlineStr">
        <is>
          <t>MARIO FRUGIS (01.04.01)</t>
        </is>
      </c>
      <c r="H980" s="38" t="inlineStr">
        <is>
          <t>NFV</t>
        </is>
      </c>
      <c r="I980" s="40" t="n">
        <v>281.43</v>
      </c>
      <c r="J980" s="40" t="n">
        <v>0</v>
      </c>
      <c r="K980" s="6">
        <f>I980-J980</f>
        <v/>
      </c>
      <c r="L980" s="6">
        <f>IF(H980="DISTRATO",0,I980)</f>
        <v/>
      </c>
    </row>
    <row r="981">
      <c r="A981" s="38" t="inlineStr">
        <is>
          <t>Conta corrente MFRUGIS09.XLS</t>
        </is>
      </c>
      <c r="B981" s="39" t="n">
        <v>40039</v>
      </c>
      <c r="C981" s="4" t="n">
        <v>40026</v>
      </c>
      <c r="D981" s="5">
        <f>YEAR(C981)</f>
        <v/>
      </c>
      <c r="E981" s="5">
        <f>MONTH(C981)</f>
        <v/>
      </c>
      <c r="F981" s="38" t="inlineStr">
        <is>
          <t>NFV  :TENDA ATACADO LTDA</t>
        </is>
      </c>
      <c r="G981" s="38" t="inlineStr">
        <is>
          <t>MARIO FRUGIS (01.04.01)</t>
        </is>
      </c>
      <c r="H981" s="38" t="inlineStr">
        <is>
          <t>NFV</t>
        </is>
      </c>
      <c r="I981" s="40" t="n">
        <v>149.99</v>
      </c>
      <c r="J981" s="40" t="n">
        <v>0</v>
      </c>
      <c r="K981" s="6">
        <f>I981-J981</f>
        <v/>
      </c>
      <c r="L981" s="6">
        <f>IF(H981="DISTRATO",0,I981)</f>
        <v/>
      </c>
    </row>
    <row r="982">
      <c r="A982" s="38" t="inlineStr">
        <is>
          <t>Conta corrente MFRUGIS09.XLS</t>
        </is>
      </c>
      <c r="B982" s="39" t="n">
        <v>40039</v>
      </c>
      <c r="C982" s="4" t="n">
        <v>40026</v>
      </c>
      <c r="D982" s="5">
        <f>YEAR(C982)</f>
        <v/>
      </c>
      <c r="E982" s="5">
        <f>MONTH(C982)</f>
        <v/>
      </c>
      <c r="F982" s="38" t="inlineStr">
        <is>
          <t>NFV  :TENDA ATACADO LTDA</t>
        </is>
      </c>
      <c r="G982" s="38" t="inlineStr">
        <is>
          <t>MARIO FRUGIS (01.04.01)</t>
        </is>
      </c>
      <c r="H982" s="38" t="inlineStr">
        <is>
          <t>NFV</t>
        </is>
      </c>
      <c r="I982" s="40" t="n">
        <v>67.87</v>
      </c>
      <c r="J982" s="40" t="n">
        <v>0</v>
      </c>
      <c r="K982" s="6">
        <f>I982-J982</f>
        <v/>
      </c>
      <c r="L982" s="6">
        <f>IF(H982="DISTRATO",0,I982)</f>
        <v/>
      </c>
    </row>
    <row r="983">
      <c r="A983" s="38" t="inlineStr">
        <is>
          <t>Conta corrente MFRUGIS09.XLS</t>
        </is>
      </c>
      <c r="B983" s="39" t="n">
        <v>40042</v>
      </c>
      <c r="C983" s="4" t="n">
        <v>40026</v>
      </c>
      <c r="D983" s="5">
        <f>YEAR(C983)</f>
        <v/>
      </c>
      <c r="E983" s="5">
        <f>MONTH(C983)</f>
        <v/>
      </c>
      <c r="F983" s="38" t="inlineStr">
        <is>
          <t>NFV  :TENDA ATACADO LTDA</t>
        </is>
      </c>
      <c r="G983" s="38" t="inlineStr">
        <is>
          <t>MARIO FRUGIS (01.04.01)</t>
        </is>
      </c>
      <c r="H983" s="38" t="inlineStr">
        <is>
          <t>NFV</t>
        </is>
      </c>
      <c r="I983" s="40" t="n">
        <v>153.07</v>
      </c>
      <c r="J983" s="40" t="n">
        <v>0</v>
      </c>
      <c r="K983" s="6">
        <f>I983-J983</f>
        <v/>
      </c>
      <c r="L983" s="6">
        <f>IF(H983="DISTRATO",0,I983)</f>
        <v/>
      </c>
    </row>
    <row r="984">
      <c r="A984" s="38" t="inlineStr">
        <is>
          <t>Conta corrente MFRUGIS09.XLS</t>
        </is>
      </c>
      <c r="B984" s="39" t="n">
        <v>40042</v>
      </c>
      <c r="C984" s="4" t="n">
        <v>40026</v>
      </c>
      <c r="D984" s="5">
        <f>YEAR(C984)</f>
        <v/>
      </c>
      <c r="E984" s="5">
        <f>MONTH(C984)</f>
        <v/>
      </c>
      <c r="F984" s="38" t="inlineStr">
        <is>
          <t>NFV  :TENDA ATACADO LTDA</t>
        </is>
      </c>
      <c r="G984" s="38" t="inlineStr">
        <is>
          <t>MARIO FRUGIS (01.04.01)</t>
        </is>
      </c>
      <c r="H984" s="38" t="inlineStr">
        <is>
          <t>NFV</t>
        </is>
      </c>
      <c r="I984" s="40" t="n">
        <v>39.74</v>
      </c>
      <c r="J984" s="40" t="n">
        <v>0</v>
      </c>
      <c r="K984" s="6">
        <f>I984-J984</f>
        <v/>
      </c>
      <c r="L984" s="6">
        <f>IF(H984="DISTRATO",0,I984)</f>
        <v/>
      </c>
    </row>
    <row r="985">
      <c r="A985" s="38" t="inlineStr">
        <is>
          <t>Conta corrente MFRUGIS09.XLS</t>
        </is>
      </c>
      <c r="B985" s="39" t="n">
        <v>40042</v>
      </c>
      <c r="C985" s="4" t="n">
        <v>40026</v>
      </c>
      <c r="D985" s="5">
        <f>YEAR(C985)</f>
        <v/>
      </c>
      <c r="E985" s="5">
        <f>MONTH(C985)</f>
        <v/>
      </c>
      <c r="F985" s="38" t="inlineStr">
        <is>
          <t>NFV  :TENDA ATACADO LTDA</t>
        </is>
      </c>
      <c r="G985" s="38" t="inlineStr">
        <is>
          <t>MARIO FRUGIS (01.04.01)</t>
        </is>
      </c>
      <c r="H985" s="38" t="inlineStr">
        <is>
          <t>NFV</t>
        </is>
      </c>
      <c r="I985" s="40" t="n">
        <v>74.94</v>
      </c>
      <c r="J985" s="40" t="n">
        <v>0</v>
      </c>
      <c r="K985" s="6">
        <f>I985-J985</f>
        <v/>
      </c>
      <c r="L985" s="6">
        <f>IF(H985="DISTRATO",0,I985)</f>
        <v/>
      </c>
    </row>
    <row r="986">
      <c r="A986" s="38" t="inlineStr">
        <is>
          <t>Conta corrente MFRUGIS09.XLS</t>
        </is>
      </c>
      <c r="B986" s="39" t="n">
        <v>40052</v>
      </c>
      <c r="C986" s="4" t="n">
        <v>40026</v>
      </c>
      <c r="D986" s="5">
        <f>YEAR(C986)</f>
        <v/>
      </c>
      <c r="E986" s="5">
        <f>MONTH(C986)</f>
        <v/>
      </c>
      <c r="F986" s="38" t="inlineStr">
        <is>
          <t>BONIF:TENDA ATACADO LTDA</t>
        </is>
      </c>
      <c r="G986" s="38" t="inlineStr">
        <is>
          <t>MARIO FRUGIS (01.04.01)</t>
        </is>
      </c>
      <c r="H986" s="38" t="inlineStr">
        <is>
          <t>BONIFICACAO</t>
        </is>
      </c>
      <c r="I986" s="40" t="n">
        <v>-20.64</v>
      </c>
      <c r="J986" s="40" t="n">
        <v>0</v>
      </c>
      <c r="K986" s="6">
        <f>I986-J986</f>
        <v/>
      </c>
      <c r="L986" s="6">
        <f>IF(H986="DISTRATO",0,I986)</f>
        <v/>
      </c>
    </row>
    <row r="987">
      <c r="A987" s="38" t="inlineStr">
        <is>
          <t>Conta corrente MFRUGIS09.XLS</t>
        </is>
      </c>
      <c r="B987" s="39" t="n">
        <v>40052</v>
      </c>
      <c r="C987" s="4" t="n">
        <v>40026</v>
      </c>
      <c r="D987" s="5">
        <f>YEAR(C987)</f>
        <v/>
      </c>
      <c r="E987" s="5">
        <f>MONTH(C987)</f>
        <v/>
      </c>
      <c r="F987" s="38" t="inlineStr">
        <is>
          <t>BONIF:TENDA ATACADO LTDA</t>
        </is>
      </c>
      <c r="G987" s="38" t="inlineStr">
        <is>
          <t>MARIO FRUGIS (01.04.01)</t>
        </is>
      </c>
      <c r="H987" s="38" t="inlineStr">
        <is>
          <t>BONIFICACAO</t>
        </is>
      </c>
      <c r="I987" s="40" t="n">
        <v>-20.64</v>
      </c>
      <c r="J987" s="40" t="n">
        <v>0</v>
      </c>
      <c r="K987" s="6">
        <f>I987-J987</f>
        <v/>
      </c>
      <c r="L987" s="6">
        <f>IF(H987="DISTRATO",0,I987)</f>
        <v/>
      </c>
    </row>
    <row r="988">
      <c r="A988" s="38" t="inlineStr">
        <is>
          <t>Conta corrente MFRUGIS09.XLS</t>
        </is>
      </c>
      <c r="B988" s="39" t="n">
        <v>40052</v>
      </c>
      <c r="C988" s="4" t="n">
        <v>40026</v>
      </c>
      <c r="D988" s="5">
        <f>YEAR(C988)</f>
        <v/>
      </c>
      <c r="E988" s="5">
        <f>MONTH(C988)</f>
        <v/>
      </c>
      <c r="F988" s="38" t="inlineStr">
        <is>
          <t>BONIF:TENDA ATACADO LTDA</t>
        </is>
      </c>
      <c r="G988" s="38" t="inlineStr">
        <is>
          <t>MARIO FRUGIS (01.04.01)</t>
        </is>
      </c>
      <c r="H988" s="38" t="inlineStr">
        <is>
          <t>BONIFICACAO</t>
        </is>
      </c>
      <c r="I988" s="40" t="n">
        <v>-20.64</v>
      </c>
      <c r="J988" s="40" t="n">
        <v>0</v>
      </c>
      <c r="K988" s="6">
        <f>I988-J988</f>
        <v/>
      </c>
      <c r="L988" s="6">
        <f>IF(H988="DISTRATO",0,I988)</f>
        <v/>
      </c>
    </row>
    <row r="989">
      <c r="A989" s="38" t="inlineStr">
        <is>
          <t>Conta corrente MFRUGIS09.XLS</t>
        </is>
      </c>
      <c r="B989" s="39" t="n">
        <v>40052</v>
      </c>
      <c r="C989" s="4" t="n">
        <v>40026</v>
      </c>
      <c r="D989" s="5">
        <f>YEAR(C989)</f>
        <v/>
      </c>
      <c r="E989" s="5">
        <f>MONTH(C989)</f>
        <v/>
      </c>
      <c r="F989" s="38" t="inlineStr">
        <is>
          <t>NFV  :TENDA ATACADO LTDA</t>
        </is>
      </c>
      <c r="G989" s="38" t="inlineStr">
        <is>
          <t>MARIO FRUGIS (01.04.01)</t>
        </is>
      </c>
      <c r="H989" s="38" t="inlineStr">
        <is>
          <t>NFV</t>
        </is>
      </c>
      <c r="I989" s="40" t="n">
        <v>91.68000000000001</v>
      </c>
      <c r="J989" s="40" t="n">
        <v>0</v>
      </c>
      <c r="K989" s="6">
        <f>I989-J989</f>
        <v/>
      </c>
      <c r="L989" s="6">
        <f>IF(H989="DISTRATO",0,I989)</f>
        <v/>
      </c>
    </row>
    <row r="990">
      <c r="A990" s="38" t="inlineStr">
        <is>
          <t>Conta corrente MFRUGIS09.XLS</t>
        </is>
      </c>
      <c r="B990" s="39" t="n">
        <v>40052</v>
      </c>
      <c r="C990" s="4" t="n">
        <v>40026</v>
      </c>
      <c r="D990" s="5">
        <f>YEAR(C990)</f>
        <v/>
      </c>
      <c r="E990" s="5">
        <f>MONTH(C990)</f>
        <v/>
      </c>
      <c r="F990" s="38" t="inlineStr">
        <is>
          <t>NFV  :TENDA ATACADO LTDA</t>
        </is>
      </c>
      <c r="G990" s="38" t="inlineStr">
        <is>
          <t>MARIO FRUGIS (01.04.01)</t>
        </is>
      </c>
      <c r="H990" s="38" t="inlineStr">
        <is>
          <t>NFV</t>
        </is>
      </c>
      <c r="I990" s="40" t="n">
        <v>70.31</v>
      </c>
      <c r="J990" s="40" t="n">
        <v>0</v>
      </c>
      <c r="K990" s="6">
        <f>I990-J990</f>
        <v/>
      </c>
      <c r="L990" s="6">
        <f>IF(H990="DISTRATO",0,I990)</f>
        <v/>
      </c>
    </row>
    <row r="991">
      <c r="A991" s="38" t="inlineStr">
        <is>
          <t>Conta corrente MFRUGIS09.XLS</t>
        </is>
      </c>
      <c r="B991" s="39" t="n">
        <v>40052</v>
      </c>
      <c r="C991" s="4" t="n">
        <v>40026</v>
      </c>
      <c r="D991" s="5">
        <f>YEAR(C991)</f>
        <v/>
      </c>
      <c r="E991" s="5">
        <f>MONTH(C991)</f>
        <v/>
      </c>
      <c r="F991" s="38" t="inlineStr">
        <is>
          <t>NFV  :TENDA ATACADO LTDA</t>
        </is>
      </c>
      <c r="G991" s="38" t="inlineStr">
        <is>
          <t>MARIO FRUGIS (01.04.01)</t>
        </is>
      </c>
      <c r="H991" s="38" t="inlineStr">
        <is>
          <t>NFV</t>
        </is>
      </c>
      <c r="I991" s="40" t="n">
        <v>94.92</v>
      </c>
      <c r="J991" s="40" t="n">
        <v>0</v>
      </c>
      <c r="K991" s="6">
        <f>I991-J991</f>
        <v/>
      </c>
      <c r="L991" s="6">
        <f>IF(H991="DISTRATO",0,I991)</f>
        <v/>
      </c>
    </row>
    <row r="992">
      <c r="A992" s="38" t="inlineStr">
        <is>
          <t>Conta corrente MFRUGIS09.XLS</t>
        </is>
      </c>
      <c r="B992" s="39" t="n">
        <v>40052</v>
      </c>
      <c r="C992" s="4" t="n">
        <v>40026</v>
      </c>
      <c r="D992" s="5">
        <f>YEAR(C992)</f>
        <v/>
      </c>
      <c r="E992" s="5">
        <f>MONTH(C992)</f>
        <v/>
      </c>
      <c r="F992" s="38" t="inlineStr">
        <is>
          <t>NFV  :TENDA ATACADO LTDA</t>
        </is>
      </c>
      <c r="G992" s="38" t="inlineStr">
        <is>
          <t>MARIO FRUGIS (01.04.01)</t>
        </is>
      </c>
      <c r="H992" s="38" t="inlineStr">
        <is>
          <t>NFV</t>
        </is>
      </c>
      <c r="I992" s="40" t="n">
        <v>69.02</v>
      </c>
      <c r="J992" s="40" t="n">
        <v>0</v>
      </c>
      <c r="K992" s="6">
        <f>I992-J992</f>
        <v/>
      </c>
      <c r="L992" s="6">
        <f>IF(H992="DISTRATO",0,I992)</f>
        <v/>
      </c>
    </row>
    <row r="993">
      <c r="A993" s="38" t="inlineStr">
        <is>
          <t>Conta corrente MFRUGIS09.XLS</t>
        </is>
      </c>
      <c r="B993" s="39" t="n">
        <v>40052</v>
      </c>
      <c r="C993" s="4" t="n">
        <v>40026</v>
      </c>
      <c r="D993" s="5">
        <f>YEAR(C993)</f>
        <v/>
      </c>
      <c r="E993" s="5">
        <f>MONTH(C993)</f>
        <v/>
      </c>
      <c r="F993" s="38" t="inlineStr">
        <is>
          <t>NFV  :TENDA ATACADO LTDA</t>
        </is>
      </c>
      <c r="G993" s="38" t="inlineStr">
        <is>
          <t>MARIO FRUGIS (01.04.01)</t>
        </is>
      </c>
      <c r="H993" s="38" t="inlineStr">
        <is>
          <t>NFV</t>
        </is>
      </c>
      <c r="I993" s="40" t="n">
        <v>54.82</v>
      </c>
      <c r="J993" s="40" t="n">
        <v>0</v>
      </c>
      <c r="K993" s="6">
        <f>I993-J993</f>
        <v/>
      </c>
      <c r="L993" s="6">
        <f>IF(H993="DISTRATO",0,I993)</f>
        <v/>
      </c>
    </row>
    <row r="994">
      <c r="A994" s="38" t="inlineStr">
        <is>
          <t>Conta corrente MFRUGIS09.XLS</t>
        </is>
      </c>
      <c r="B994" s="39" t="n">
        <v>40052</v>
      </c>
      <c r="C994" s="4" t="n">
        <v>40026</v>
      </c>
      <c r="D994" s="5">
        <f>YEAR(C994)</f>
        <v/>
      </c>
      <c r="E994" s="5">
        <f>MONTH(C994)</f>
        <v/>
      </c>
      <c r="F994" s="38" t="inlineStr">
        <is>
          <t>NFV  :TENDA ATACADO LTDA</t>
        </is>
      </c>
      <c r="G994" s="38" t="inlineStr">
        <is>
          <t>MARIO FRUGIS (01.04.01)</t>
        </is>
      </c>
      <c r="H994" s="38" t="inlineStr">
        <is>
          <t>NFV</t>
        </is>
      </c>
      <c r="I994" s="40" t="n">
        <v>76.90000000000001</v>
      </c>
      <c r="J994" s="40" t="n">
        <v>0</v>
      </c>
      <c r="K994" s="6">
        <f>I994-J994</f>
        <v/>
      </c>
      <c r="L994" s="6">
        <f>IF(H994="DISTRATO",0,I994)</f>
        <v/>
      </c>
    </row>
    <row r="995">
      <c r="A995" s="38" t="inlineStr">
        <is>
          <t>Conta corrente MFRUGIS09.XLS</t>
        </is>
      </c>
      <c r="B995" s="39" t="n">
        <v>40052</v>
      </c>
      <c r="C995" s="4" t="n">
        <v>40026</v>
      </c>
      <c r="D995" s="5">
        <f>YEAR(C995)</f>
        <v/>
      </c>
      <c r="E995" s="5">
        <f>MONTH(C995)</f>
        <v/>
      </c>
      <c r="F995" s="38" t="inlineStr">
        <is>
          <t>NFV  :TENDA ATACADO LTDA</t>
        </is>
      </c>
      <c r="G995" s="38" t="inlineStr">
        <is>
          <t>MARIO FRUGIS (01.04.01)</t>
        </is>
      </c>
      <c r="H995" s="38" t="inlineStr">
        <is>
          <t>NFV</t>
        </is>
      </c>
      <c r="I995" s="40" t="n">
        <v>18.09</v>
      </c>
      <c r="J995" s="40" t="n">
        <v>0</v>
      </c>
      <c r="K995" s="6">
        <f>I995-J995</f>
        <v/>
      </c>
      <c r="L995" s="6">
        <f>IF(H995="DISTRATO",0,I995)</f>
        <v/>
      </c>
    </row>
    <row r="996">
      <c r="A996" s="38" t="inlineStr">
        <is>
          <t>Conta corrente MFRUGIS09.XLS</t>
        </is>
      </c>
      <c r="B996" s="39" t="n">
        <v>40052</v>
      </c>
      <c r="C996" s="4" t="n">
        <v>40026</v>
      </c>
      <c r="D996" s="5">
        <f>YEAR(C996)</f>
        <v/>
      </c>
      <c r="E996" s="5">
        <f>MONTH(C996)</f>
        <v/>
      </c>
      <c r="F996" s="38" t="inlineStr">
        <is>
          <t>NFV  :TENDA ATACADO LTDA</t>
        </is>
      </c>
      <c r="G996" s="38" t="inlineStr">
        <is>
          <t>MARIO FRUGIS (01.04.01)</t>
        </is>
      </c>
      <c r="H996" s="38" t="inlineStr">
        <is>
          <t>NFV</t>
        </is>
      </c>
      <c r="I996" s="40" t="n">
        <v>71.16</v>
      </c>
      <c r="J996" s="40" t="n">
        <v>0</v>
      </c>
      <c r="K996" s="6">
        <f>I996-J996</f>
        <v/>
      </c>
      <c r="L996" s="6">
        <f>IF(H996="DISTRATO",0,I996)</f>
        <v/>
      </c>
    </row>
    <row r="997">
      <c r="A997" s="38" t="inlineStr">
        <is>
          <t>Conta corrente MFRUGIS09.XLS</t>
        </is>
      </c>
      <c r="B997" s="39" t="n">
        <v>40052</v>
      </c>
      <c r="C997" s="4" t="n">
        <v>40026</v>
      </c>
      <c r="D997" s="5">
        <f>YEAR(C997)</f>
        <v/>
      </c>
      <c r="E997" s="5">
        <f>MONTH(C997)</f>
        <v/>
      </c>
      <c r="F997" s="38" t="inlineStr">
        <is>
          <t>NFV  :TENDA ATACADO LTDA</t>
        </is>
      </c>
      <c r="G997" s="38" t="inlineStr">
        <is>
          <t>MARIO FRUGIS (01.04.01)</t>
        </is>
      </c>
      <c r="H997" s="38" t="inlineStr">
        <is>
          <t>NFV</t>
        </is>
      </c>
      <c r="I997" s="40" t="n">
        <v>68.76000000000001</v>
      </c>
      <c r="J997" s="40" t="n">
        <v>0</v>
      </c>
      <c r="K997" s="6">
        <f>I997-J997</f>
        <v/>
      </c>
      <c r="L997" s="6">
        <f>IF(H997="DISTRATO",0,I997)</f>
        <v/>
      </c>
    </row>
    <row r="998">
      <c r="A998" s="38" t="inlineStr">
        <is>
          <t>Conta corrente MFRUGIS09.XLS</t>
        </is>
      </c>
      <c r="B998" s="39" t="n">
        <v>40052</v>
      </c>
      <c r="C998" s="4" t="n">
        <v>40026</v>
      </c>
      <c r="D998" s="5">
        <f>YEAR(C998)</f>
        <v/>
      </c>
      <c r="E998" s="5">
        <f>MONTH(C998)</f>
        <v/>
      </c>
      <c r="F998" s="38" t="inlineStr">
        <is>
          <t>NFV  :TENDA ATACADO LTDA</t>
        </is>
      </c>
      <c r="G998" s="38" t="inlineStr">
        <is>
          <t>MARIO FRUGIS (01.04.01)</t>
        </is>
      </c>
      <c r="H998" s="38" t="inlineStr">
        <is>
          <t>NFV</t>
        </is>
      </c>
      <c r="I998" s="40" t="n">
        <v>99.70999999999999</v>
      </c>
      <c r="J998" s="40" t="n">
        <v>0</v>
      </c>
      <c r="K998" s="6">
        <f>I998-J998</f>
        <v/>
      </c>
      <c r="L998" s="6">
        <f>IF(H998="DISTRATO",0,I998)</f>
        <v/>
      </c>
    </row>
    <row r="999">
      <c r="A999" s="38" t="inlineStr">
        <is>
          <t>Conta corrente MFRUGIS09.XLS</t>
        </is>
      </c>
      <c r="B999" s="39" t="n">
        <v>40052</v>
      </c>
      <c r="C999" s="4" t="n">
        <v>40026</v>
      </c>
      <c r="D999" s="5">
        <f>YEAR(C999)</f>
        <v/>
      </c>
      <c r="E999" s="5">
        <f>MONTH(C999)</f>
        <v/>
      </c>
      <c r="F999" s="38" t="inlineStr">
        <is>
          <t>NFV  :TENDA ATACADO LTDA</t>
        </is>
      </c>
      <c r="G999" s="38" t="inlineStr">
        <is>
          <t>MARIO FRUGIS (01.04.01)</t>
        </is>
      </c>
      <c r="H999" s="38" t="inlineStr">
        <is>
          <t>NFV</t>
        </is>
      </c>
      <c r="I999" s="40" t="n">
        <v>14.36</v>
      </c>
      <c r="J999" s="40" t="n">
        <v>0</v>
      </c>
      <c r="K999" s="6">
        <f>I999-J999</f>
        <v/>
      </c>
      <c r="L999" s="6">
        <f>IF(H999="DISTRATO",0,I999)</f>
        <v/>
      </c>
    </row>
    <row r="1000">
      <c r="A1000" s="38" t="inlineStr">
        <is>
          <t>Conta corrente MFRUGIS09.XLS</t>
        </is>
      </c>
      <c r="B1000" s="39" t="n">
        <v>40052</v>
      </c>
      <c r="C1000" s="4" t="n">
        <v>40026</v>
      </c>
      <c r="D1000" s="5">
        <f>YEAR(C1000)</f>
        <v/>
      </c>
      <c r="E1000" s="5">
        <f>MONTH(C1000)</f>
        <v/>
      </c>
      <c r="F1000" s="38" t="inlineStr">
        <is>
          <t>NFV  :TENDA ATACADO LTDA</t>
        </is>
      </c>
      <c r="G1000" s="38" t="inlineStr">
        <is>
          <t>MARIO FRUGIS (01.04.01)</t>
        </is>
      </c>
      <c r="H1000" s="38" t="inlineStr">
        <is>
          <t>NFV</t>
        </is>
      </c>
      <c r="I1000" s="40" t="n">
        <v>36.86</v>
      </c>
      <c r="J1000" s="40" t="n">
        <v>0</v>
      </c>
      <c r="K1000" s="6">
        <f>I1000-J1000</f>
        <v/>
      </c>
      <c r="L1000" s="6">
        <f>IF(H1000="DISTRATO",0,I1000)</f>
        <v/>
      </c>
    </row>
    <row r="1001">
      <c r="A1001" s="38" t="inlineStr">
        <is>
          <t>Conta corrente MFRUGIS09.XLS</t>
        </is>
      </c>
      <c r="B1001" s="39" t="n">
        <v>40053</v>
      </c>
      <c r="C1001" s="4" t="n">
        <v>40026</v>
      </c>
      <c r="D1001" s="5">
        <f>YEAR(C1001)</f>
        <v/>
      </c>
      <c r="E1001" s="5">
        <f>MONTH(C1001)</f>
        <v/>
      </c>
      <c r="F1001" s="38" t="inlineStr">
        <is>
          <t>NFV  :TENDA ATACADO LTDA</t>
        </is>
      </c>
      <c r="G1001" s="38" t="inlineStr">
        <is>
          <t>MARIO FRUGIS (01.04.01)</t>
        </is>
      </c>
      <c r="H1001" s="38" t="inlineStr">
        <is>
          <t>NFV</t>
        </is>
      </c>
      <c r="I1001" s="40" t="n">
        <v>85.34999999999999</v>
      </c>
      <c r="J1001" s="40" t="n">
        <v>0</v>
      </c>
      <c r="K1001" s="6">
        <f>I1001-J1001</f>
        <v/>
      </c>
      <c r="L1001" s="6">
        <f>IF(H1001="DISTRATO",0,I1001)</f>
        <v/>
      </c>
    </row>
    <row r="1002">
      <c r="A1002" s="38" t="inlineStr">
        <is>
          <t>Conta corrente MFRUGIS09.XLS</t>
        </is>
      </c>
      <c r="B1002" s="39" t="n">
        <v>40053</v>
      </c>
      <c r="C1002" s="4" t="n">
        <v>40026</v>
      </c>
      <c r="D1002" s="5">
        <f>YEAR(C1002)</f>
        <v/>
      </c>
      <c r="E1002" s="5">
        <f>MONTH(C1002)</f>
        <v/>
      </c>
      <c r="F1002" s="38" t="inlineStr">
        <is>
          <t>NFV  :TENDA ATACADO LTDA</t>
        </is>
      </c>
      <c r="G1002" s="38" t="inlineStr">
        <is>
          <t>MARIO FRUGIS (01.04.01)</t>
        </is>
      </c>
      <c r="H1002" s="38" t="inlineStr">
        <is>
          <t>NFV</t>
        </is>
      </c>
      <c r="I1002" s="40" t="n">
        <v>14.36</v>
      </c>
      <c r="J1002" s="40" t="n">
        <v>0</v>
      </c>
      <c r="K1002" s="6">
        <f>I1002-J1002</f>
        <v/>
      </c>
      <c r="L1002" s="6">
        <f>IF(H1002="DISTRATO",0,I1002)</f>
        <v/>
      </c>
    </row>
    <row r="1003">
      <c r="A1003" s="38" t="inlineStr">
        <is>
          <t>Conta corrente MFRUGIS09.XLS</t>
        </is>
      </c>
      <c r="B1003" s="39" t="n">
        <v>40053</v>
      </c>
      <c r="C1003" s="4" t="n">
        <v>40026</v>
      </c>
      <c r="D1003" s="5">
        <f>YEAR(C1003)</f>
        <v/>
      </c>
      <c r="E1003" s="5">
        <f>MONTH(C1003)</f>
        <v/>
      </c>
      <c r="F1003" s="38" t="inlineStr">
        <is>
          <t>NFV  :TENDA ATACADO LTDA</t>
        </is>
      </c>
      <c r="G1003" s="38" t="inlineStr">
        <is>
          <t>MARIO FRUGIS (01.04.01)</t>
        </is>
      </c>
      <c r="H1003" s="38" t="inlineStr">
        <is>
          <t>NFV</t>
        </is>
      </c>
      <c r="I1003" s="40" t="n">
        <v>91.09</v>
      </c>
      <c r="J1003" s="40" t="n">
        <v>0</v>
      </c>
      <c r="K1003" s="6">
        <f>I1003-J1003</f>
        <v/>
      </c>
      <c r="L1003" s="6">
        <f>IF(H1003="DISTRATO",0,I1003)</f>
        <v/>
      </c>
    </row>
    <row r="1004">
      <c r="A1004" s="38" t="inlineStr">
        <is>
          <t>Conta corrente MFRUGIS09.XLS</t>
        </is>
      </c>
      <c r="B1004" s="39" t="n">
        <v>40053</v>
      </c>
      <c r="C1004" s="4" t="n">
        <v>40026</v>
      </c>
      <c r="D1004" s="5">
        <f>YEAR(C1004)</f>
        <v/>
      </c>
      <c r="E1004" s="5">
        <f>MONTH(C1004)</f>
        <v/>
      </c>
      <c r="F1004" s="38" t="inlineStr">
        <is>
          <t>NFV  :TENDA ATACADO LTDA</t>
        </is>
      </c>
      <c r="G1004" s="38" t="inlineStr">
        <is>
          <t>MARIO FRUGIS (01.04.01)</t>
        </is>
      </c>
      <c r="H1004" s="38" t="inlineStr">
        <is>
          <t>NFV</t>
        </is>
      </c>
      <c r="I1004" s="40" t="n">
        <v>61.69</v>
      </c>
      <c r="J1004" s="40" t="n">
        <v>0</v>
      </c>
      <c r="K1004" s="6">
        <f>I1004-J1004</f>
        <v/>
      </c>
      <c r="L1004" s="6">
        <f>IF(H1004="DISTRATO",0,I1004)</f>
        <v/>
      </c>
    </row>
    <row r="1005">
      <c r="A1005" s="38" t="inlineStr">
        <is>
          <t>Conta corrente MFRUGIS09.XLS</t>
        </is>
      </c>
      <c r="B1005" s="39" t="n">
        <v>40056</v>
      </c>
      <c r="C1005" s="4" t="n">
        <v>40026</v>
      </c>
      <c r="D1005" s="5">
        <f>YEAR(C1005)</f>
        <v/>
      </c>
      <c r="E1005" s="5">
        <f>MONTH(C1005)</f>
        <v/>
      </c>
      <c r="F1005" s="38" t="inlineStr">
        <is>
          <t>DIFERENCA x 43.2% (rateio: part. Tenda no mês)</t>
        </is>
      </c>
      <c r="G1005" s="38" t="inlineStr">
        <is>
          <t>MARIO FRUGIS (01.04.01)</t>
        </is>
      </c>
      <c r="H1005" s="38" t="inlineStr">
        <is>
          <t>AJUSTE % RATEIO</t>
        </is>
      </c>
      <c r="I1005" s="40" t="n">
        <v>93.15000000000001</v>
      </c>
      <c r="J1005" s="40" t="n">
        <v>0</v>
      </c>
      <c r="K1005" s="6">
        <f>I1005-J1005</f>
        <v/>
      </c>
      <c r="L1005" s="6">
        <f>IF(H1005="DISTRATO",0,I1005)</f>
        <v/>
      </c>
    </row>
    <row r="1006">
      <c r="A1006" s="38" t="inlineStr">
        <is>
          <t>Conta corrente MFRUGIS09.XLS</t>
        </is>
      </c>
      <c r="B1006" s="39" t="n">
        <v>40056</v>
      </c>
      <c r="C1006" s="4" t="n">
        <v>40026</v>
      </c>
      <c r="D1006" s="5">
        <f>YEAR(C1006)</f>
        <v/>
      </c>
      <c r="E1006" s="5">
        <f>MONTH(C1006)</f>
        <v/>
      </c>
      <c r="F1006" s="38" t="inlineStr">
        <is>
          <t>NFV  :TENDA ATACADO LTDA</t>
        </is>
      </c>
      <c r="G1006" s="38" t="inlineStr">
        <is>
          <t>MARIO FRUGIS (01.04.01)</t>
        </is>
      </c>
      <c r="H1006" s="38" t="inlineStr">
        <is>
          <t>NFV</t>
        </is>
      </c>
      <c r="I1006" s="40" t="n">
        <v>23.83</v>
      </c>
      <c r="J1006" s="40" t="n">
        <v>0</v>
      </c>
      <c r="K1006" s="6">
        <f>I1006-J1006</f>
        <v/>
      </c>
      <c r="L1006" s="6">
        <f>IF(H1006="DISTRATO",0,I1006)</f>
        <v/>
      </c>
    </row>
    <row r="1007">
      <c r="A1007" s="38" t="inlineStr">
        <is>
          <t>Conta corrente MFRUGIS09.XLS</t>
        </is>
      </c>
      <c r="B1007" s="39" t="n">
        <v>40073</v>
      </c>
      <c r="C1007" s="4" t="n">
        <v>40057</v>
      </c>
      <c r="D1007" s="5">
        <f>YEAR(C1007)</f>
        <v/>
      </c>
      <c r="E1007" s="5">
        <f>MONTH(C1007)</f>
        <v/>
      </c>
      <c r="F1007" s="38" t="inlineStr">
        <is>
          <t>NFV  :TENDA ATACADO LTDA</t>
        </is>
      </c>
      <c r="G1007" s="38" t="inlineStr">
        <is>
          <t>MARIO FRUGIS (01.04.01)</t>
        </is>
      </c>
      <c r="H1007" s="38" t="inlineStr">
        <is>
          <t>NFV</t>
        </is>
      </c>
      <c r="I1007" s="40" t="n">
        <v>187.8</v>
      </c>
      <c r="J1007" s="40" t="n">
        <v>0</v>
      </c>
      <c r="K1007" s="6">
        <f>I1007-J1007</f>
        <v/>
      </c>
      <c r="L1007" s="6">
        <f>IF(H1007="DISTRATO",0,I1007)</f>
        <v/>
      </c>
    </row>
    <row r="1008">
      <c r="A1008" s="38" t="inlineStr">
        <is>
          <t>Conta corrente MFRUGIS09.XLS</t>
        </is>
      </c>
      <c r="B1008" s="39" t="n">
        <v>40073</v>
      </c>
      <c r="C1008" s="4" t="n">
        <v>40057</v>
      </c>
      <c r="D1008" s="5">
        <f>YEAR(C1008)</f>
        <v/>
      </c>
      <c r="E1008" s="5">
        <f>MONTH(C1008)</f>
        <v/>
      </c>
      <c r="F1008" s="38" t="inlineStr">
        <is>
          <t>NFV  :TENDA ATACADO LTDA</t>
        </is>
      </c>
      <c r="G1008" s="38" t="inlineStr">
        <is>
          <t>MARIO FRUGIS (01.04.01)</t>
        </is>
      </c>
      <c r="H1008" s="38" t="inlineStr">
        <is>
          <t>NFV</t>
        </is>
      </c>
      <c r="I1008" s="40" t="n">
        <v>173.9</v>
      </c>
      <c r="J1008" s="40" t="n">
        <v>0</v>
      </c>
      <c r="K1008" s="6">
        <f>I1008-J1008</f>
        <v/>
      </c>
      <c r="L1008" s="6">
        <f>IF(H1008="DISTRATO",0,I1008)</f>
        <v/>
      </c>
    </row>
    <row r="1009">
      <c r="A1009" s="38" t="inlineStr">
        <is>
          <t>Conta corrente MFRUGIS09.XLS</t>
        </is>
      </c>
      <c r="B1009" s="39" t="n">
        <v>40073</v>
      </c>
      <c r="C1009" s="4" t="n">
        <v>40057</v>
      </c>
      <c r="D1009" s="5">
        <f>YEAR(C1009)</f>
        <v/>
      </c>
      <c r="E1009" s="5">
        <f>MONTH(C1009)</f>
        <v/>
      </c>
      <c r="F1009" s="38" t="inlineStr">
        <is>
          <t>NFV  :TENDA ATACADO LTDA</t>
        </is>
      </c>
      <c r="G1009" s="38" t="inlineStr">
        <is>
          <t>MARIO FRUGIS (01.04.01)</t>
        </is>
      </c>
      <c r="H1009" s="38" t="inlineStr">
        <is>
          <t>NFV</t>
        </is>
      </c>
      <c r="I1009" s="40" t="n">
        <v>143.11</v>
      </c>
      <c r="J1009" s="40" t="n">
        <v>0</v>
      </c>
      <c r="K1009" s="6">
        <f>I1009-J1009</f>
        <v/>
      </c>
      <c r="L1009" s="6">
        <f>IF(H1009="DISTRATO",0,I1009)</f>
        <v/>
      </c>
    </row>
    <row r="1010">
      <c r="A1010" s="38" t="inlineStr">
        <is>
          <t>Conta corrente MFRUGIS09.XLS</t>
        </is>
      </c>
      <c r="B1010" s="39" t="n">
        <v>40073</v>
      </c>
      <c r="C1010" s="4" t="n">
        <v>40057</v>
      </c>
      <c r="D1010" s="5">
        <f>YEAR(C1010)</f>
        <v/>
      </c>
      <c r="E1010" s="5">
        <f>MONTH(C1010)</f>
        <v/>
      </c>
      <c r="F1010" s="38" t="inlineStr">
        <is>
          <t>NFV  :TENDA ATACADO LTDA</t>
        </is>
      </c>
      <c r="G1010" s="38" t="inlineStr">
        <is>
          <t>MARIO FRUGIS (01.04.01)</t>
        </is>
      </c>
      <c r="H1010" s="38" t="inlineStr">
        <is>
          <t>NFV</t>
        </is>
      </c>
      <c r="I1010" s="40" t="n">
        <v>171.89</v>
      </c>
      <c r="J1010" s="40" t="n">
        <v>0</v>
      </c>
      <c r="K1010" s="6">
        <f>I1010-J1010</f>
        <v/>
      </c>
      <c r="L1010" s="6">
        <f>IF(H1010="DISTRATO",0,I1010)</f>
        <v/>
      </c>
    </row>
    <row r="1011">
      <c r="A1011" s="38" t="inlineStr">
        <is>
          <t>Conta corrente MFRUGIS09.XLS</t>
        </is>
      </c>
      <c r="B1011" s="39" t="n">
        <v>40073</v>
      </c>
      <c r="C1011" s="4" t="n">
        <v>40057</v>
      </c>
      <c r="D1011" s="5">
        <f>YEAR(C1011)</f>
        <v/>
      </c>
      <c r="E1011" s="5">
        <f>MONTH(C1011)</f>
        <v/>
      </c>
      <c r="F1011" s="38" t="inlineStr">
        <is>
          <t>NFV  :TENDA ATACADO LTDA</t>
        </is>
      </c>
      <c r="G1011" s="38" t="inlineStr">
        <is>
          <t>MARIO FRUGIS (01.04.01)</t>
        </is>
      </c>
      <c r="H1011" s="38" t="inlineStr">
        <is>
          <t>NFV</t>
        </is>
      </c>
      <c r="I1011" s="40" t="n">
        <v>158.06</v>
      </c>
      <c r="J1011" s="40" t="n">
        <v>0</v>
      </c>
      <c r="K1011" s="6">
        <f>I1011-J1011</f>
        <v/>
      </c>
      <c r="L1011" s="6">
        <f>IF(H1011="DISTRATO",0,I1011)</f>
        <v/>
      </c>
    </row>
    <row r="1012">
      <c r="A1012" s="38" t="inlineStr">
        <is>
          <t>Conta corrente MFRUGIS09.XLS</t>
        </is>
      </c>
      <c r="B1012" s="39" t="n">
        <v>40073</v>
      </c>
      <c r="C1012" s="4" t="n">
        <v>40057</v>
      </c>
      <c r="D1012" s="5">
        <f>YEAR(C1012)</f>
        <v/>
      </c>
      <c r="E1012" s="5">
        <f>MONTH(C1012)</f>
        <v/>
      </c>
      <c r="F1012" s="38" t="inlineStr">
        <is>
          <t>NFV  :TENDA ATACADO LTDA</t>
        </is>
      </c>
      <c r="G1012" s="38" t="inlineStr">
        <is>
          <t>MARIO FRUGIS (01.04.01)</t>
        </is>
      </c>
      <c r="H1012" s="38" t="inlineStr">
        <is>
          <t>NFV</t>
        </is>
      </c>
      <c r="I1012" s="40" t="n">
        <v>115.47</v>
      </c>
      <c r="J1012" s="40" t="n">
        <v>0</v>
      </c>
      <c r="K1012" s="6">
        <f>I1012-J1012</f>
        <v/>
      </c>
      <c r="L1012" s="6">
        <f>IF(H1012="DISTRATO",0,I1012)</f>
        <v/>
      </c>
    </row>
    <row r="1013">
      <c r="A1013" s="38" t="inlineStr">
        <is>
          <t>Conta corrente MFRUGIS09.XLS</t>
        </is>
      </c>
      <c r="B1013" s="39" t="n">
        <v>40073</v>
      </c>
      <c r="C1013" s="4" t="n">
        <v>40057</v>
      </c>
      <c r="D1013" s="5">
        <f>YEAR(C1013)</f>
        <v/>
      </c>
      <c r="E1013" s="5">
        <f>MONTH(C1013)</f>
        <v/>
      </c>
      <c r="F1013" s="38" t="inlineStr">
        <is>
          <t>NFV  :TENDA ATACADO LTDA</t>
        </is>
      </c>
      <c r="G1013" s="38" t="inlineStr">
        <is>
          <t>MARIO FRUGIS (01.04.01)</t>
        </is>
      </c>
      <c r="H1013" s="38" t="inlineStr">
        <is>
          <t>NFV</t>
        </is>
      </c>
      <c r="I1013" s="40" t="n">
        <v>143.53</v>
      </c>
      <c r="J1013" s="40" t="n">
        <v>0</v>
      </c>
      <c r="K1013" s="6">
        <f>I1013-J1013</f>
        <v/>
      </c>
      <c r="L1013" s="6">
        <f>IF(H1013="DISTRATO",0,I1013)</f>
        <v/>
      </c>
    </row>
    <row r="1014">
      <c r="A1014" s="38" t="inlineStr">
        <is>
          <t>Conta corrente MFRUGIS09.XLS</t>
        </is>
      </c>
      <c r="B1014" s="39" t="n">
        <v>40073</v>
      </c>
      <c r="C1014" s="4" t="n">
        <v>40057</v>
      </c>
      <c r="D1014" s="5">
        <f>YEAR(C1014)</f>
        <v/>
      </c>
      <c r="E1014" s="5">
        <f>MONTH(C1014)</f>
        <v/>
      </c>
      <c r="F1014" s="38" t="inlineStr">
        <is>
          <t>NFV  :TENDA ATACADO LTDA</t>
        </is>
      </c>
      <c r="G1014" s="38" t="inlineStr">
        <is>
          <t>MARIO FRUGIS (01.04.01)</t>
        </is>
      </c>
      <c r="H1014" s="38" t="inlineStr">
        <is>
          <t>NFV</t>
        </is>
      </c>
      <c r="I1014" s="40" t="n">
        <v>173.9</v>
      </c>
      <c r="J1014" s="40" t="n">
        <v>0</v>
      </c>
      <c r="K1014" s="6">
        <f>I1014-J1014</f>
        <v/>
      </c>
      <c r="L1014" s="6">
        <f>IF(H1014="DISTRATO",0,I1014)</f>
        <v/>
      </c>
    </row>
    <row r="1015">
      <c r="A1015" s="38" t="inlineStr">
        <is>
          <t>Conta corrente MFRUGIS09.XLS</t>
        </is>
      </c>
      <c r="B1015" s="39" t="n">
        <v>40073</v>
      </c>
      <c r="C1015" s="4" t="n">
        <v>40057</v>
      </c>
      <c r="D1015" s="5">
        <f>YEAR(C1015)</f>
        <v/>
      </c>
      <c r="E1015" s="5">
        <f>MONTH(C1015)</f>
        <v/>
      </c>
      <c r="F1015" s="38" t="inlineStr">
        <is>
          <t>NFV  :TENDA ATACADO LTDA</t>
        </is>
      </c>
      <c r="G1015" s="38" t="inlineStr">
        <is>
          <t>MARIO FRUGIS (01.04.01)</t>
        </is>
      </c>
      <c r="H1015" s="38" t="inlineStr">
        <is>
          <t>NFV</t>
        </is>
      </c>
      <c r="I1015" s="40" t="n">
        <v>128.88</v>
      </c>
      <c r="J1015" s="40" t="n">
        <v>0</v>
      </c>
      <c r="K1015" s="6">
        <f>I1015-J1015</f>
        <v/>
      </c>
      <c r="L1015" s="6">
        <f>IF(H1015="DISTRATO",0,I1015)</f>
        <v/>
      </c>
    </row>
    <row r="1016">
      <c r="A1016" s="38" t="inlineStr">
        <is>
          <t>Conta corrente MFRUGIS09.XLS</t>
        </is>
      </c>
      <c r="B1016" s="39" t="n">
        <v>40073</v>
      </c>
      <c r="C1016" s="4" t="n">
        <v>40057</v>
      </c>
      <c r="D1016" s="5">
        <f>YEAR(C1016)</f>
        <v/>
      </c>
      <c r="E1016" s="5">
        <f>MONTH(C1016)</f>
        <v/>
      </c>
      <c r="F1016" s="38" t="inlineStr">
        <is>
          <t>NFV  :TENDA ATACADO LTDA</t>
        </is>
      </c>
      <c r="G1016" s="38" t="inlineStr">
        <is>
          <t>MARIO FRUGIS (01.04.01)</t>
        </is>
      </c>
      <c r="H1016" s="38" t="inlineStr">
        <is>
          <t>NFV</t>
        </is>
      </c>
      <c r="I1016" s="40" t="n">
        <v>162.02</v>
      </c>
      <c r="J1016" s="40" t="n">
        <v>0</v>
      </c>
      <c r="K1016" s="6">
        <f>I1016-J1016</f>
        <v/>
      </c>
      <c r="L1016" s="6">
        <f>IF(H1016="DISTRATO",0,I1016)</f>
        <v/>
      </c>
    </row>
    <row r="1017">
      <c r="A1017" s="38" t="inlineStr">
        <is>
          <t>Conta corrente MFRUGIS09.XLS</t>
        </is>
      </c>
      <c r="B1017" s="39" t="n">
        <v>40077</v>
      </c>
      <c r="C1017" s="4" t="n">
        <v>40057</v>
      </c>
      <c r="D1017" s="5">
        <f>YEAR(C1017)</f>
        <v/>
      </c>
      <c r="E1017" s="5">
        <f>MONTH(C1017)</f>
        <v/>
      </c>
      <c r="F1017" s="38" t="inlineStr">
        <is>
          <t>NFV  :TENDA ATACADO LTDA</t>
        </is>
      </c>
      <c r="G1017" s="38" t="inlineStr">
        <is>
          <t>MARIO FRUGIS (01.04.01)</t>
        </is>
      </c>
      <c r="H1017" s="38" t="inlineStr">
        <is>
          <t>NFV</t>
        </is>
      </c>
      <c r="I1017" s="40" t="n">
        <v>209.55</v>
      </c>
      <c r="J1017" s="40" t="n">
        <v>0</v>
      </c>
      <c r="K1017" s="6">
        <f>I1017-J1017</f>
        <v/>
      </c>
      <c r="L1017" s="6">
        <f>IF(H1017="DISTRATO",0,I1017)</f>
        <v/>
      </c>
    </row>
    <row r="1018">
      <c r="A1018" s="38" t="inlineStr">
        <is>
          <t>Conta corrente MFRUGIS09.XLS</t>
        </is>
      </c>
      <c r="B1018" s="39" t="n">
        <v>40077</v>
      </c>
      <c r="C1018" s="4" t="n">
        <v>40057</v>
      </c>
      <c r="D1018" s="5">
        <f>YEAR(C1018)</f>
        <v/>
      </c>
      <c r="E1018" s="5">
        <f>MONTH(C1018)</f>
        <v/>
      </c>
      <c r="F1018" s="38" t="inlineStr">
        <is>
          <t>NFV  :TENDA ATACADO LTDA</t>
        </is>
      </c>
      <c r="G1018" s="38" t="inlineStr">
        <is>
          <t>MARIO FRUGIS (01.04.01)</t>
        </is>
      </c>
      <c r="H1018" s="38" t="inlineStr">
        <is>
          <t>NFV</t>
        </is>
      </c>
      <c r="I1018" s="40" t="n">
        <v>171.89</v>
      </c>
      <c r="J1018" s="40" t="n">
        <v>0</v>
      </c>
      <c r="K1018" s="6">
        <f>I1018-J1018</f>
        <v/>
      </c>
      <c r="L1018" s="6">
        <f>IF(H1018="DISTRATO",0,I1018)</f>
        <v/>
      </c>
    </row>
    <row r="1019">
      <c r="A1019" s="38" t="inlineStr">
        <is>
          <t>Conta corrente MFRUGIS09.XLS</t>
        </is>
      </c>
      <c r="B1019" s="39" t="n">
        <v>40077</v>
      </c>
      <c r="C1019" s="4" t="n">
        <v>40057</v>
      </c>
      <c r="D1019" s="5">
        <f>YEAR(C1019)</f>
        <v/>
      </c>
      <c r="E1019" s="5">
        <f>MONTH(C1019)</f>
        <v/>
      </c>
      <c r="F1019" s="38" t="inlineStr">
        <is>
          <t>NFV  :TENDA ATACADO LTDA</t>
        </is>
      </c>
      <c r="G1019" s="38" t="inlineStr">
        <is>
          <t>MARIO FRUGIS (01.04.01)</t>
        </is>
      </c>
      <c r="H1019" s="38" t="inlineStr">
        <is>
          <t>NFV</t>
        </is>
      </c>
      <c r="I1019" s="40" t="n">
        <v>179.81</v>
      </c>
      <c r="J1019" s="40" t="n">
        <v>0</v>
      </c>
      <c r="K1019" s="6">
        <f>I1019-J1019</f>
        <v/>
      </c>
      <c r="L1019" s="6">
        <f>IF(H1019="DISTRATO",0,I1019)</f>
        <v/>
      </c>
    </row>
    <row r="1020">
      <c r="A1020" s="38" t="inlineStr">
        <is>
          <t>Conta corrente MFRUGIS09.XLS</t>
        </is>
      </c>
      <c r="B1020" s="39" t="n">
        <v>40086</v>
      </c>
      <c r="C1020" s="4" t="n">
        <v>40057</v>
      </c>
      <c r="D1020" s="5">
        <f>YEAR(C1020)</f>
        <v/>
      </c>
      <c r="E1020" s="5">
        <f>MONTH(C1020)</f>
        <v/>
      </c>
      <c r="F1020" s="38" t="inlineStr">
        <is>
          <t>BONIF:TENDA ATACADO LTDA</t>
        </is>
      </c>
      <c r="G1020" s="38" t="inlineStr">
        <is>
          <t>MARIO FRUGIS (01.04.01)</t>
        </is>
      </c>
      <c r="H1020" s="38" t="inlineStr">
        <is>
          <t>BONIFICACAO</t>
        </is>
      </c>
      <c r="I1020" s="40" t="n">
        <v>-48.82</v>
      </c>
      <c r="J1020" s="40" t="n">
        <v>0</v>
      </c>
      <c r="K1020" s="6">
        <f>I1020-J1020</f>
        <v/>
      </c>
      <c r="L1020" s="6">
        <f>IF(H1020="DISTRATO",0,I1020)</f>
        <v/>
      </c>
    </row>
    <row r="1021">
      <c r="A1021" s="38" t="inlineStr">
        <is>
          <t>Conta corrente MFRUGIS09.XLS</t>
        </is>
      </c>
      <c r="B1021" s="39" t="n">
        <v>40086</v>
      </c>
      <c r="C1021" s="4" t="n">
        <v>40057</v>
      </c>
      <c r="D1021" s="5">
        <f>YEAR(C1021)</f>
        <v/>
      </c>
      <c r="E1021" s="5">
        <f>MONTH(C1021)</f>
        <v/>
      </c>
      <c r="F1021" s="38" t="inlineStr">
        <is>
          <t>BONIF:TENDA ATACADO LTDA</t>
        </is>
      </c>
      <c r="G1021" s="38" t="inlineStr">
        <is>
          <t>MARIO FRUGIS (01.04.01)</t>
        </is>
      </c>
      <c r="H1021" s="38" t="inlineStr">
        <is>
          <t>BONIFICACAO</t>
        </is>
      </c>
      <c r="I1021" s="40" t="n">
        <v>-45.28</v>
      </c>
      <c r="J1021" s="40" t="n">
        <v>0</v>
      </c>
      <c r="K1021" s="6">
        <f>I1021-J1021</f>
        <v/>
      </c>
      <c r="L1021" s="6">
        <f>IF(H1021="DISTRATO",0,I1021)</f>
        <v/>
      </c>
    </row>
    <row r="1022">
      <c r="A1022" s="38" t="inlineStr">
        <is>
          <t>Conta corrente MFRUGIS09.XLS</t>
        </is>
      </c>
      <c r="B1022" s="39" t="n">
        <v>40086</v>
      </c>
      <c r="C1022" s="4" t="n">
        <v>40057</v>
      </c>
      <c r="D1022" s="5">
        <f>YEAR(C1022)</f>
        <v/>
      </c>
      <c r="E1022" s="5">
        <f>MONTH(C1022)</f>
        <v/>
      </c>
      <c r="F1022" s="38" t="inlineStr">
        <is>
          <t>DIFERENCA x 52.1% (rateio: part. Tenda no mês)</t>
        </is>
      </c>
      <c r="G1022" s="38" t="inlineStr">
        <is>
          <t>MARIO FRUGIS (01.04.01)</t>
        </is>
      </c>
      <c r="H1022" s="38" t="inlineStr">
        <is>
          <t>AJUSTE % RATEIO</t>
        </is>
      </c>
      <c r="I1022" s="40" t="n">
        <v>125.56</v>
      </c>
      <c r="J1022" s="40" t="n">
        <v>0</v>
      </c>
      <c r="K1022" s="6">
        <f>I1022-J1022</f>
        <v/>
      </c>
      <c r="L1022" s="6">
        <f>IF(H1022="DISTRATO",0,I1022)</f>
        <v/>
      </c>
    </row>
    <row r="1023">
      <c r="A1023" s="38" t="inlineStr">
        <is>
          <t>Conta corrente MFRUGIS09.XLS</t>
        </is>
      </c>
      <c r="B1023" s="39" t="n">
        <v>40086</v>
      </c>
      <c r="C1023" s="4" t="n">
        <v>40057</v>
      </c>
      <c r="D1023" s="5">
        <f>YEAR(C1023)</f>
        <v/>
      </c>
      <c r="E1023" s="5">
        <f>MONTH(C1023)</f>
        <v/>
      </c>
      <c r="F1023" s="38" t="inlineStr">
        <is>
          <t>NFV  :TENDA ATACADO LTDA</t>
        </is>
      </c>
      <c r="G1023" s="38" t="inlineStr">
        <is>
          <t>MARIO FRUGIS (01.04.01)</t>
        </is>
      </c>
      <c r="H1023" s="38" t="inlineStr">
        <is>
          <t>NFV</t>
        </is>
      </c>
      <c r="I1023" s="40" t="n">
        <v>63.36</v>
      </c>
      <c r="J1023" s="40" t="n">
        <v>0</v>
      </c>
      <c r="K1023" s="6">
        <f>I1023-J1023</f>
        <v/>
      </c>
      <c r="L1023" s="6">
        <f>IF(H1023="DISTRATO",0,I1023)</f>
        <v/>
      </c>
    </row>
    <row r="1024">
      <c r="A1024" s="38" t="inlineStr">
        <is>
          <t>Conta corrente MFRUGIS09.XLS</t>
        </is>
      </c>
      <c r="B1024" s="39" t="n">
        <v>40086</v>
      </c>
      <c r="C1024" s="4" t="n">
        <v>40057</v>
      </c>
      <c r="D1024" s="5">
        <f>YEAR(C1024)</f>
        <v/>
      </c>
      <c r="E1024" s="5">
        <f>MONTH(C1024)</f>
        <v/>
      </c>
      <c r="F1024" s="38" t="inlineStr">
        <is>
          <t>NFV  :TENDA ATACADO LTDA</t>
        </is>
      </c>
      <c r="G1024" s="38" t="inlineStr">
        <is>
          <t>MARIO FRUGIS (01.04.01)</t>
        </is>
      </c>
      <c r="H1024" s="38" t="inlineStr">
        <is>
          <t>NFV</t>
        </is>
      </c>
      <c r="I1024" s="40" t="n">
        <v>93.2</v>
      </c>
      <c r="J1024" s="40" t="n">
        <v>0</v>
      </c>
      <c r="K1024" s="6">
        <f>I1024-J1024</f>
        <v/>
      </c>
      <c r="L1024" s="6">
        <f>IF(H1024="DISTRATO",0,I1024)</f>
        <v/>
      </c>
    </row>
    <row r="1025">
      <c r="A1025" s="38" t="inlineStr">
        <is>
          <t>Conta corrente MFRUGIS09.XLS</t>
        </is>
      </c>
      <c r="B1025" s="39" t="n">
        <v>40086</v>
      </c>
      <c r="C1025" s="4" t="n">
        <v>40057</v>
      </c>
      <c r="D1025" s="5">
        <f>YEAR(C1025)</f>
        <v/>
      </c>
      <c r="E1025" s="5">
        <f>MONTH(C1025)</f>
        <v/>
      </c>
      <c r="F1025" s="38" t="inlineStr">
        <is>
          <t>NFV  :TENDA ATACADO LTDA</t>
        </is>
      </c>
      <c r="G1025" s="38" t="inlineStr">
        <is>
          <t>MARIO FRUGIS (01.04.01)</t>
        </is>
      </c>
      <c r="H1025" s="38" t="inlineStr">
        <is>
          <t>NFV</t>
        </is>
      </c>
      <c r="I1025" s="40" t="n">
        <v>95.56999999999999</v>
      </c>
      <c r="J1025" s="40" t="n">
        <v>0</v>
      </c>
      <c r="K1025" s="6">
        <f>I1025-J1025</f>
        <v/>
      </c>
      <c r="L1025" s="6">
        <f>IF(H1025="DISTRATO",0,I1025)</f>
        <v/>
      </c>
    </row>
    <row r="1026">
      <c r="A1026" s="38" t="inlineStr">
        <is>
          <t>Conta corrente MFRUGIS09.XLS</t>
        </is>
      </c>
      <c r="B1026" s="39" t="n">
        <v>40086</v>
      </c>
      <c r="C1026" s="4" t="n">
        <v>40057</v>
      </c>
      <c r="D1026" s="5">
        <f>YEAR(C1026)</f>
        <v/>
      </c>
      <c r="E1026" s="5">
        <f>MONTH(C1026)</f>
        <v/>
      </c>
      <c r="F1026" s="38" t="inlineStr">
        <is>
          <t>NFV  :TENDA ATACADO LTDA</t>
        </is>
      </c>
      <c r="G1026" s="38" t="inlineStr">
        <is>
          <t>MARIO FRUGIS (01.04.01)</t>
        </is>
      </c>
      <c r="H1026" s="38" t="inlineStr">
        <is>
          <t>NFV</t>
        </is>
      </c>
      <c r="I1026" s="40" t="n">
        <v>23.67</v>
      </c>
      <c r="J1026" s="40" t="n">
        <v>0</v>
      </c>
      <c r="K1026" s="6">
        <f>I1026-J1026</f>
        <v/>
      </c>
      <c r="L1026" s="6">
        <f>IF(H1026="DISTRATO",0,I1026)</f>
        <v/>
      </c>
    </row>
    <row r="1027">
      <c r="A1027" s="38" t="inlineStr">
        <is>
          <t>Conta corrente MFRUGIS09.XLS</t>
        </is>
      </c>
      <c r="B1027" s="39" t="n">
        <v>40086</v>
      </c>
      <c r="C1027" s="4" t="n">
        <v>40057</v>
      </c>
      <c r="D1027" s="5">
        <f>YEAR(C1027)</f>
        <v/>
      </c>
      <c r="E1027" s="5">
        <f>MONTH(C1027)</f>
        <v/>
      </c>
      <c r="F1027" s="38" t="inlineStr">
        <is>
          <t>NFV  :TENDA ATACADO LTDA</t>
        </is>
      </c>
      <c r="G1027" s="38" t="inlineStr">
        <is>
          <t>MARIO FRUGIS (01.04.01)</t>
        </is>
      </c>
      <c r="H1027" s="38" t="inlineStr">
        <is>
          <t>NFV</t>
        </is>
      </c>
      <c r="I1027" s="40" t="n">
        <v>137.74</v>
      </c>
      <c r="J1027" s="40" t="n">
        <v>0</v>
      </c>
      <c r="K1027" s="6">
        <f>I1027-J1027</f>
        <v/>
      </c>
      <c r="L1027" s="6">
        <f>IF(H1027="DISTRATO",0,I1027)</f>
        <v/>
      </c>
    </row>
    <row r="1028">
      <c r="A1028" s="38" t="inlineStr">
        <is>
          <t>Conta corrente MFRUGIS09.XLS</t>
        </is>
      </c>
      <c r="B1028" s="39" t="n">
        <v>40086</v>
      </c>
      <c r="C1028" s="4" t="n">
        <v>40057</v>
      </c>
      <c r="D1028" s="5">
        <f>YEAR(C1028)</f>
        <v/>
      </c>
      <c r="E1028" s="5">
        <f>MONTH(C1028)</f>
        <v/>
      </c>
      <c r="F1028" s="38" t="inlineStr">
        <is>
          <t>NFV  :TENDA ATACADO LTDA</t>
        </is>
      </c>
      <c r="G1028" s="38" t="inlineStr">
        <is>
          <t>MARIO FRUGIS (01.04.01)</t>
        </is>
      </c>
      <c r="H1028" s="38" t="inlineStr">
        <is>
          <t>NFV</t>
        </is>
      </c>
      <c r="I1028" s="40" t="n">
        <v>94.64</v>
      </c>
      <c r="J1028" s="40" t="n">
        <v>0</v>
      </c>
      <c r="K1028" s="6">
        <f>I1028-J1028</f>
        <v/>
      </c>
      <c r="L1028" s="6">
        <f>IF(H1028="DISTRATO",0,I1028)</f>
        <v/>
      </c>
    </row>
    <row r="1029">
      <c r="A1029" s="38" t="inlineStr">
        <is>
          <t>Conta corrente MFRUGIS09.XLS</t>
        </is>
      </c>
      <c r="B1029" s="39" t="n">
        <v>40086</v>
      </c>
      <c r="C1029" s="4" t="n">
        <v>40057</v>
      </c>
      <c r="D1029" s="5">
        <f>YEAR(C1029)</f>
        <v/>
      </c>
      <c r="E1029" s="5">
        <f>MONTH(C1029)</f>
        <v/>
      </c>
      <c r="F1029" s="38" t="inlineStr">
        <is>
          <t>NFV  :TENDA ATACADO LTDA</t>
        </is>
      </c>
      <c r="G1029" s="38" t="inlineStr">
        <is>
          <t>MARIO FRUGIS (01.04.01)</t>
        </is>
      </c>
      <c r="H1029" s="38" t="inlineStr">
        <is>
          <t>NFV</t>
        </is>
      </c>
      <c r="I1029" s="40" t="n">
        <v>11.81</v>
      </c>
      <c r="J1029" s="40" t="n">
        <v>0</v>
      </c>
      <c r="K1029" s="6">
        <f>I1029-J1029</f>
        <v/>
      </c>
      <c r="L1029" s="6">
        <f>IF(H1029="DISTRATO",0,I1029)</f>
        <v/>
      </c>
    </row>
    <row r="1030">
      <c r="A1030" s="38" t="inlineStr">
        <is>
          <t>Conta corrente MFRUGIS09.XLS</t>
        </is>
      </c>
      <c r="B1030" s="39" t="n">
        <v>40086</v>
      </c>
      <c r="C1030" s="4" t="n">
        <v>40057</v>
      </c>
      <c r="D1030" s="5">
        <f>YEAR(C1030)</f>
        <v/>
      </c>
      <c r="E1030" s="5">
        <f>MONTH(C1030)</f>
        <v/>
      </c>
      <c r="F1030" s="38" t="inlineStr">
        <is>
          <t>NFV  :TENDA ATACADO LTDA</t>
        </is>
      </c>
      <c r="G1030" s="38" t="inlineStr">
        <is>
          <t>MARIO FRUGIS (01.04.01)</t>
        </is>
      </c>
      <c r="H1030" s="38" t="inlineStr">
        <is>
          <t>NFV</t>
        </is>
      </c>
      <c r="I1030" s="40" t="n">
        <v>42.25</v>
      </c>
      <c r="J1030" s="40" t="n">
        <v>0</v>
      </c>
      <c r="K1030" s="6">
        <f>I1030-J1030</f>
        <v/>
      </c>
      <c r="L1030" s="6">
        <f>IF(H1030="DISTRATO",0,I1030)</f>
        <v/>
      </c>
    </row>
    <row r="1031">
      <c r="A1031" s="38" t="inlineStr">
        <is>
          <t>Conta corrente MFRUGIS09.XLS</t>
        </is>
      </c>
      <c r="B1031" s="39" t="n">
        <v>40086</v>
      </c>
      <c r="C1031" s="4" t="n">
        <v>40057</v>
      </c>
      <c r="D1031" s="5">
        <f>YEAR(C1031)</f>
        <v/>
      </c>
      <c r="E1031" s="5">
        <f>MONTH(C1031)</f>
        <v/>
      </c>
      <c r="F1031" s="38" t="inlineStr">
        <is>
          <t>NFV  :TENDA ATACADO LTDA</t>
        </is>
      </c>
      <c r="G1031" s="38" t="inlineStr">
        <is>
          <t>MARIO FRUGIS (01.04.01)</t>
        </is>
      </c>
      <c r="H1031" s="38" t="inlineStr">
        <is>
          <t>NFV</t>
        </is>
      </c>
      <c r="I1031" s="40" t="n">
        <v>177.52</v>
      </c>
      <c r="J1031" s="40" t="n">
        <v>0</v>
      </c>
      <c r="K1031" s="6">
        <f>I1031-J1031</f>
        <v/>
      </c>
      <c r="L1031" s="6">
        <f>IF(H1031="DISTRATO",0,I1031)</f>
        <v/>
      </c>
    </row>
    <row r="1032">
      <c r="A1032" s="38" t="inlineStr">
        <is>
          <t>Conta corrente MFRUGIS09.XLS</t>
        </is>
      </c>
      <c r="B1032" s="39" t="n">
        <v>40086</v>
      </c>
      <c r="C1032" s="4" t="n">
        <v>40057</v>
      </c>
      <c r="D1032" s="5">
        <f>YEAR(C1032)</f>
        <v/>
      </c>
      <c r="E1032" s="5">
        <f>MONTH(C1032)</f>
        <v/>
      </c>
      <c r="F1032" s="38" t="inlineStr">
        <is>
          <t>NFV  :TENDA ATACADO LTDA</t>
        </is>
      </c>
      <c r="G1032" s="38" t="inlineStr">
        <is>
          <t>MARIO FRUGIS (01.04.01)</t>
        </is>
      </c>
      <c r="H1032" s="38" t="inlineStr">
        <is>
          <t>NFV</t>
        </is>
      </c>
      <c r="I1032" s="40" t="n">
        <v>118.3</v>
      </c>
      <c r="J1032" s="40" t="n">
        <v>0</v>
      </c>
      <c r="K1032" s="6">
        <f>I1032-J1032</f>
        <v/>
      </c>
      <c r="L1032" s="6">
        <f>IF(H1032="DISTRATO",0,I1032)</f>
        <v/>
      </c>
    </row>
    <row r="1033">
      <c r="A1033" s="38" t="inlineStr">
        <is>
          <t>Conta corrente MFRUGIS09.XLS</t>
        </is>
      </c>
      <c r="B1033" s="39" t="n">
        <v>40086</v>
      </c>
      <c r="C1033" s="4" t="n">
        <v>40057</v>
      </c>
      <c r="D1033" s="5">
        <f>YEAR(C1033)</f>
        <v/>
      </c>
      <c r="E1033" s="5">
        <f>MONTH(C1033)</f>
        <v/>
      </c>
      <c r="F1033" s="38" t="inlineStr">
        <is>
          <t>NFV  :TENDA ATACADO LTDA</t>
        </is>
      </c>
      <c r="G1033" s="38" t="inlineStr">
        <is>
          <t>MARIO FRUGIS (01.04.01)</t>
        </is>
      </c>
      <c r="H1033" s="38" t="inlineStr">
        <is>
          <t>NFV</t>
        </is>
      </c>
      <c r="I1033" s="40" t="n">
        <v>126.2</v>
      </c>
      <c r="J1033" s="40" t="n">
        <v>0</v>
      </c>
      <c r="K1033" s="6">
        <f>I1033-J1033</f>
        <v/>
      </c>
      <c r="L1033" s="6">
        <f>IF(H1033="DISTRATO",0,I1033)</f>
        <v/>
      </c>
    </row>
    <row r="1034">
      <c r="A1034" s="38" t="inlineStr">
        <is>
          <t>Conta corrente MFRUGIS09.XLS</t>
        </is>
      </c>
      <c r="B1034" s="39" t="n">
        <v>40086</v>
      </c>
      <c r="C1034" s="4" t="n">
        <v>40057</v>
      </c>
      <c r="D1034" s="5">
        <f>YEAR(C1034)</f>
        <v/>
      </c>
      <c r="E1034" s="5">
        <f>MONTH(C1034)</f>
        <v/>
      </c>
      <c r="F1034" s="38" t="inlineStr">
        <is>
          <t>NFV  :TENDA ATACADO LTDA</t>
        </is>
      </c>
      <c r="G1034" s="38" t="inlineStr">
        <is>
          <t>MARIO FRUGIS (01.04.01)</t>
        </is>
      </c>
      <c r="H1034" s="38" t="inlineStr">
        <is>
          <t>NFV</t>
        </is>
      </c>
      <c r="I1034" s="40" t="n">
        <v>57.28</v>
      </c>
      <c r="J1034" s="40" t="n">
        <v>0</v>
      </c>
      <c r="K1034" s="6">
        <f>I1034-J1034</f>
        <v/>
      </c>
      <c r="L1034" s="6">
        <f>IF(H1034="DISTRATO",0,I1034)</f>
        <v/>
      </c>
    </row>
    <row r="1035">
      <c r="A1035" s="38" t="inlineStr">
        <is>
          <t>Conta corrente MFRUGIS09.XLS</t>
        </is>
      </c>
      <c r="B1035" s="39" t="n">
        <v>40086</v>
      </c>
      <c r="C1035" s="4" t="n">
        <v>40057</v>
      </c>
      <c r="D1035" s="5">
        <f>YEAR(C1035)</f>
        <v/>
      </c>
      <c r="E1035" s="5">
        <f>MONTH(C1035)</f>
        <v/>
      </c>
      <c r="F1035" s="38" t="inlineStr">
        <is>
          <t>NFV  :TENDA ATACADO LTDA</t>
        </is>
      </c>
      <c r="G1035" s="38" t="inlineStr">
        <is>
          <t>MARIO FRUGIS (01.04.01)</t>
        </is>
      </c>
      <c r="H1035" s="38" t="inlineStr">
        <is>
          <t>NFV</t>
        </is>
      </c>
      <c r="I1035" s="40" t="n">
        <v>90.25</v>
      </c>
      <c r="J1035" s="40" t="n">
        <v>0</v>
      </c>
      <c r="K1035" s="6">
        <f>I1035-J1035</f>
        <v/>
      </c>
      <c r="L1035" s="6">
        <f>IF(H1035="DISTRATO",0,I1035)</f>
        <v/>
      </c>
    </row>
    <row r="1036">
      <c r="A1036" s="38" t="inlineStr">
        <is>
          <t>Conta corrente MFRUGIS09.XLS</t>
        </is>
      </c>
      <c r="B1036" s="39" t="n">
        <v>40086</v>
      </c>
      <c r="C1036" s="4" t="n">
        <v>40057</v>
      </c>
      <c r="D1036" s="5">
        <f>YEAR(C1036)</f>
        <v/>
      </c>
      <c r="E1036" s="5">
        <f>MONTH(C1036)</f>
        <v/>
      </c>
      <c r="F1036" s="38" t="inlineStr">
        <is>
          <t>NFV  :TENDA ATACADO LTDA</t>
        </is>
      </c>
      <c r="G1036" s="38" t="inlineStr">
        <is>
          <t>MARIO FRUGIS (01.04.01)</t>
        </is>
      </c>
      <c r="H1036" s="38" t="inlineStr">
        <is>
          <t>NFV</t>
        </is>
      </c>
      <c r="I1036" s="40" t="n">
        <v>38.7</v>
      </c>
      <c r="J1036" s="40" t="n">
        <v>0</v>
      </c>
      <c r="K1036" s="6">
        <f>I1036-J1036</f>
        <v/>
      </c>
      <c r="L1036" s="6">
        <f>IF(H1036="DISTRATO",0,I1036)</f>
        <v/>
      </c>
    </row>
    <row r="1037">
      <c r="A1037" s="38" t="inlineStr">
        <is>
          <t>Conta corrente MFRUGIS09.XLS</t>
        </is>
      </c>
      <c r="B1037" s="39" t="n">
        <v>40086</v>
      </c>
      <c r="C1037" s="4" t="n">
        <v>40057</v>
      </c>
      <c r="D1037" s="5">
        <f>YEAR(C1037)</f>
        <v/>
      </c>
      <c r="E1037" s="5">
        <f>MONTH(C1037)</f>
        <v/>
      </c>
      <c r="F1037" s="38" t="inlineStr">
        <is>
          <t>NFV  :TENDA ATACADO LTDA</t>
        </is>
      </c>
      <c r="G1037" s="38" t="inlineStr">
        <is>
          <t>MARIO FRUGIS (01.04.01)</t>
        </is>
      </c>
      <c r="H1037" s="38" t="inlineStr">
        <is>
          <t>NFV</t>
        </is>
      </c>
      <c r="I1037" s="40" t="n">
        <v>7.92</v>
      </c>
      <c r="J1037" s="40" t="n">
        <v>0</v>
      </c>
      <c r="K1037" s="6">
        <f>I1037-J1037</f>
        <v/>
      </c>
      <c r="L1037" s="6">
        <f>IF(H1037="DISTRATO",0,I1037)</f>
        <v/>
      </c>
    </row>
    <row r="1038">
      <c r="A1038" s="38" t="inlineStr">
        <is>
          <t>Conta corrente MFRUGIS09.XLS</t>
        </is>
      </c>
      <c r="B1038" s="39" t="n">
        <v>40086</v>
      </c>
      <c r="C1038" s="4" t="n">
        <v>40057</v>
      </c>
      <c r="D1038" s="5">
        <f>YEAR(C1038)</f>
        <v/>
      </c>
      <c r="E1038" s="5">
        <f>MONTH(C1038)</f>
        <v/>
      </c>
      <c r="F1038" s="38" t="inlineStr">
        <is>
          <t>NFV  :TENDA ATACADO LTDA</t>
        </is>
      </c>
      <c r="G1038" s="38" t="inlineStr">
        <is>
          <t>MARIO FRUGIS (01.04.01)</t>
        </is>
      </c>
      <c r="H1038" s="38" t="inlineStr">
        <is>
          <t>NFV</t>
        </is>
      </c>
      <c r="I1038" s="40" t="n">
        <v>87.56</v>
      </c>
      <c r="J1038" s="40" t="n">
        <v>0</v>
      </c>
      <c r="K1038" s="6">
        <f>I1038-J1038</f>
        <v/>
      </c>
      <c r="L1038" s="6">
        <f>IF(H1038="DISTRATO",0,I1038)</f>
        <v/>
      </c>
    </row>
    <row r="1039">
      <c r="A1039" s="38" t="inlineStr">
        <is>
          <t>Conta corrente MFRUGIS09.XLS</t>
        </is>
      </c>
      <c r="B1039" s="39" t="n">
        <v>40086</v>
      </c>
      <c r="C1039" s="4" t="n">
        <v>40057</v>
      </c>
      <c r="D1039" s="5">
        <f>YEAR(C1039)</f>
        <v/>
      </c>
      <c r="E1039" s="5">
        <f>MONTH(C1039)</f>
        <v/>
      </c>
      <c r="F1039" s="38" t="inlineStr">
        <is>
          <t>NFV  :TENDA ATACADO LTDA</t>
        </is>
      </c>
      <c r="G1039" s="38" t="inlineStr">
        <is>
          <t>MARIO FRUGIS (01.04.01)</t>
        </is>
      </c>
      <c r="H1039" s="38" t="inlineStr">
        <is>
          <t>NFV</t>
        </is>
      </c>
      <c r="I1039" s="40" t="n">
        <v>27.6</v>
      </c>
      <c r="J1039" s="40" t="n">
        <v>0</v>
      </c>
      <c r="K1039" s="6">
        <f>I1039-J1039</f>
        <v/>
      </c>
      <c r="L1039" s="6">
        <f>IF(H1039="DISTRATO",0,I1039)</f>
        <v/>
      </c>
    </row>
    <row r="1040">
      <c r="A1040" s="38" t="inlineStr">
        <is>
          <t>Conta corrente MFRUGIS09.XLS</t>
        </is>
      </c>
      <c r="B1040" s="39" t="n">
        <v>40086</v>
      </c>
      <c r="C1040" s="4" t="n">
        <v>40057</v>
      </c>
      <c r="D1040" s="5">
        <f>YEAR(C1040)</f>
        <v/>
      </c>
      <c r="E1040" s="5">
        <f>MONTH(C1040)</f>
        <v/>
      </c>
      <c r="F1040" s="38" t="inlineStr">
        <is>
          <t>NFV  :TENDA ATACADO LTDA</t>
        </is>
      </c>
      <c r="G1040" s="38" t="inlineStr">
        <is>
          <t>MARIO FRUGIS (01.04.01)</t>
        </is>
      </c>
      <c r="H1040" s="38" t="inlineStr">
        <is>
          <t>NFV</t>
        </is>
      </c>
      <c r="I1040" s="40" t="n">
        <v>14.36</v>
      </c>
      <c r="J1040" s="40" t="n">
        <v>0</v>
      </c>
      <c r="K1040" s="6">
        <f>I1040-J1040</f>
        <v/>
      </c>
      <c r="L1040" s="6">
        <f>IF(H1040="DISTRATO",0,I1040)</f>
        <v/>
      </c>
    </row>
    <row r="1041">
      <c r="A1041" s="38" t="inlineStr">
        <is>
          <t>Conta corrente MFRUGIS09.XLS</t>
        </is>
      </c>
      <c r="B1041" s="39" t="n">
        <v>40086</v>
      </c>
      <c r="C1041" s="4" t="n">
        <v>40057</v>
      </c>
      <c r="D1041" s="5">
        <f>YEAR(C1041)</f>
        <v/>
      </c>
      <c r="E1041" s="5">
        <f>MONTH(C1041)</f>
        <v/>
      </c>
      <c r="F1041" s="38" t="inlineStr">
        <is>
          <t>NFV  :TENDA ATACADO LTDA</t>
        </is>
      </c>
      <c r="G1041" s="38" t="inlineStr">
        <is>
          <t>MARIO FRUGIS (01.04.01)</t>
        </is>
      </c>
      <c r="H1041" s="38" t="inlineStr">
        <is>
          <t>NFV</t>
        </is>
      </c>
      <c r="I1041" s="40" t="n">
        <v>35.47</v>
      </c>
      <c r="J1041" s="40" t="n">
        <v>0</v>
      </c>
      <c r="K1041" s="6">
        <f>I1041-J1041</f>
        <v/>
      </c>
      <c r="L1041" s="6">
        <f>IF(H1041="DISTRATO",0,I1041)</f>
        <v/>
      </c>
    </row>
    <row r="1042">
      <c r="A1042" s="38" t="inlineStr">
        <is>
          <t>Conta corrente MFRUGIS09.XLS</t>
        </is>
      </c>
      <c r="B1042" s="39" t="n">
        <v>40086</v>
      </c>
      <c r="C1042" s="4" t="n">
        <v>40057</v>
      </c>
      <c r="D1042" s="5">
        <f>YEAR(C1042)</f>
        <v/>
      </c>
      <c r="E1042" s="5">
        <f>MONTH(C1042)</f>
        <v/>
      </c>
      <c r="F1042" s="38" t="inlineStr">
        <is>
          <t>NFV  :TENDA ATACADO LTDA</t>
        </is>
      </c>
      <c r="G1042" s="38" t="inlineStr">
        <is>
          <t>MARIO FRUGIS (01.04.01)</t>
        </is>
      </c>
      <c r="H1042" s="38" t="inlineStr">
        <is>
          <t>NFV</t>
        </is>
      </c>
      <c r="I1042" s="40" t="n">
        <v>27.72</v>
      </c>
      <c r="J1042" s="40" t="n">
        <v>0</v>
      </c>
      <c r="K1042" s="6">
        <f>I1042-J1042</f>
        <v/>
      </c>
      <c r="L1042" s="6">
        <f>IF(H1042="DISTRATO",0,I1042)</f>
        <v/>
      </c>
    </row>
    <row r="1043">
      <c r="A1043" s="38" t="inlineStr">
        <is>
          <t>Conta corrente MFRUGIS09.XLS</t>
        </is>
      </c>
      <c r="B1043" s="39" t="n">
        <v>40086</v>
      </c>
      <c r="C1043" s="4" t="n">
        <v>40057</v>
      </c>
      <c r="D1043" s="5">
        <f>YEAR(C1043)</f>
        <v/>
      </c>
      <c r="E1043" s="5">
        <f>MONTH(C1043)</f>
        <v/>
      </c>
      <c r="F1043" s="38" t="inlineStr">
        <is>
          <t>NFV  :TENDA ATACADO LTDA</t>
        </is>
      </c>
      <c r="G1043" s="38" t="inlineStr">
        <is>
          <t>MARIO FRUGIS (01.04.01)</t>
        </is>
      </c>
      <c r="H1043" s="38" t="inlineStr">
        <is>
          <t>NFV</t>
        </is>
      </c>
      <c r="I1043" s="40" t="n">
        <v>11.88</v>
      </c>
      <c r="J1043" s="40" t="n">
        <v>0</v>
      </c>
      <c r="K1043" s="6">
        <f>I1043-J1043</f>
        <v/>
      </c>
      <c r="L1043" s="6">
        <f>IF(H1043="DISTRATO",0,I1043)</f>
        <v/>
      </c>
    </row>
    <row r="1044">
      <c r="A1044" s="38" t="inlineStr">
        <is>
          <t>Conta corrente MFRUGIS09.XLS</t>
        </is>
      </c>
      <c r="B1044" s="39" t="n">
        <v>40086</v>
      </c>
      <c r="C1044" s="4" t="n">
        <v>40057</v>
      </c>
      <c r="D1044" s="5">
        <f>YEAR(C1044)</f>
        <v/>
      </c>
      <c r="E1044" s="5">
        <f>MONTH(C1044)</f>
        <v/>
      </c>
      <c r="F1044" s="38" t="inlineStr">
        <is>
          <t>NFV  :TENDA ATACADO LTDA</t>
        </is>
      </c>
      <c r="G1044" s="38" t="inlineStr">
        <is>
          <t>MARIO FRUGIS (01.04.01)</t>
        </is>
      </c>
      <c r="H1044" s="38" t="inlineStr">
        <is>
          <t>NFV</t>
        </is>
      </c>
      <c r="I1044" s="40" t="n">
        <v>81.11</v>
      </c>
      <c r="J1044" s="40" t="n">
        <v>0</v>
      </c>
      <c r="K1044" s="6">
        <f>I1044-J1044</f>
        <v/>
      </c>
      <c r="L1044" s="6">
        <f>IF(H1044="DISTRATO",0,I1044)</f>
        <v/>
      </c>
    </row>
    <row r="1045">
      <c r="A1045" s="38" t="inlineStr">
        <is>
          <t>Conta corrente MFRUGIS09.XLS</t>
        </is>
      </c>
      <c r="B1045" s="39" t="n">
        <v>40086</v>
      </c>
      <c r="C1045" s="4" t="n">
        <v>40057</v>
      </c>
      <c r="D1045" s="5">
        <f>YEAR(C1045)</f>
        <v/>
      </c>
      <c r="E1045" s="5">
        <f>MONTH(C1045)</f>
        <v/>
      </c>
      <c r="F1045" s="38" t="inlineStr">
        <is>
          <t>NFV  :TENDA ATACADO LTDA</t>
        </is>
      </c>
      <c r="G1045" s="38" t="inlineStr">
        <is>
          <t>MARIO FRUGIS (01.04.01)</t>
        </is>
      </c>
      <c r="H1045" s="38" t="inlineStr">
        <is>
          <t>NFV</t>
        </is>
      </c>
      <c r="I1045" s="40" t="n">
        <v>137.88</v>
      </c>
      <c r="J1045" s="40" t="n">
        <v>0</v>
      </c>
      <c r="K1045" s="6">
        <f>I1045-J1045</f>
        <v/>
      </c>
      <c r="L1045" s="6">
        <f>IF(H1045="DISTRATO",0,I1045)</f>
        <v/>
      </c>
    </row>
    <row r="1046">
      <c r="A1046" s="38" t="inlineStr">
        <is>
          <t>Conta corrente MFRUGIS09.XLS</t>
        </is>
      </c>
      <c r="B1046" s="39" t="n">
        <v>40102</v>
      </c>
      <c r="C1046" s="4" t="n">
        <v>40087</v>
      </c>
      <c r="D1046" s="5">
        <f>YEAR(C1046)</f>
        <v/>
      </c>
      <c r="E1046" s="5">
        <f>MONTH(C1046)</f>
        <v/>
      </c>
      <c r="F1046" s="38" t="inlineStr">
        <is>
          <t>NFV  :TENDA ATACADO LTDA</t>
        </is>
      </c>
      <c r="G1046" s="38" t="inlineStr">
        <is>
          <t>MARIO FRUGIS (01.04.01)</t>
        </is>
      </c>
      <c r="H1046" s="38" t="inlineStr">
        <is>
          <t>NFV</t>
        </is>
      </c>
      <c r="I1046" s="40" t="n">
        <v>92.43000000000001</v>
      </c>
      <c r="J1046" s="40" t="n">
        <v>0</v>
      </c>
      <c r="K1046" s="6">
        <f>I1046-J1046</f>
        <v/>
      </c>
      <c r="L1046" s="6">
        <f>IF(H1046="DISTRATO",0,I1046)</f>
        <v/>
      </c>
    </row>
    <row r="1047">
      <c r="A1047" s="38" t="inlineStr">
        <is>
          <t>Conta corrente MFRUGIS09.XLS</t>
        </is>
      </c>
      <c r="B1047" s="39" t="n">
        <v>40102</v>
      </c>
      <c r="C1047" s="4" t="n">
        <v>40087</v>
      </c>
      <c r="D1047" s="5">
        <f>YEAR(C1047)</f>
        <v/>
      </c>
      <c r="E1047" s="5">
        <f>MONTH(C1047)</f>
        <v/>
      </c>
      <c r="F1047" s="38" t="inlineStr">
        <is>
          <t>NFV  :TENDA ATACADO LTDA</t>
        </is>
      </c>
      <c r="G1047" s="38" t="inlineStr">
        <is>
          <t>MARIO FRUGIS (01.04.01)</t>
        </is>
      </c>
      <c r="H1047" s="38" t="inlineStr">
        <is>
          <t>NFV</t>
        </is>
      </c>
      <c r="I1047" s="40" t="n">
        <v>129.81</v>
      </c>
      <c r="J1047" s="40" t="n">
        <v>0</v>
      </c>
      <c r="K1047" s="6">
        <f>I1047-J1047</f>
        <v/>
      </c>
      <c r="L1047" s="6">
        <f>IF(H1047="DISTRATO",0,I1047)</f>
        <v/>
      </c>
    </row>
    <row r="1048">
      <c r="A1048" s="38" t="inlineStr">
        <is>
          <t>Conta corrente MFRUGIS09.XLS</t>
        </is>
      </c>
      <c r="B1048" s="39" t="n">
        <v>40102</v>
      </c>
      <c r="C1048" s="4" t="n">
        <v>40087</v>
      </c>
      <c r="D1048" s="5">
        <f>YEAR(C1048)</f>
        <v/>
      </c>
      <c r="E1048" s="5">
        <f>MONTH(C1048)</f>
        <v/>
      </c>
      <c r="F1048" s="38" t="inlineStr">
        <is>
          <t>NFV  :TENDA ATACADO LTDA</t>
        </is>
      </c>
      <c r="G1048" s="38" t="inlineStr">
        <is>
          <t>MARIO FRUGIS (01.04.01)</t>
        </is>
      </c>
      <c r="H1048" s="38" t="inlineStr">
        <is>
          <t>NFV</t>
        </is>
      </c>
      <c r="I1048" s="40" t="n">
        <v>101.15</v>
      </c>
      <c r="J1048" s="40" t="n">
        <v>0</v>
      </c>
      <c r="K1048" s="6">
        <f>I1048-J1048</f>
        <v/>
      </c>
      <c r="L1048" s="6">
        <f>IF(H1048="DISTRATO",0,I1048)</f>
        <v/>
      </c>
    </row>
    <row r="1049">
      <c r="A1049" s="38" t="inlineStr">
        <is>
          <t>Conta corrente MFRUGIS09.XLS</t>
        </is>
      </c>
      <c r="B1049" s="39" t="n">
        <v>40102</v>
      </c>
      <c r="C1049" s="4" t="n">
        <v>40087</v>
      </c>
      <c r="D1049" s="5">
        <f>YEAR(C1049)</f>
        <v/>
      </c>
      <c r="E1049" s="5">
        <f>MONTH(C1049)</f>
        <v/>
      </c>
      <c r="F1049" s="38" t="inlineStr">
        <is>
          <t>NFV  :TENDA ATACADO LTDA</t>
        </is>
      </c>
      <c r="G1049" s="38" t="inlineStr">
        <is>
          <t>MARIO FRUGIS (01.04.01)</t>
        </is>
      </c>
      <c r="H1049" s="38" t="inlineStr">
        <is>
          <t>NFV</t>
        </is>
      </c>
      <c r="I1049" s="40" t="n">
        <v>133.79</v>
      </c>
      <c r="J1049" s="40" t="n">
        <v>0</v>
      </c>
      <c r="K1049" s="6">
        <f>I1049-J1049</f>
        <v/>
      </c>
      <c r="L1049" s="6">
        <f>IF(H1049="DISTRATO",0,I1049)</f>
        <v/>
      </c>
    </row>
    <row r="1050">
      <c r="A1050" s="38" t="inlineStr">
        <is>
          <t>Conta corrente MFRUGIS09.XLS</t>
        </is>
      </c>
      <c r="B1050" s="39" t="n">
        <v>40102</v>
      </c>
      <c r="C1050" s="4" t="n">
        <v>40087</v>
      </c>
      <c r="D1050" s="5">
        <f>YEAR(C1050)</f>
        <v/>
      </c>
      <c r="E1050" s="5">
        <f>MONTH(C1050)</f>
        <v/>
      </c>
      <c r="F1050" s="38" t="inlineStr">
        <is>
          <t>NFV  :TENDA ATACADO LTDA</t>
        </is>
      </c>
      <c r="G1050" s="38" t="inlineStr">
        <is>
          <t>MARIO FRUGIS (01.04.01)</t>
        </is>
      </c>
      <c r="H1050" s="38" t="inlineStr">
        <is>
          <t>NFV</t>
        </is>
      </c>
      <c r="I1050" s="40" t="n">
        <v>103.56</v>
      </c>
      <c r="J1050" s="40" t="n">
        <v>0</v>
      </c>
      <c r="K1050" s="6">
        <f>I1050-J1050</f>
        <v/>
      </c>
      <c r="L1050" s="6">
        <f>IF(H1050="DISTRATO",0,I1050)</f>
        <v/>
      </c>
    </row>
    <row r="1051">
      <c r="A1051" s="38" t="inlineStr">
        <is>
          <t>Conta corrente MFRUGIS09.XLS</t>
        </is>
      </c>
      <c r="B1051" s="39" t="n">
        <v>40102</v>
      </c>
      <c r="C1051" s="4" t="n">
        <v>40087</v>
      </c>
      <c r="D1051" s="5">
        <f>YEAR(C1051)</f>
        <v/>
      </c>
      <c r="E1051" s="5">
        <f>MONTH(C1051)</f>
        <v/>
      </c>
      <c r="F1051" s="38" t="inlineStr">
        <is>
          <t>NFV  :TENDA ATACADO LTDA</t>
        </is>
      </c>
      <c r="G1051" s="38" t="inlineStr">
        <is>
          <t>MARIO FRUGIS (01.04.01)</t>
        </is>
      </c>
      <c r="H1051" s="38" t="inlineStr">
        <is>
          <t>NFV</t>
        </is>
      </c>
      <c r="I1051" s="40" t="n">
        <v>60.29</v>
      </c>
      <c r="J1051" s="40" t="n">
        <v>0</v>
      </c>
      <c r="K1051" s="6">
        <f>I1051-J1051</f>
        <v/>
      </c>
      <c r="L1051" s="6">
        <f>IF(H1051="DISTRATO",0,I1051)</f>
        <v/>
      </c>
    </row>
    <row r="1052">
      <c r="A1052" s="38" t="inlineStr">
        <is>
          <t>Conta corrente MFRUGIS09.XLS</t>
        </is>
      </c>
      <c r="B1052" s="39" t="n">
        <v>40102</v>
      </c>
      <c r="C1052" s="4" t="n">
        <v>40087</v>
      </c>
      <c r="D1052" s="5">
        <f>YEAR(C1052)</f>
        <v/>
      </c>
      <c r="E1052" s="5">
        <f>MONTH(C1052)</f>
        <v/>
      </c>
      <c r="F1052" s="38" t="inlineStr">
        <is>
          <t>NFV  :TENDA ATACADO LTDA</t>
        </is>
      </c>
      <c r="G1052" s="38" t="inlineStr">
        <is>
          <t>MARIO FRUGIS (01.04.01)</t>
        </is>
      </c>
      <c r="H1052" s="38" t="inlineStr">
        <is>
          <t>NFV</t>
        </is>
      </c>
      <c r="I1052" s="40" t="n">
        <v>200.11</v>
      </c>
      <c r="J1052" s="40" t="n">
        <v>0</v>
      </c>
      <c r="K1052" s="6">
        <f>I1052-J1052</f>
        <v/>
      </c>
      <c r="L1052" s="6">
        <f>IF(H1052="DISTRATO",0,I1052)</f>
        <v/>
      </c>
    </row>
    <row r="1053">
      <c r="A1053" s="38" t="inlineStr">
        <is>
          <t>Conta corrente MFRUGIS09.XLS</t>
        </is>
      </c>
      <c r="B1053" s="39" t="n">
        <v>40102</v>
      </c>
      <c r="C1053" s="4" t="n">
        <v>40087</v>
      </c>
      <c r="D1053" s="5">
        <f>YEAR(C1053)</f>
        <v/>
      </c>
      <c r="E1053" s="5">
        <f>MONTH(C1053)</f>
        <v/>
      </c>
      <c r="F1053" s="38" t="inlineStr">
        <is>
          <t>NFV  :TENDA ATACADO LTDA</t>
        </is>
      </c>
      <c r="G1053" s="38" t="inlineStr">
        <is>
          <t>MARIO FRUGIS (01.04.01)</t>
        </is>
      </c>
      <c r="H1053" s="38" t="inlineStr">
        <is>
          <t>NFV</t>
        </is>
      </c>
      <c r="I1053" s="40" t="n">
        <v>128.3</v>
      </c>
      <c r="J1053" s="40" t="n">
        <v>0</v>
      </c>
      <c r="K1053" s="6">
        <f>I1053-J1053</f>
        <v/>
      </c>
      <c r="L1053" s="6">
        <f>IF(H1053="DISTRATO",0,I1053)</f>
        <v/>
      </c>
    </row>
    <row r="1054">
      <c r="A1054" s="38" t="inlineStr">
        <is>
          <t>Conta corrente MFRUGIS09.XLS</t>
        </is>
      </c>
      <c r="B1054" s="39" t="n">
        <v>40102</v>
      </c>
      <c r="C1054" s="4" t="n">
        <v>40087</v>
      </c>
      <c r="D1054" s="5">
        <f>YEAR(C1054)</f>
        <v/>
      </c>
      <c r="E1054" s="5">
        <f>MONTH(C1054)</f>
        <v/>
      </c>
      <c r="F1054" s="38" t="inlineStr">
        <is>
          <t>NFV  :TENDA ATACADO LTDA</t>
        </is>
      </c>
      <c r="G1054" s="38" t="inlineStr">
        <is>
          <t>MARIO FRUGIS (01.04.01)</t>
        </is>
      </c>
      <c r="H1054" s="38" t="inlineStr">
        <is>
          <t>NFV</t>
        </is>
      </c>
      <c r="I1054" s="40" t="n">
        <v>60.5</v>
      </c>
      <c r="J1054" s="40" t="n">
        <v>0</v>
      </c>
      <c r="K1054" s="6">
        <f>I1054-J1054</f>
        <v/>
      </c>
      <c r="L1054" s="6">
        <f>IF(H1054="DISTRATO",0,I1054)</f>
        <v/>
      </c>
    </row>
    <row r="1055">
      <c r="A1055" s="38" t="inlineStr">
        <is>
          <t>Conta corrente MFRUGIS09.XLS</t>
        </is>
      </c>
      <c r="B1055" s="39" t="n">
        <v>40102</v>
      </c>
      <c r="C1055" s="4" t="n">
        <v>40087</v>
      </c>
      <c r="D1055" s="5">
        <f>YEAR(C1055)</f>
        <v/>
      </c>
      <c r="E1055" s="5">
        <f>MONTH(C1055)</f>
        <v/>
      </c>
      <c r="F1055" s="38" t="inlineStr">
        <is>
          <t>NFV  :TENDA ATACADO LTDA</t>
        </is>
      </c>
      <c r="G1055" s="38" t="inlineStr">
        <is>
          <t>MARIO FRUGIS (01.04.01)</t>
        </is>
      </c>
      <c r="H1055" s="38" t="inlineStr">
        <is>
          <t>NFV</t>
        </is>
      </c>
      <c r="I1055" s="40" t="n">
        <v>95.42</v>
      </c>
      <c r="J1055" s="40" t="n">
        <v>0</v>
      </c>
      <c r="K1055" s="6">
        <f>I1055-J1055</f>
        <v/>
      </c>
      <c r="L1055" s="6">
        <f>IF(H1055="DISTRATO",0,I1055)</f>
        <v/>
      </c>
    </row>
    <row r="1056">
      <c r="A1056" s="38" t="inlineStr">
        <is>
          <t>Conta corrente MFRUGIS09.XLS</t>
        </is>
      </c>
      <c r="B1056" s="39" t="n">
        <v>40102</v>
      </c>
      <c r="C1056" s="4" t="n">
        <v>40087</v>
      </c>
      <c r="D1056" s="5">
        <f>YEAR(C1056)</f>
        <v/>
      </c>
      <c r="E1056" s="5">
        <f>MONTH(C1056)</f>
        <v/>
      </c>
      <c r="F1056" s="38" t="inlineStr">
        <is>
          <t>NFV  :TENDA ATACADO LTDA</t>
        </is>
      </c>
      <c r="G1056" s="38" t="inlineStr">
        <is>
          <t>MARIO FRUGIS (01.04.01)</t>
        </is>
      </c>
      <c r="H1056" s="38" t="inlineStr">
        <is>
          <t>NFV</t>
        </is>
      </c>
      <c r="I1056" s="40" t="n">
        <v>81.05</v>
      </c>
      <c r="J1056" s="40" t="n">
        <v>0</v>
      </c>
      <c r="K1056" s="6">
        <f>I1056-J1056</f>
        <v/>
      </c>
      <c r="L1056" s="6">
        <f>IF(H1056="DISTRATO",0,I1056)</f>
        <v/>
      </c>
    </row>
    <row r="1057">
      <c r="A1057" s="38" t="inlineStr">
        <is>
          <t>Conta corrente MFRUGIS09.XLS</t>
        </is>
      </c>
      <c r="B1057" s="39" t="n">
        <v>40105</v>
      </c>
      <c r="C1057" s="4" t="n">
        <v>40087</v>
      </c>
      <c r="D1057" s="5">
        <f>YEAR(C1057)</f>
        <v/>
      </c>
      <c r="E1057" s="5">
        <f>MONTH(C1057)</f>
        <v/>
      </c>
      <c r="F1057" s="38" t="inlineStr">
        <is>
          <t>NFV  :TENDA ATACADO LTDA</t>
        </is>
      </c>
      <c r="G1057" s="38" t="inlineStr">
        <is>
          <t>MARIO FRUGIS (01.04.01)</t>
        </is>
      </c>
      <c r="H1057" s="38" t="inlineStr">
        <is>
          <t>NFV</t>
        </is>
      </c>
      <c r="I1057" s="40" t="n">
        <v>15.77</v>
      </c>
      <c r="J1057" s="40" t="n">
        <v>0</v>
      </c>
      <c r="K1057" s="6">
        <f>I1057-J1057</f>
        <v/>
      </c>
      <c r="L1057" s="6">
        <f>IF(H1057="DISTRATO",0,I1057)</f>
        <v/>
      </c>
    </row>
    <row r="1058">
      <c r="A1058" s="38" t="inlineStr">
        <is>
          <t>Conta corrente MFRUGIS09.XLS</t>
        </is>
      </c>
      <c r="B1058" s="39" t="n">
        <v>40113</v>
      </c>
      <c r="C1058" s="4" t="n">
        <v>40087</v>
      </c>
      <c r="D1058" s="5">
        <f>YEAR(C1058)</f>
        <v/>
      </c>
      <c r="E1058" s="5">
        <f>MONTH(C1058)</f>
        <v/>
      </c>
      <c r="F1058" s="38" t="inlineStr">
        <is>
          <t>NFV  :TENDA ATACADO LTDA</t>
        </is>
      </c>
      <c r="G1058" s="38" t="inlineStr">
        <is>
          <t>MARIO FRUGIS (01.04.01)</t>
        </is>
      </c>
      <c r="H1058" s="38" t="inlineStr">
        <is>
          <t>NFV</t>
        </is>
      </c>
      <c r="I1058" s="40" t="n">
        <v>209.19</v>
      </c>
      <c r="J1058" s="40" t="n">
        <v>0</v>
      </c>
      <c r="K1058" s="6">
        <f>I1058-J1058</f>
        <v/>
      </c>
      <c r="L1058" s="6">
        <f>IF(H1058="DISTRATO",0,I1058)</f>
        <v/>
      </c>
    </row>
    <row r="1059">
      <c r="A1059" s="38" t="inlineStr">
        <is>
          <t>Conta corrente MFRUGIS09.XLS</t>
        </is>
      </c>
      <c r="B1059" s="39" t="n">
        <v>40113</v>
      </c>
      <c r="C1059" s="4" t="n">
        <v>40087</v>
      </c>
      <c r="D1059" s="5">
        <f>YEAR(C1059)</f>
        <v/>
      </c>
      <c r="E1059" s="5">
        <f>MONTH(C1059)</f>
        <v/>
      </c>
      <c r="F1059" s="38" t="inlineStr">
        <is>
          <t>NFV  :TENDA ATACADO LTDA</t>
        </is>
      </c>
      <c r="G1059" s="38" t="inlineStr">
        <is>
          <t>MARIO FRUGIS (01.04.01)</t>
        </is>
      </c>
      <c r="H1059" s="38" t="inlineStr">
        <is>
          <t>NFV</t>
        </is>
      </c>
      <c r="I1059" s="40" t="n">
        <v>171.83</v>
      </c>
      <c r="J1059" s="40" t="n">
        <v>0</v>
      </c>
      <c r="K1059" s="6">
        <f>I1059-J1059</f>
        <v/>
      </c>
      <c r="L1059" s="6">
        <f>IF(H1059="DISTRATO",0,I1059)</f>
        <v/>
      </c>
    </row>
    <row r="1060">
      <c r="A1060" s="38" t="inlineStr">
        <is>
          <t>Conta corrente MFRUGIS09.XLS</t>
        </is>
      </c>
      <c r="B1060" s="39" t="n">
        <v>40113</v>
      </c>
      <c r="C1060" s="4" t="n">
        <v>40087</v>
      </c>
      <c r="D1060" s="5">
        <f>YEAR(C1060)</f>
        <v/>
      </c>
      <c r="E1060" s="5">
        <f>MONTH(C1060)</f>
        <v/>
      </c>
      <c r="F1060" s="38" t="inlineStr">
        <is>
          <t>NFV  :TENDA ATACADO LTDA</t>
        </is>
      </c>
      <c r="G1060" s="38" t="inlineStr">
        <is>
          <t>MARIO FRUGIS (01.04.01)</t>
        </is>
      </c>
      <c r="H1060" s="38" t="inlineStr">
        <is>
          <t>NFV</t>
        </is>
      </c>
      <c r="I1060" s="40" t="n">
        <v>83.13</v>
      </c>
      <c r="J1060" s="40" t="n">
        <v>0</v>
      </c>
      <c r="K1060" s="6">
        <f>I1060-J1060</f>
        <v/>
      </c>
      <c r="L1060" s="6">
        <f>IF(H1060="DISTRATO",0,I1060)</f>
        <v/>
      </c>
    </row>
    <row r="1061">
      <c r="A1061" s="38" t="inlineStr">
        <is>
          <t>Conta corrente MFRUGIS09.XLS</t>
        </is>
      </c>
      <c r="B1061" s="39" t="n">
        <v>40113</v>
      </c>
      <c r="C1061" s="4" t="n">
        <v>40087</v>
      </c>
      <c r="D1061" s="5">
        <f>YEAR(C1061)</f>
        <v/>
      </c>
      <c r="E1061" s="5">
        <f>MONTH(C1061)</f>
        <v/>
      </c>
      <c r="F1061" s="38" t="inlineStr">
        <is>
          <t>NFV  :TENDA ATACADO LTDA</t>
        </is>
      </c>
      <c r="G1061" s="38" t="inlineStr">
        <is>
          <t>MARIO FRUGIS (01.04.01)</t>
        </is>
      </c>
      <c r="H1061" s="38" t="inlineStr">
        <is>
          <t>NFV</t>
        </is>
      </c>
      <c r="I1061" s="40" t="n">
        <v>46.25</v>
      </c>
      <c r="J1061" s="40" t="n">
        <v>0</v>
      </c>
      <c r="K1061" s="6">
        <f>I1061-J1061</f>
        <v/>
      </c>
      <c r="L1061" s="6">
        <f>IF(H1061="DISTRATO",0,I1061)</f>
        <v/>
      </c>
    </row>
    <row r="1062">
      <c r="A1062" s="38" t="inlineStr">
        <is>
          <t>Conta corrente MFRUGIS09.XLS</t>
        </is>
      </c>
      <c r="B1062" s="39" t="n">
        <v>40113</v>
      </c>
      <c r="C1062" s="4" t="n">
        <v>40087</v>
      </c>
      <c r="D1062" s="5">
        <f>YEAR(C1062)</f>
        <v/>
      </c>
      <c r="E1062" s="5">
        <f>MONTH(C1062)</f>
        <v/>
      </c>
      <c r="F1062" s="38" t="inlineStr">
        <is>
          <t>NFV  :TENDA ATACADO LTDA</t>
        </is>
      </c>
      <c r="G1062" s="38" t="inlineStr">
        <is>
          <t>MARIO FRUGIS (01.04.01)</t>
        </is>
      </c>
      <c r="H1062" s="38" t="inlineStr">
        <is>
          <t>NFV</t>
        </is>
      </c>
      <c r="I1062" s="40" t="n">
        <v>104.65</v>
      </c>
      <c r="J1062" s="40" t="n">
        <v>0</v>
      </c>
      <c r="K1062" s="6">
        <f>I1062-J1062</f>
        <v/>
      </c>
      <c r="L1062" s="6">
        <f>IF(H1062="DISTRATO",0,I1062)</f>
        <v/>
      </c>
    </row>
    <row r="1063">
      <c r="A1063" s="38" t="inlineStr">
        <is>
          <t>Conta corrente MFRUGIS09.XLS</t>
        </is>
      </c>
      <c r="B1063" s="39" t="n">
        <v>40113</v>
      </c>
      <c r="C1063" s="4" t="n">
        <v>40087</v>
      </c>
      <c r="D1063" s="5">
        <f>YEAR(C1063)</f>
        <v/>
      </c>
      <c r="E1063" s="5">
        <f>MONTH(C1063)</f>
        <v/>
      </c>
      <c r="F1063" s="38" t="inlineStr">
        <is>
          <t>NFV  :TENDA ATACADO LTDA</t>
        </is>
      </c>
      <c r="G1063" s="38" t="inlineStr">
        <is>
          <t>MARIO FRUGIS (01.04.01)</t>
        </is>
      </c>
      <c r="H1063" s="38" t="inlineStr">
        <is>
          <t>NFV</t>
        </is>
      </c>
      <c r="I1063" s="40" t="n">
        <v>244.76</v>
      </c>
      <c r="J1063" s="40" t="n">
        <v>0</v>
      </c>
      <c r="K1063" s="6">
        <f>I1063-J1063</f>
        <v/>
      </c>
      <c r="L1063" s="6">
        <f>IF(H1063="DISTRATO",0,I1063)</f>
        <v/>
      </c>
    </row>
    <row r="1064">
      <c r="A1064" s="38" t="inlineStr">
        <is>
          <t>Conta corrente MFRUGIS09.XLS</t>
        </is>
      </c>
      <c r="B1064" s="39" t="n">
        <v>40113</v>
      </c>
      <c r="C1064" s="4" t="n">
        <v>40087</v>
      </c>
      <c r="D1064" s="5">
        <f>YEAR(C1064)</f>
        <v/>
      </c>
      <c r="E1064" s="5">
        <f>MONTH(C1064)</f>
        <v/>
      </c>
      <c r="F1064" s="38" t="inlineStr">
        <is>
          <t>NFV  :TENDA ATACADO LTDA</t>
        </is>
      </c>
      <c r="G1064" s="38" t="inlineStr">
        <is>
          <t>MARIO FRUGIS (01.04.01)</t>
        </is>
      </c>
      <c r="H1064" s="38" t="inlineStr">
        <is>
          <t>NFV</t>
        </is>
      </c>
      <c r="I1064" s="40" t="n">
        <v>263.67</v>
      </c>
      <c r="J1064" s="40" t="n">
        <v>0</v>
      </c>
      <c r="K1064" s="6">
        <f>I1064-J1064</f>
        <v/>
      </c>
      <c r="L1064" s="6">
        <f>IF(H1064="DISTRATO",0,I1064)</f>
        <v/>
      </c>
    </row>
    <row r="1065">
      <c r="A1065" s="38" t="inlineStr">
        <is>
          <t>Conta corrente MFRUGIS09.XLS</t>
        </is>
      </c>
      <c r="B1065" s="39" t="n">
        <v>40113</v>
      </c>
      <c r="C1065" s="4" t="n">
        <v>40087</v>
      </c>
      <c r="D1065" s="5">
        <f>YEAR(C1065)</f>
        <v/>
      </c>
      <c r="E1065" s="5">
        <f>MONTH(C1065)</f>
        <v/>
      </c>
      <c r="F1065" s="38" t="inlineStr">
        <is>
          <t>NFV  :TENDA ATACADO LTDA</t>
        </is>
      </c>
      <c r="G1065" s="38" t="inlineStr">
        <is>
          <t>MARIO FRUGIS (01.04.01)</t>
        </is>
      </c>
      <c r="H1065" s="38" t="inlineStr">
        <is>
          <t>NFV</t>
        </is>
      </c>
      <c r="I1065" s="40" t="n">
        <v>245.06</v>
      </c>
      <c r="J1065" s="40" t="n">
        <v>0</v>
      </c>
      <c r="K1065" s="6">
        <f>I1065-J1065</f>
        <v/>
      </c>
      <c r="L1065" s="6">
        <f>IF(H1065="DISTRATO",0,I1065)</f>
        <v/>
      </c>
    </row>
    <row r="1066">
      <c r="A1066" s="38" t="inlineStr">
        <is>
          <t>Conta corrente MFRUGIS09.XLS</t>
        </is>
      </c>
      <c r="B1066" s="39" t="n">
        <v>40113</v>
      </c>
      <c r="C1066" s="4" t="n">
        <v>40087</v>
      </c>
      <c r="D1066" s="5">
        <f>YEAR(C1066)</f>
        <v/>
      </c>
      <c r="E1066" s="5">
        <f>MONTH(C1066)</f>
        <v/>
      </c>
      <c r="F1066" s="38" t="inlineStr">
        <is>
          <t>NFV  :TENDA ATACADO LTDA</t>
        </is>
      </c>
      <c r="G1066" s="38" t="inlineStr">
        <is>
          <t>MARIO FRUGIS (01.04.01)</t>
        </is>
      </c>
      <c r="H1066" s="38" t="inlineStr">
        <is>
          <t>NFV</t>
        </is>
      </c>
      <c r="I1066" s="40" t="n">
        <v>147.51</v>
      </c>
      <c r="J1066" s="40" t="n">
        <v>0</v>
      </c>
      <c r="K1066" s="6">
        <f>I1066-J1066</f>
        <v/>
      </c>
      <c r="L1066" s="6">
        <f>IF(H1066="DISTRATO",0,I1066)</f>
        <v/>
      </c>
    </row>
    <row r="1067">
      <c r="A1067" s="38" t="inlineStr">
        <is>
          <t>Conta corrente MFRUGIS09.XLS</t>
        </is>
      </c>
      <c r="B1067" s="39" t="n">
        <v>40113</v>
      </c>
      <c r="C1067" s="4" t="n">
        <v>40087</v>
      </c>
      <c r="D1067" s="5">
        <f>YEAR(C1067)</f>
        <v/>
      </c>
      <c r="E1067" s="5">
        <f>MONTH(C1067)</f>
        <v/>
      </c>
      <c r="F1067" s="38" t="inlineStr">
        <is>
          <t>NFV  :TENDA ATACADO LTDA</t>
        </is>
      </c>
      <c r="G1067" s="38" t="inlineStr">
        <is>
          <t>MARIO FRUGIS (01.04.01)</t>
        </is>
      </c>
      <c r="H1067" s="38" t="inlineStr">
        <is>
          <t>NFV</t>
        </is>
      </c>
      <c r="I1067" s="40" t="n">
        <v>121.2</v>
      </c>
      <c r="J1067" s="40" t="n">
        <v>0</v>
      </c>
      <c r="K1067" s="6">
        <f>I1067-J1067</f>
        <v/>
      </c>
      <c r="L1067" s="6">
        <f>IF(H1067="DISTRATO",0,I1067)</f>
        <v/>
      </c>
    </row>
    <row r="1068">
      <c r="A1068" s="38" t="inlineStr">
        <is>
          <t>Conta corrente MFRUGIS09.XLS</t>
        </is>
      </c>
      <c r="B1068" s="39" t="n">
        <v>40113</v>
      </c>
      <c r="C1068" s="4" t="n">
        <v>40087</v>
      </c>
      <c r="D1068" s="5">
        <f>YEAR(C1068)</f>
        <v/>
      </c>
      <c r="E1068" s="5">
        <f>MONTH(C1068)</f>
        <v/>
      </c>
      <c r="F1068" s="38" t="inlineStr">
        <is>
          <t>NFV  :TENDA ATACADO LTDA</t>
        </is>
      </c>
      <c r="G1068" s="38" t="inlineStr">
        <is>
          <t>MARIO FRUGIS (01.04.01)</t>
        </is>
      </c>
      <c r="H1068" s="38" t="inlineStr">
        <is>
          <t>NFV</t>
        </is>
      </c>
      <c r="I1068" s="40" t="n">
        <v>190.35</v>
      </c>
      <c r="J1068" s="40" t="n">
        <v>0</v>
      </c>
      <c r="K1068" s="6">
        <f>I1068-J1068</f>
        <v/>
      </c>
      <c r="L1068" s="6">
        <f>IF(H1068="DISTRATO",0,I1068)</f>
        <v/>
      </c>
    </row>
    <row r="1069">
      <c r="A1069" s="38" t="inlineStr">
        <is>
          <t>Conta corrente MFRUGIS09.XLS</t>
        </is>
      </c>
      <c r="B1069" s="39" t="n">
        <v>40113</v>
      </c>
      <c r="C1069" s="4" t="n">
        <v>40087</v>
      </c>
      <c r="D1069" s="5">
        <f>YEAR(C1069)</f>
        <v/>
      </c>
      <c r="E1069" s="5">
        <f>MONTH(C1069)</f>
        <v/>
      </c>
      <c r="F1069" s="38" t="inlineStr">
        <is>
          <t>NFV  :TENDA ATACADO LTDA</t>
        </is>
      </c>
      <c r="G1069" s="38" t="inlineStr">
        <is>
          <t>MARIO FRUGIS (01.04.01)</t>
        </is>
      </c>
      <c r="H1069" s="38" t="inlineStr">
        <is>
          <t>NFV</t>
        </is>
      </c>
      <c r="I1069" s="40" t="n">
        <v>207.58</v>
      </c>
      <c r="J1069" s="40" t="n">
        <v>0</v>
      </c>
      <c r="K1069" s="6">
        <f>I1069-J1069</f>
        <v/>
      </c>
      <c r="L1069" s="6">
        <f>IF(H1069="DISTRATO",0,I1069)</f>
        <v/>
      </c>
    </row>
    <row r="1070">
      <c r="A1070" s="38" t="inlineStr">
        <is>
          <t>Conta corrente MFRUGIS09.XLS</t>
        </is>
      </c>
      <c r="B1070" s="39" t="n">
        <v>40115</v>
      </c>
      <c r="C1070" s="4" t="n">
        <v>40087</v>
      </c>
      <c r="D1070" s="5">
        <f>YEAR(C1070)</f>
        <v/>
      </c>
      <c r="E1070" s="5">
        <f>MONTH(C1070)</f>
        <v/>
      </c>
      <c r="F1070" s="38" t="inlineStr">
        <is>
          <t>NFV  :TENDA ATACADO LTDA</t>
        </is>
      </c>
      <c r="G1070" s="38" t="inlineStr">
        <is>
          <t>MARIO FRUGIS (01.04.01)</t>
        </is>
      </c>
      <c r="H1070" s="38" t="inlineStr">
        <is>
          <t>NFV</t>
        </is>
      </c>
      <c r="I1070" s="40" t="n">
        <v>42.25</v>
      </c>
      <c r="J1070" s="40" t="n">
        <v>0</v>
      </c>
      <c r="K1070" s="6">
        <f>I1070-J1070</f>
        <v/>
      </c>
      <c r="L1070" s="6">
        <f>IF(H1070="DISTRATO",0,I1070)</f>
        <v/>
      </c>
    </row>
    <row r="1071">
      <c r="A1071" s="38" t="inlineStr">
        <is>
          <t>Conta corrente MFRUGIS09.XLS</t>
        </is>
      </c>
      <c r="B1071" s="39" t="n">
        <v>40116</v>
      </c>
      <c r="C1071" s="4" t="n">
        <v>40087</v>
      </c>
      <c r="D1071" s="5">
        <f>YEAR(C1071)</f>
        <v/>
      </c>
      <c r="E1071" s="5">
        <f>MONTH(C1071)</f>
        <v/>
      </c>
      <c r="F1071" s="38" t="inlineStr">
        <is>
          <t>BONIF:TENDA ATACADO LTDA</t>
        </is>
      </c>
      <c r="G1071" s="38" t="inlineStr">
        <is>
          <t>MARIO FRUGIS (01.04.01)</t>
        </is>
      </c>
      <c r="H1071" s="38" t="inlineStr">
        <is>
          <t>BONIFICACAO</t>
        </is>
      </c>
      <c r="I1071" s="40" t="n">
        <v>-45.95</v>
      </c>
      <c r="J1071" s="40" t="n">
        <v>0</v>
      </c>
      <c r="K1071" s="6">
        <f>I1071-J1071</f>
        <v/>
      </c>
      <c r="L1071" s="6">
        <f>IF(H1071="DISTRATO",0,I1071)</f>
        <v/>
      </c>
    </row>
    <row r="1072">
      <c r="A1072" s="38" t="inlineStr">
        <is>
          <t>Conta corrente MFRUGIS09.XLS</t>
        </is>
      </c>
      <c r="B1072" s="39" t="n">
        <v>40116</v>
      </c>
      <c r="C1072" s="4" t="n">
        <v>40087</v>
      </c>
      <c r="D1072" s="5">
        <f>YEAR(C1072)</f>
        <v/>
      </c>
      <c r="E1072" s="5">
        <f>MONTH(C1072)</f>
        <v/>
      </c>
      <c r="F1072" s="38" t="inlineStr">
        <is>
          <t>DIFERENCA x 55.3% (rateio: part. Tenda no mês)</t>
        </is>
      </c>
      <c r="G1072" s="38" t="inlineStr">
        <is>
          <t>MARIO FRUGIS (01.04.01)</t>
        </is>
      </c>
      <c r="H1072" s="38" t="inlineStr">
        <is>
          <t>AJUSTE % RATEIO</t>
        </is>
      </c>
      <c r="I1072" s="40" t="n">
        <v>185.78</v>
      </c>
      <c r="J1072" s="40" t="n">
        <v>0</v>
      </c>
      <c r="K1072" s="6">
        <f>I1072-J1072</f>
        <v/>
      </c>
      <c r="L1072" s="6">
        <f>IF(H1072="DISTRATO",0,I1072)</f>
        <v/>
      </c>
    </row>
    <row r="1073">
      <c r="A1073" s="38" t="inlineStr">
        <is>
          <t>Conta corrente MFRUGIS09.XLS</t>
        </is>
      </c>
      <c r="B1073" s="39" t="n">
        <v>40116</v>
      </c>
      <c r="C1073" s="4" t="n">
        <v>40087</v>
      </c>
      <c r="D1073" s="5">
        <f>YEAR(C1073)</f>
        <v/>
      </c>
      <c r="E1073" s="5">
        <f>MONTH(C1073)</f>
        <v/>
      </c>
      <c r="F1073" s="38" t="inlineStr">
        <is>
          <t>NFV  :TENDA ATACADO LTDA</t>
        </is>
      </c>
      <c r="G1073" s="38" t="inlineStr">
        <is>
          <t>MARIO FRUGIS (01.04.01)</t>
        </is>
      </c>
      <c r="H1073" s="38" t="inlineStr">
        <is>
          <t>NFV</t>
        </is>
      </c>
      <c r="I1073" s="40" t="n">
        <v>42.92</v>
      </c>
      <c r="J1073" s="40" t="n">
        <v>0</v>
      </c>
      <c r="K1073" s="6">
        <f>I1073-J1073</f>
        <v/>
      </c>
      <c r="L1073" s="6">
        <f>IF(H1073="DISTRATO",0,I1073)</f>
        <v/>
      </c>
    </row>
    <row r="1074">
      <c r="A1074" s="38" t="inlineStr">
        <is>
          <t>Conta corrente MFRUGIS09.XLS</t>
        </is>
      </c>
      <c r="B1074" s="39" t="n">
        <v>40116</v>
      </c>
      <c r="C1074" s="4" t="n">
        <v>40087</v>
      </c>
      <c r="D1074" s="5">
        <f>YEAR(C1074)</f>
        <v/>
      </c>
      <c r="E1074" s="5">
        <f>MONTH(C1074)</f>
        <v/>
      </c>
      <c r="F1074" s="38" t="inlineStr">
        <is>
          <t>NFV  :TENDA ATACADO LTDA</t>
        </is>
      </c>
      <c r="G1074" s="38" t="inlineStr">
        <is>
          <t>MARIO FRUGIS (01.04.01)</t>
        </is>
      </c>
      <c r="H1074" s="38" t="inlineStr">
        <is>
          <t>NFV</t>
        </is>
      </c>
      <c r="I1074" s="40" t="n">
        <v>51.72</v>
      </c>
      <c r="J1074" s="40" t="n">
        <v>0</v>
      </c>
      <c r="K1074" s="6">
        <f>I1074-J1074</f>
        <v/>
      </c>
      <c r="L1074" s="6">
        <f>IF(H1074="DISTRATO",0,I1074)</f>
        <v/>
      </c>
    </row>
    <row r="1075">
      <c r="A1075" s="38" t="inlineStr">
        <is>
          <t>Conta corrente MFRUGIS09.XLS</t>
        </is>
      </c>
      <c r="B1075" s="39" t="n">
        <v>40116</v>
      </c>
      <c r="C1075" s="4" t="n">
        <v>40087</v>
      </c>
      <c r="D1075" s="5">
        <f>YEAR(C1075)</f>
        <v/>
      </c>
      <c r="E1075" s="5">
        <f>MONTH(C1075)</f>
        <v/>
      </c>
      <c r="F1075" s="38" t="inlineStr">
        <is>
          <t>NFV  :TENDA ATACADO LTDA</t>
        </is>
      </c>
      <c r="G1075" s="38" t="inlineStr">
        <is>
          <t>MARIO FRUGIS (01.04.01)</t>
        </is>
      </c>
      <c r="H1075" s="38" t="inlineStr">
        <is>
          <t>NFV</t>
        </is>
      </c>
      <c r="I1075" s="40" t="n">
        <v>61.69</v>
      </c>
      <c r="J1075" s="40" t="n">
        <v>0</v>
      </c>
      <c r="K1075" s="6">
        <f>I1075-J1075</f>
        <v/>
      </c>
      <c r="L1075" s="6">
        <f>IF(H1075="DISTRATO",0,I1075)</f>
        <v/>
      </c>
    </row>
    <row r="1076">
      <c r="A1076" s="38" t="inlineStr">
        <is>
          <t>Conta corrente MFRUGIS09.XLS</t>
        </is>
      </c>
      <c r="B1076" s="39" t="n">
        <v>40116</v>
      </c>
      <c r="C1076" s="4" t="n">
        <v>40087</v>
      </c>
      <c r="D1076" s="5">
        <f>YEAR(C1076)</f>
        <v/>
      </c>
      <c r="E1076" s="5">
        <f>MONTH(C1076)</f>
        <v/>
      </c>
      <c r="F1076" s="38" t="inlineStr">
        <is>
          <t>NFV  :TENDA ATACADO LTDA</t>
        </is>
      </c>
      <c r="G1076" s="38" t="inlineStr">
        <is>
          <t>MARIO FRUGIS (01.04.01)</t>
        </is>
      </c>
      <c r="H1076" s="38" t="inlineStr">
        <is>
          <t>NFV</t>
        </is>
      </c>
      <c r="I1076" s="40" t="n">
        <v>66.08</v>
      </c>
      <c r="J1076" s="40" t="n">
        <v>0</v>
      </c>
      <c r="K1076" s="6">
        <f>I1076-J1076</f>
        <v/>
      </c>
      <c r="L1076" s="6">
        <f>IF(H1076="DISTRATO",0,I1076)</f>
        <v/>
      </c>
    </row>
    <row r="1077">
      <c r="A1077" s="38" t="inlineStr">
        <is>
          <t>Conta corrente MFRUGIS09.XLS</t>
        </is>
      </c>
      <c r="B1077" s="39" t="n">
        <v>40116</v>
      </c>
      <c r="C1077" s="4" t="n">
        <v>40087</v>
      </c>
      <c r="D1077" s="5">
        <f>YEAR(C1077)</f>
        <v/>
      </c>
      <c r="E1077" s="5">
        <f>MONTH(C1077)</f>
        <v/>
      </c>
      <c r="F1077" s="38" t="inlineStr">
        <is>
          <t>NFV  :TENDA ATACADO LTDA</t>
        </is>
      </c>
      <c r="G1077" s="38" t="inlineStr">
        <is>
          <t>MARIO FRUGIS (01.04.01)</t>
        </is>
      </c>
      <c r="H1077" s="38" t="inlineStr">
        <is>
          <t>NFV</t>
        </is>
      </c>
      <c r="I1077" s="40" t="n">
        <v>42.76</v>
      </c>
      <c r="J1077" s="40" t="n">
        <v>0</v>
      </c>
      <c r="K1077" s="6">
        <f>I1077-J1077</f>
        <v/>
      </c>
      <c r="L1077" s="6">
        <f>IF(H1077="DISTRATO",0,I1077)</f>
        <v/>
      </c>
    </row>
    <row r="1078">
      <c r="A1078" s="38" t="inlineStr">
        <is>
          <t>Conta corrente MFRUGIS09.XLS</t>
        </is>
      </c>
      <c r="B1078" s="39" t="n">
        <v>40116</v>
      </c>
      <c r="C1078" s="4" t="n">
        <v>40087</v>
      </c>
      <c r="D1078" s="5">
        <f>YEAR(C1078)</f>
        <v/>
      </c>
      <c r="E1078" s="5">
        <f>MONTH(C1078)</f>
        <v/>
      </c>
      <c r="F1078" s="38" t="inlineStr">
        <is>
          <t>NFV  :TENDA ATACADO LTDA</t>
        </is>
      </c>
      <c r="G1078" s="38" t="inlineStr">
        <is>
          <t>MARIO FRUGIS (01.04.01)</t>
        </is>
      </c>
      <c r="H1078" s="38" t="inlineStr">
        <is>
          <t>NFV</t>
        </is>
      </c>
      <c r="I1078" s="40" t="n">
        <v>14.2</v>
      </c>
      <c r="J1078" s="40" t="n">
        <v>0</v>
      </c>
      <c r="K1078" s="6">
        <f>I1078-J1078</f>
        <v/>
      </c>
      <c r="L1078" s="6">
        <f>IF(H1078="DISTRATO",0,I1078)</f>
        <v/>
      </c>
    </row>
    <row r="1079">
      <c r="A1079" s="38" t="inlineStr">
        <is>
          <t>Conta corrente MFRUGIS09.XLS</t>
        </is>
      </c>
      <c r="B1079" s="39" t="n">
        <v>40116</v>
      </c>
      <c r="C1079" s="4" t="n">
        <v>40087</v>
      </c>
      <c r="D1079" s="5">
        <f>YEAR(C1079)</f>
        <v/>
      </c>
      <c r="E1079" s="5">
        <f>MONTH(C1079)</f>
        <v/>
      </c>
      <c r="F1079" s="38" t="inlineStr">
        <is>
          <t>NFV  :TENDA ATACADO LTDA</t>
        </is>
      </c>
      <c r="G1079" s="38" t="inlineStr">
        <is>
          <t>MARIO FRUGIS (01.04.01)</t>
        </is>
      </c>
      <c r="H1079" s="38" t="inlineStr">
        <is>
          <t>NFV</t>
        </is>
      </c>
      <c r="I1079" s="40" t="n">
        <v>52.39</v>
      </c>
      <c r="J1079" s="40" t="n">
        <v>0</v>
      </c>
      <c r="K1079" s="6">
        <f>I1079-J1079</f>
        <v/>
      </c>
      <c r="L1079" s="6">
        <f>IF(H1079="DISTRATO",0,I1079)</f>
        <v/>
      </c>
    </row>
    <row r="1080">
      <c r="A1080" s="38" t="inlineStr">
        <is>
          <t>Conta corrente MFRUGIS09.XLS</t>
        </is>
      </c>
      <c r="B1080" s="39" t="n">
        <v>40116</v>
      </c>
      <c r="C1080" s="4" t="n">
        <v>40087</v>
      </c>
      <c r="D1080" s="5">
        <f>YEAR(C1080)</f>
        <v/>
      </c>
      <c r="E1080" s="5">
        <f>MONTH(C1080)</f>
        <v/>
      </c>
      <c r="F1080" s="38" t="inlineStr">
        <is>
          <t>NFV  :TENDA ATACADO LTDA</t>
        </is>
      </c>
      <c r="G1080" s="38" t="inlineStr">
        <is>
          <t>MARIO FRUGIS (01.04.01)</t>
        </is>
      </c>
      <c r="H1080" s="38" t="inlineStr">
        <is>
          <t>NFV</t>
        </is>
      </c>
      <c r="I1080" s="40" t="n">
        <v>80.95</v>
      </c>
      <c r="J1080" s="40" t="n">
        <v>0</v>
      </c>
      <c r="K1080" s="6">
        <f>I1080-J1080</f>
        <v/>
      </c>
      <c r="L1080" s="6">
        <f>IF(H1080="DISTRATO",0,I1080)</f>
        <v/>
      </c>
    </row>
    <row r="1081">
      <c r="A1081" s="38" t="inlineStr">
        <is>
          <t>Conta corrente MFRUGIS09.XLS</t>
        </is>
      </c>
      <c r="B1081" s="39" t="n">
        <v>40116</v>
      </c>
      <c r="C1081" s="4" t="n">
        <v>40087</v>
      </c>
      <c r="D1081" s="5">
        <f>YEAR(C1081)</f>
        <v/>
      </c>
      <c r="E1081" s="5">
        <f>MONTH(C1081)</f>
        <v/>
      </c>
      <c r="F1081" s="38" t="inlineStr">
        <is>
          <t>NFV  :TENDA ATACADO LTDA</t>
        </is>
      </c>
      <c r="G1081" s="38" t="inlineStr">
        <is>
          <t>MARIO FRUGIS (01.04.01)</t>
        </is>
      </c>
      <c r="H1081" s="38" t="inlineStr">
        <is>
          <t>NFV</t>
        </is>
      </c>
      <c r="I1081" s="40" t="n">
        <v>42.25</v>
      </c>
      <c r="J1081" s="40" t="n">
        <v>0</v>
      </c>
      <c r="K1081" s="6">
        <f>I1081-J1081</f>
        <v/>
      </c>
      <c r="L1081" s="6">
        <f>IF(H1081="DISTRATO",0,I1081)</f>
        <v/>
      </c>
    </row>
    <row r="1082">
      <c r="A1082" s="38" t="inlineStr">
        <is>
          <t>Conta corrente MFRUGIS09.XLS</t>
        </is>
      </c>
      <c r="B1082" s="39" t="n">
        <v>40123</v>
      </c>
      <c r="C1082" s="4" t="n">
        <v>40118</v>
      </c>
      <c r="D1082" s="5">
        <f>YEAR(C1082)</f>
        <v/>
      </c>
      <c r="E1082" s="5">
        <f>MONTH(C1082)</f>
        <v/>
      </c>
      <c r="F1082" s="38" t="inlineStr">
        <is>
          <t>NFV  :TENDA ATACADO LTDA</t>
        </is>
      </c>
      <c r="G1082" s="38" t="inlineStr">
        <is>
          <t>MARIO FRUGIS (01.04.01)</t>
        </is>
      </c>
      <c r="H1082" s="38" t="inlineStr">
        <is>
          <t>NFV</t>
        </is>
      </c>
      <c r="I1082" s="40" t="n">
        <v>52.39</v>
      </c>
      <c r="J1082" s="40" t="n">
        <v>0</v>
      </c>
      <c r="K1082" s="6">
        <f>I1082-J1082</f>
        <v/>
      </c>
      <c r="L1082" s="6">
        <f>IF(H1082="DISTRATO",0,I1082)</f>
        <v/>
      </c>
    </row>
    <row r="1083">
      <c r="A1083" s="38" t="inlineStr">
        <is>
          <t>Conta corrente MFRUGIS09.XLS</t>
        </is>
      </c>
      <c r="B1083" s="39" t="n">
        <v>40128</v>
      </c>
      <c r="C1083" s="4" t="n">
        <v>40118</v>
      </c>
      <c r="D1083" s="5">
        <f>YEAR(C1083)</f>
        <v/>
      </c>
      <c r="E1083" s="5">
        <f>MONTH(C1083)</f>
        <v/>
      </c>
      <c r="F1083" s="38" t="inlineStr">
        <is>
          <t>NFV  :TENDA ATACADO LTDA</t>
        </is>
      </c>
      <c r="G1083" s="38" t="inlineStr">
        <is>
          <t>MARIO FRUGIS (01.04.01)</t>
        </is>
      </c>
      <c r="H1083" s="38" t="inlineStr">
        <is>
          <t>NFV</t>
        </is>
      </c>
      <c r="I1083" s="40" t="n">
        <v>47.33</v>
      </c>
      <c r="J1083" s="40" t="n">
        <v>0</v>
      </c>
      <c r="K1083" s="6">
        <f>I1083-J1083</f>
        <v/>
      </c>
      <c r="L1083" s="6">
        <f>IF(H1083="DISTRATO",0,I1083)</f>
        <v/>
      </c>
    </row>
    <row r="1084">
      <c r="A1084" s="38" t="inlineStr">
        <is>
          <t>Conta corrente MFRUGIS09.XLS</t>
        </is>
      </c>
      <c r="B1084" s="39" t="n">
        <v>40128</v>
      </c>
      <c r="C1084" s="4" t="n">
        <v>40118</v>
      </c>
      <c r="D1084" s="5">
        <f>YEAR(C1084)</f>
        <v/>
      </c>
      <c r="E1084" s="5">
        <f>MONTH(C1084)</f>
        <v/>
      </c>
      <c r="F1084" s="38" t="inlineStr">
        <is>
          <t>NFV  :TENDA ATACADO LTDA</t>
        </is>
      </c>
      <c r="G1084" s="38" t="inlineStr">
        <is>
          <t>MARIO FRUGIS (01.04.01)</t>
        </is>
      </c>
      <c r="H1084" s="38" t="inlineStr">
        <is>
          <t>NFV</t>
        </is>
      </c>
      <c r="I1084" s="40" t="n">
        <v>47.33</v>
      </c>
      <c r="J1084" s="40" t="n">
        <v>0</v>
      </c>
      <c r="K1084" s="6">
        <f>I1084-J1084</f>
        <v/>
      </c>
      <c r="L1084" s="6">
        <f>IF(H1084="DISTRATO",0,I1084)</f>
        <v/>
      </c>
    </row>
    <row r="1085">
      <c r="A1085" s="38" t="inlineStr">
        <is>
          <t>Conta corrente MFRUGIS09.XLS</t>
        </is>
      </c>
      <c r="B1085" s="39" t="n">
        <v>40129</v>
      </c>
      <c r="C1085" s="4" t="n">
        <v>40118</v>
      </c>
      <c r="D1085" s="5">
        <f>YEAR(C1085)</f>
        <v/>
      </c>
      <c r="E1085" s="5">
        <f>MONTH(C1085)</f>
        <v/>
      </c>
      <c r="F1085" s="38" t="inlineStr">
        <is>
          <t>NFV  :TENDA ATACADO LTDA</t>
        </is>
      </c>
      <c r="G1085" s="38" t="inlineStr">
        <is>
          <t>MARIO FRUGIS (01.04.01)</t>
        </is>
      </c>
      <c r="H1085" s="38" t="inlineStr">
        <is>
          <t>NFV</t>
        </is>
      </c>
      <c r="I1085" s="40" t="n">
        <v>98.31999999999999</v>
      </c>
      <c r="J1085" s="40" t="n">
        <v>0</v>
      </c>
      <c r="K1085" s="6">
        <f>I1085-J1085</f>
        <v/>
      </c>
      <c r="L1085" s="6">
        <f>IF(H1085="DISTRATO",0,I1085)</f>
        <v/>
      </c>
    </row>
    <row r="1086">
      <c r="A1086" s="38" t="inlineStr">
        <is>
          <t>Conta corrente MFRUGIS09.XLS</t>
        </is>
      </c>
      <c r="B1086" s="39" t="n">
        <v>40129</v>
      </c>
      <c r="C1086" s="4" t="n">
        <v>40118</v>
      </c>
      <c r="D1086" s="5">
        <f>YEAR(C1086)</f>
        <v/>
      </c>
      <c r="E1086" s="5">
        <f>MONTH(C1086)</f>
        <v/>
      </c>
      <c r="F1086" s="38" t="inlineStr">
        <is>
          <t>NFV  :TENDA ATACADO LTDA</t>
        </is>
      </c>
      <c r="G1086" s="38" t="inlineStr">
        <is>
          <t>MARIO FRUGIS (01.04.01)</t>
        </is>
      </c>
      <c r="H1086" s="38" t="inlineStr">
        <is>
          <t>NFV</t>
        </is>
      </c>
      <c r="I1086" s="40" t="n">
        <v>129.48</v>
      </c>
      <c r="J1086" s="40" t="n">
        <v>0</v>
      </c>
      <c r="K1086" s="6">
        <f>I1086-J1086</f>
        <v/>
      </c>
      <c r="L1086" s="6">
        <f>IF(H1086="DISTRATO",0,I1086)</f>
        <v/>
      </c>
    </row>
    <row r="1087">
      <c r="A1087" s="38" t="inlineStr">
        <is>
          <t>Conta corrente MFRUGIS09.XLS</t>
        </is>
      </c>
      <c r="B1087" s="39" t="n">
        <v>40129</v>
      </c>
      <c r="C1087" s="4" t="n">
        <v>40118</v>
      </c>
      <c r="D1087" s="5">
        <f>YEAR(C1087)</f>
        <v/>
      </c>
      <c r="E1087" s="5">
        <f>MONTH(C1087)</f>
        <v/>
      </c>
      <c r="F1087" s="38" t="inlineStr">
        <is>
          <t>NFV  :TENDA ATACADO LTDA</t>
        </is>
      </c>
      <c r="G1087" s="38" t="inlineStr">
        <is>
          <t>MARIO FRUGIS (01.04.01)</t>
        </is>
      </c>
      <c r="H1087" s="38" t="inlineStr">
        <is>
          <t>NFV</t>
        </is>
      </c>
      <c r="I1087" s="40" t="n">
        <v>160.58</v>
      </c>
      <c r="J1087" s="40" t="n">
        <v>0</v>
      </c>
      <c r="K1087" s="6">
        <f>I1087-J1087</f>
        <v/>
      </c>
      <c r="L1087" s="6">
        <f>IF(H1087="DISTRATO",0,I1087)</f>
        <v/>
      </c>
    </row>
    <row r="1088">
      <c r="A1088" s="38" t="inlineStr">
        <is>
          <t>Conta corrente MFRUGIS09.XLS</t>
        </is>
      </c>
      <c r="B1088" s="39" t="n">
        <v>40129</v>
      </c>
      <c r="C1088" s="4" t="n">
        <v>40118</v>
      </c>
      <c r="D1088" s="5">
        <f>YEAR(C1088)</f>
        <v/>
      </c>
      <c r="E1088" s="5">
        <f>MONTH(C1088)</f>
        <v/>
      </c>
      <c r="F1088" s="38" t="inlineStr">
        <is>
          <t>NFV  :TENDA ATACADO LTDA</t>
        </is>
      </c>
      <c r="G1088" s="38" t="inlineStr">
        <is>
          <t>MARIO FRUGIS (01.04.01)</t>
        </is>
      </c>
      <c r="H1088" s="38" t="inlineStr">
        <is>
          <t>NFV</t>
        </is>
      </c>
      <c r="I1088" s="40" t="n">
        <v>178.09</v>
      </c>
      <c r="J1088" s="40" t="n">
        <v>0</v>
      </c>
      <c r="K1088" s="6">
        <f>I1088-J1088</f>
        <v/>
      </c>
      <c r="L1088" s="6">
        <f>IF(H1088="DISTRATO",0,I1088)</f>
        <v/>
      </c>
    </row>
    <row r="1089">
      <c r="A1089" s="38" t="inlineStr">
        <is>
          <t>Conta corrente MFRUGIS09.XLS</t>
        </is>
      </c>
      <c r="B1089" s="39" t="n">
        <v>40129</v>
      </c>
      <c r="C1089" s="4" t="n">
        <v>40118</v>
      </c>
      <c r="D1089" s="5">
        <f>YEAR(C1089)</f>
        <v/>
      </c>
      <c r="E1089" s="5">
        <f>MONTH(C1089)</f>
        <v/>
      </c>
      <c r="F1089" s="38" t="inlineStr">
        <is>
          <t>NFV  :TENDA ATACADO LTDA</t>
        </is>
      </c>
      <c r="G1089" s="38" t="inlineStr">
        <is>
          <t>MARIO FRUGIS (01.04.01)</t>
        </is>
      </c>
      <c r="H1089" s="38" t="inlineStr">
        <is>
          <t>NFV</t>
        </is>
      </c>
      <c r="I1089" s="40" t="n">
        <v>70.98999999999999</v>
      </c>
      <c r="J1089" s="40" t="n">
        <v>0</v>
      </c>
      <c r="K1089" s="6">
        <f>I1089-J1089</f>
        <v/>
      </c>
      <c r="L1089" s="6">
        <f>IF(H1089="DISTRATO",0,I1089)</f>
        <v/>
      </c>
    </row>
    <row r="1090">
      <c r="A1090" s="38" t="inlineStr">
        <is>
          <t>Conta corrente MFRUGIS09.XLS</t>
        </is>
      </c>
      <c r="B1090" s="39" t="n">
        <v>40129</v>
      </c>
      <c r="C1090" s="4" t="n">
        <v>40118</v>
      </c>
      <c r="D1090" s="5">
        <f>YEAR(C1090)</f>
        <v/>
      </c>
      <c r="E1090" s="5">
        <f>MONTH(C1090)</f>
        <v/>
      </c>
      <c r="F1090" s="38" t="inlineStr">
        <is>
          <t>NFV  :TENDA ATACADO LTDA</t>
        </is>
      </c>
      <c r="G1090" s="38" t="inlineStr">
        <is>
          <t>MARIO FRUGIS (01.04.01)</t>
        </is>
      </c>
      <c r="H1090" s="38" t="inlineStr">
        <is>
          <t>NFV</t>
        </is>
      </c>
      <c r="I1090" s="40" t="n">
        <v>107.18</v>
      </c>
      <c r="J1090" s="40" t="n">
        <v>0</v>
      </c>
      <c r="K1090" s="6">
        <f>I1090-J1090</f>
        <v/>
      </c>
      <c r="L1090" s="6">
        <f>IF(H1090="DISTRATO",0,I1090)</f>
        <v/>
      </c>
    </row>
    <row r="1091">
      <c r="A1091" s="38" t="inlineStr">
        <is>
          <t>Conta corrente MFRUGIS09.XLS</t>
        </is>
      </c>
      <c r="B1091" s="39" t="n">
        <v>40129</v>
      </c>
      <c r="C1091" s="4" t="n">
        <v>40118</v>
      </c>
      <c r="D1091" s="5">
        <f>YEAR(C1091)</f>
        <v/>
      </c>
      <c r="E1091" s="5">
        <f>MONTH(C1091)</f>
        <v/>
      </c>
      <c r="F1091" s="38" t="inlineStr">
        <is>
          <t>NFV  :TENDA ATACADO LTDA</t>
        </is>
      </c>
      <c r="G1091" s="38" t="inlineStr">
        <is>
          <t>MARIO FRUGIS (01.04.01)</t>
        </is>
      </c>
      <c r="H1091" s="38" t="inlineStr">
        <is>
          <t>NFV</t>
        </is>
      </c>
      <c r="I1091" s="40" t="n">
        <v>146.36</v>
      </c>
      <c r="J1091" s="40" t="n">
        <v>0</v>
      </c>
      <c r="K1091" s="6">
        <f>I1091-J1091</f>
        <v/>
      </c>
      <c r="L1091" s="6">
        <f>IF(H1091="DISTRATO",0,I1091)</f>
        <v/>
      </c>
    </row>
    <row r="1092">
      <c r="A1092" s="38" t="inlineStr">
        <is>
          <t>Conta corrente MFRUGIS09.XLS</t>
        </is>
      </c>
      <c r="B1092" s="39" t="n">
        <v>40129</v>
      </c>
      <c r="C1092" s="4" t="n">
        <v>40118</v>
      </c>
      <c r="D1092" s="5">
        <f>YEAR(C1092)</f>
        <v/>
      </c>
      <c r="E1092" s="5">
        <f>MONTH(C1092)</f>
        <v/>
      </c>
      <c r="F1092" s="38" t="inlineStr">
        <is>
          <t>NFV  :TENDA ATACADO LTDA</t>
        </is>
      </c>
      <c r="G1092" s="38" t="inlineStr">
        <is>
          <t>MARIO FRUGIS (01.04.01)</t>
        </is>
      </c>
      <c r="H1092" s="38" t="inlineStr">
        <is>
          <t>NFV</t>
        </is>
      </c>
      <c r="I1092" s="40" t="n">
        <v>148.76</v>
      </c>
      <c r="J1092" s="40" t="n">
        <v>0</v>
      </c>
      <c r="K1092" s="6">
        <f>I1092-J1092</f>
        <v/>
      </c>
      <c r="L1092" s="6">
        <f>IF(H1092="DISTRATO",0,I1092)</f>
        <v/>
      </c>
    </row>
    <row r="1093">
      <c r="A1093" s="38" t="inlineStr">
        <is>
          <t>Conta corrente MFRUGIS09.XLS</t>
        </is>
      </c>
      <c r="B1093" s="39" t="n">
        <v>40129</v>
      </c>
      <c r="C1093" s="4" t="n">
        <v>40118</v>
      </c>
      <c r="D1093" s="5">
        <f>YEAR(C1093)</f>
        <v/>
      </c>
      <c r="E1093" s="5">
        <f>MONTH(C1093)</f>
        <v/>
      </c>
      <c r="F1093" s="38" t="inlineStr">
        <is>
          <t>NFV  :TENDA ATACADO LTDA</t>
        </is>
      </c>
      <c r="G1093" s="38" t="inlineStr">
        <is>
          <t>MARIO FRUGIS (01.04.01)</t>
        </is>
      </c>
      <c r="H1093" s="38" t="inlineStr">
        <is>
          <t>NFV</t>
        </is>
      </c>
      <c r="I1093" s="40" t="n">
        <v>151.68</v>
      </c>
      <c r="J1093" s="40" t="n">
        <v>0</v>
      </c>
      <c r="K1093" s="6">
        <f>I1093-J1093</f>
        <v/>
      </c>
      <c r="L1093" s="6">
        <f>IF(H1093="DISTRATO",0,I1093)</f>
        <v/>
      </c>
    </row>
    <row r="1094">
      <c r="A1094" s="38" t="inlineStr">
        <is>
          <t>Conta corrente MFRUGIS09.XLS</t>
        </is>
      </c>
      <c r="B1094" s="39" t="n">
        <v>40129</v>
      </c>
      <c r="C1094" s="4" t="n">
        <v>40118</v>
      </c>
      <c r="D1094" s="5">
        <f>YEAR(C1094)</f>
        <v/>
      </c>
      <c r="E1094" s="5">
        <f>MONTH(C1094)</f>
        <v/>
      </c>
      <c r="F1094" s="38" t="inlineStr">
        <is>
          <t>NFV  :TENDA ATACADO LTDA</t>
        </is>
      </c>
      <c r="G1094" s="38" t="inlineStr">
        <is>
          <t>MARIO FRUGIS (01.04.01)</t>
        </is>
      </c>
      <c r="H1094" s="38" t="inlineStr">
        <is>
          <t>NFV</t>
        </is>
      </c>
      <c r="I1094" s="40" t="n">
        <v>54</v>
      </c>
      <c r="J1094" s="40" t="n">
        <v>0</v>
      </c>
      <c r="K1094" s="6">
        <f>I1094-J1094</f>
        <v/>
      </c>
      <c r="L1094" s="6">
        <f>IF(H1094="DISTRATO",0,I1094)</f>
        <v/>
      </c>
    </row>
    <row r="1095">
      <c r="A1095" s="38" t="inlineStr">
        <is>
          <t>Conta corrente MFRUGIS09.XLS</t>
        </is>
      </c>
      <c r="B1095" s="39" t="n">
        <v>40129</v>
      </c>
      <c r="C1095" s="4" t="n">
        <v>40118</v>
      </c>
      <c r="D1095" s="5">
        <f>YEAR(C1095)</f>
        <v/>
      </c>
      <c r="E1095" s="5">
        <f>MONTH(C1095)</f>
        <v/>
      </c>
      <c r="F1095" s="38" t="inlineStr">
        <is>
          <t>NFV  :TENDA ATACADO LTDA</t>
        </is>
      </c>
      <c r="G1095" s="38" t="inlineStr">
        <is>
          <t>MARIO FRUGIS (01.04.01)</t>
        </is>
      </c>
      <c r="H1095" s="38" t="inlineStr">
        <is>
          <t>NFV</t>
        </is>
      </c>
      <c r="I1095" s="40" t="n">
        <v>85.58</v>
      </c>
      <c r="J1095" s="40" t="n">
        <v>0</v>
      </c>
      <c r="K1095" s="6">
        <f>I1095-J1095</f>
        <v/>
      </c>
      <c r="L1095" s="6">
        <f>IF(H1095="DISTRATO",0,I1095)</f>
        <v/>
      </c>
    </row>
    <row r="1096">
      <c r="A1096" s="38" t="inlineStr">
        <is>
          <t>Conta corrente MFRUGIS09.XLS</t>
        </is>
      </c>
      <c r="B1096" s="39" t="n">
        <v>40129</v>
      </c>
      <c r="C1096" s="4" t="n">
        <v>40118</v>
      </c>
      <c r="D1096" s="5">
        <f>YEAR(C1096)</f>
        <v/>
      </c>
      <c r="E1096" s="5">
        <f>MONTH(C1096)</f>
        <v/>
      </c>
      <c r="F1096" s="38" t="inlineStr">
        <is>
          <t>NFV  :TENDA ATACADO LTDA</t>
        </is>
      </c>
      <c r="G1096" s="38" t="inlineStr">
        <is>
          <t>MARIO FRUGIS (01.04.01)</t>
        </is>
      </c>
      <c r="H1096" s="38" t="inlineStr">
        <is>
          <t>NFV</t>
        </is>
      </c>
      <c r="I1096" s="40" t="n">
        <v>114.15</v>
      </c>
      <c r="J1096" s="40" t="n">
        <v>0</v>
      </c>
      <c r="K1096" s="6">
        <f>I1096-J1096</f>
        <v/>
      </c>
      <c r="L1096" s="6">
        <f>IF(H1096="DISTRATO",0,I1096)</f>
        <v/>
      </c>
    </row>
    <row r="1097">
      <c r="A1097" s="38" t="inlineStr">
        <is>
          <t>Conta corrente MFRUGIS09.XLS</t>
        </is>
      </c>
      <c r="B1097" s="39" t="n">
        <v>40129</v>
      </c>
      <c r="C1097" s="4" t="n">
        <v>40118</v>
      </c>
      <c r="D1097" s="5">
        <f>YEAR(C1097)</f>
        <v/>
      </c>
      <c r="E1097" s="5">
        <f>MONTH(C1097)</f>
        <v/>
      </c>
      <c r="F1097" s="38" t="inlineStr">
        <is>
          <t>NFV  :TENDA ATACADO LTDA</t>
        </is>
      </c>
      <c r="G1097" s="38" t="inlineStr">
        <is>
          <t>MARIO FRUGIS (01.04.01)</t>
        </is>
      </c>
      <c r="H1097" s="38" t="inlineStr">
        <is>
          <t>NFV</t>
        </is>
      </c>
      <c r="I1097" s="40" t="n">
        <v>43.46</v>
      </c>
      <c r="J1097" s="40" t="n">
        <v>0</v>
      </c>
      <c r="K1097" s="6">
        <f>I1097-J1097</f>
        <v/>
      </c>
      <c r="L1097" s="6">
        <f>IF(H1097="DISTRATO",0,I1097)</f>
        <v/>
      </c>
    </row>
    <row r="1098">
      <c r="A1098" s="38" t="inlineStr">
        <is>
          <t>Conta corrente MFRUGIS09.XLS</t>
        </is>
      </c>
      <c r="B1098" s="39" t="n">
        <v>40133</v>
      </c>
      <c r="C1098" s="4" t="n">
        <v>40118</v>
      </c>
      <c r="D1098" s="5">
        <f>YEAR(C1098)</f>
        <v/>
      </c>
      <c r="E1098" s="5">
        <f>MONTH(C1098)</f>
        <v/>
      </c>
      <c r="F1098" s="38" t="inlineStr">
        <is>
          <t>NFV  :TENDA ATACADO LTDA</t>
        </is>
      </c>
      <c r="G1098" s="38" t="inlineStr">
        <is>
          <t>MARIO FRUGIS (01.04.01)</t>
        </is>
      </c>
      <c r="H1098" s="38" t="inlineStr">
        <is>
          <t>NFV</t>
        </is>
      </c>
      <c r="I1098" s="40" t="n">
        <v>148.76</v>
      </c>
      <c r="J1098" s="40" t="n">
        <v>0</v>
      </c>
      <c r="K1098" s="6">
        <f>I1098-J1098</f>
        <v/>
      </c>
      <c r="L1098" s="6">
        <f>IF(H1098="DISTRATO",0,I1098)</f>
        <v/>
      </c>
    </row>
    <row r="1099">
      <c r="A1099" s="38" t="inlineStr">
        <is>
          <t>Conta corrente MFRUGIS09.XLS</t>
        </is>
      </c>
      <c r="B1099" s="39" t="n">
        <v>40135</v>
      </c>
      <c r="C1099" s="4" t="n">
        <v>40118</v>
      </c>
      <c r="D1099" s="5">
        <f>YEAR(C1099)</f>
        <v/>
      </c>
      <c r="E1099" s="5">
        <f>MONTH(C1099)</f>
        <v/>
      </c>
      <c r="F1099" s="38" t="inlineStr">
        <is>
          <t>NFV  :TENDA ATACADO LTDA</t>
        </is>
      </c>
      <c r="G1099" s="38" t="inlineStr">
        <is>
          <t>MARIO FRUGIS (01.04.01)</t>
        </is>
      </c>
      <c r="H1099" s="38" t="inlineStr">
        <is>
          <t>NFV</t>
        </is>
      </c>
      <c r="I1099" s="40" t="n">
        <v>70.98999999999999</v>
      </c>
      <c r="J1099" s="40" t="n">
        <v>0</v>
      </c>
      <c r="K1099" s="6">
        <f>I1099-J1099</f>
        <v/>
      </c>
      <c r="L1099" s="6">
        <f>IF(H1099="DISTRATO",0,I1099)</f>
        <v/>
      </c>
    </row>
    <row r="1100">
      <c r="A1100" s="38" t="inlineStr">
        <is>
          <t>Conta corrente MFRUGIS09.XLS</t>
        </is>
      </c>
      <c r="B1100" s="39" t="n">
        <v>40136</v>
      </c>
      <c r="C1100" s="4" t="n">
        <v>40118</v>
      </c>
      <c r="D1100" s="5">
        <f>YEAR(C1100)</f>
        <v/>
      </c>
      <c r="E1100" s="5">
        <f>MONTH(C1100)</f>
        <v/>
      </c>
      <c r="F1100" s="38" t="inlineStr">
        <is>
          <t>NFV  :TENDA ATACADO LTDA</t>
        </is>
      </c>
      <c r="G1100" s="38" t="inlineStr">
        <is>
          <t>MARIO FRUGIS (01.04.01)</t>
        </is>
      </c>
      <c r="H1100" s="38" t="inlineStr">
        <is>
          <t>NFV</t>
        </is>
      </c>
      <c r="I1100" s="40" t="n">
        <v>70.98999999999999</v>
      </c>
      <c r="J1100" s="40" t="n">
        <v>0</v>
      </c>
      <c r="K1100" s="6">
        <f>I1100-J1100</f>
        <v/>
      </c>
      <c r="L1100" s="6">
        <f>IF(H1100="DISTRATO",0,I1100)</f>
        <v/>
      </c>
    </row>
    <row r="1101">
      <c r="A1101" s="38" t="inlineStr">
        <is>
          <t>Conta corrente MFRUGIS09.XLS</t>
        </is>
      </c>
      <c r="B1101" s="39" t="n">
        <v>40136</v>
      </c>
      <c r="C1101" s="4" t="n">
        <v>40118</v>
      </c>
      <c r="D1101" s="5">
        <f>YEAR(C1101)</f>
        <v/>
      </c>
      <c r="E1101" s="5">
        <f>MONTH(C1101)</f>
        <v/>
      </c>
      <c r="F1101" s="38" t="inlineStr">
        <is>
          <t>NFV  :TENDA ATACADO LTDA</t>
        </is>
      </c>
      <c r="G1101" s="38" t="inlineStr">
        <is>
          <t>MARIO FRUGIS (01.04.01)</t>
        </is>
      </c>
      <c r="H1101" s="38" t="inlineStr">
        <is>
          <t>NFV</t>
        </is>
      </c>
      <c r="I1101" s="40" t="n">
        <v>70.98999999999999</v>
      </c>
      <c r="J1101" s="40" t="n">
        <v>0</v>
      </c>
      <c r="K1101" s="6">
        <f>I1101-J1101</f>
        <v/>
      </c>
      <c r="L1101" s="6">
        <f>IF(H1101="DISTRATO",0,I1101)</f>
        <v/>
      </c>
    </row>
    <row r="1102">
      <c r="A1102" s="38" t="inlineStr">
        <is>
          <t>Conta corrente MFRUGIS09.XLS</t>
        </is>
      </c>
      <c r="B1102" s="39" t="n">
        <v>40136</v>
      </c>
      <c r="C1102" s="4" t="n">
        <v>40118</v>
      </c>
      <c r="D1102" s="5">
        <f>YEAR(C1102)</f>
        <v/>
      </c>
      <c r="E1102" s="5">
        <f>MONTH(C1102)</f>
        <v/>
      </c>
      <c r="F1102" s="38" t="inlineStr">
        <is>
          <t>NFV  :TENDA ATACADO LTDA</t>
        </is>
      </c>
      <c r="G1102" s="38" t="inlineStr">
        <is>
          <t>MARIO FRUGIS (01.04.01)</t>
        </is>
      </c>
      <c r="H1102" s="38" t="inlineStr">
        <is>
          <t>NFV</t>
        </is>
      </c>
      <c r="I1102" s="40" t="n">
        <v>94.66</v>
      </c>
      <c r="J1102" s="40" t="n">
        <v>0</v>
      </c>
      <c r="K1102" s="6">
        <f>I1102-J1102</f>
        <v/>
      </c>
      <c r="L1102" s="6">
        <f>IF(H1102="DISTRATO",0,I1102)</f>
        <v/>
      </c>
    </row>
    <row r="1103">
      <c r="A1103" s="38" t="inlineStr">
        <is>
          <t>Conta corrente MFRUGIS09.XLS</t>
        </is>
      </c>
      <c r="B1103" s="39" t="n">
        <v>40143</v>
      </c>
      <c r="C1103" s="4" t="n">
        <v>40118</v>
      </c>
      <c r="D1103" s="5">
        <f>YEAR(C1103)</f>
        <v/>
      </c>
      <c r="E1103" s="5">
        <f>MONTH(C1103)</f>
        <v/>
      </c>
      <c r="F1103" s="38" t="inlineStr">
        <is>
          <t>NFV  :TENDA ATACADO LTDA</t>
        </is>
      </c>
      <c r="G1103" s="38" t="inlineStr">
        <is>
          <t>MARIO FRUGIS (01.04.01)</t>
        </is>
      </c>
      <c r="H1103" s="38" t="inlineStr">
        <is>
          <t>NFV</t>
        </is>
      </c>
      <c r="I1103" s="40" t="n">
        <v>11.47</v>
      </c>
      <c r="J1103" s="40" t="n">
        <v>0</v>
      </c>
      <c r="K1103" s="6">
        <f>I1103-J1103</f>
        <v/>
      </c>
      <c r="L1103" s="6">
        <f>IF(H1103="DISTRATO",0,I1103)</f>
        <v/>
      </c>
    </row>
    <row r="1104">
      <c r="A1104" s="38" t="inlineStr">
        <is>
          <t>Conta corrente MFRUGIS09.XLS</t>
        </is>
      </c>
      <c r="B1104" s="39" t="n">
        <v>40143</v>
      </c>
      <c r="C1104" s="4" t="n">
        <v>40118</v>
      </c>
      <c r="D1104" s="5">
        <f>YEAR(C1104)</f>
        <v/>
      </c>
      <c r="E1104" s="5">
        <f>MONTH(C1104)</f>
        <v/>
      </c>
      <c r="F1104" s="38" t="inlineStr">
        <is>
          <t>NFV  :TENDA ATACADO LTDA</t>
        </is>
      </c>
      <c r="G1104" s="38" t="inlineStr">
        <is>
          <t>MARIO FRUGIS (01.04.01)</t>
        </is>
      </c>
      <c r="H1104" s="38" t="inlineStr">
        <is>
          <t>NFV</t>
        </is>
      </c>
      <c r="I1104" s="40" t="n">
        <v>45.19</v>
      </c>
      <c r="J1104" s="40" t="n">
        <v>0</v>
      </c>
      <c r="K1104" s="6">
        <f>I1104-J1104</f>
        <v/>
      </c>
      <c r="L1104" s="6">
        <f>IF(H1104="DISTRATO",0,I1104)</f>
        <v/>
      </c>
    </row>
    <row r="1105">
      <c r="A1105" s="38" t="inlineStr">
        <is>
          <t>Conta corrente MFRUGIS09.XLS</t>
        </is>
      </c>
      <c r="B1105" s="39" t="n">
        <v>40143</v>
      </c>
      <c r="C1105" s="4" t="n">
        <v>40118</v>
      </c>
      <c r="D1105" s="5">
        <f>YEAR(C1105)</f>
        <v/>
      </c>
      <c r="E1105" s="5">
        <f>MONTH(C1105)</f>
        <v/>
      </c>
      <c r="F1105" s="38" t="inlineStr">
        <is>
          <t>NFV  :TENDA ATACADO LTDA</t>
        </is>
      </c>
      <c r="G1105" s="38" t="inlineStr">
        <is>
          <t>MARIO FRUGIS (01.04.01)</t>
        </is>
      </c>
      <c r="H1105" s="38" t="inlineStr">
        <is>
          <t>NFV</t>
        </is>
      </c>
      <c r="I1105" s="40" t="n">
        <v>43.47</v>
      </c>
      <c r="J1105" s="40" t="n">
        <v>0</v>
      </c>
      <c r="K1105" s="6">
        <f>I1105-J1105</f>
        <v/>
      </c>
      <c r="L1105" s="6">
        <f>IF(H1105="DISTRATO",0,I1105)</f>
        <v/>
      </c>
    </row>
    <row r="1106">
      <c r="A1106" s="38" t="inlineStr">
        <is>
          <t>Conta corrente MFRUGIS09.XLS</t>
        </is>
      </c>
      <c r="B1106" s="39" t="n">
        <v>40143</v>
      </c>
      <c r="C1106" s="4" t="n">
        <v>40118</v>
      </c>
      <c r="D1106" s="5">
        <f>YEAR(C1106)</f>
        <v/>
      </c>
      <c r="E1106" s="5">
        <f>MONTH(C1106)</f>
        <v/>
      </c>
      <c r="F1106" s="38" t="inlineStr">
        <is>
          <t>NFV  :TENDA ATACADO LTDA</t>
        </is>
      </c>
      <c r="G1106" s="38" t="inlineStr">
        <is>
          <t>MARIO FRUGIS (01.04.01)</t>
        </is>
      </c>
      <c r="H1106" s="38" t="inlineStr">
        <is>
          <t>NFV</t>
        </is>
      </c>
      <c r="I1106" s="40" t="n">
        <v>35.01</v>
      </c>
      <c r="J1106" s="40" t="n">
        <v>0</v>
      </c>
      <c r="K1106" s="6">
        <f>I1106-J1106</f>
        <v/>
      </c>
      <c r="L1106" s="6">
        <f>IF(H1106="DISTRATO",0,I1106)</f>
        <v/>
      </c>
    </row>
    <row r="1107">
      <c r="A1107" s="38" t="inlineStr">
        <is>
          <t>Conta corrente MFRUGIS09.XLS</t>
        </is>
      </c>
      <c r="B1107" s="39" t="n">
        <v>40144</v>
      </c>
      <c r="C1107" s="4" t="n">
        <v>40118</v>
      </c>
      <c r="D1107" s="5">
        <f>YEAR(C1107)</f>
        <v/>
      </c>
      <c r="E1107" s="5">
        <f>MONTH(C1107)</f>
        <v/>
      </c>
      <c r="F1107" s="38" t="inlineStr">
        <is>
          <t>3 BONIF:TENDA ATACADO LTDA</t>
        </is>
      </c>
      <c r="G1107" s="38" t="inlineStr">
        <is>
          <t>MARIO FRUGIS (01.04.01)</t>
        </is>
      </c>
      <c r="H1107" s="38" t="inlineStr">
        <is>
          <t>BONIFICACAO</t>
        </is>
      </c>
      <c r="I1107" s="40" t="n">
        <v>-35.18</v>
      </c>
      <c r="J1107" s="40" t="n">
        <v>0</v>
      </c>
      <c r="K1107" s="6">
        <f>I1107-J1107</f>
        <v/>
      </c>
      <c r="L1107" s="6">
        <f>IF(H1107="DISTRATO",0,I1107)</f>
        <v/>
      </c>
    </row>
    <row r="1108">
      <c r="A1108" s="38" t="inlineStr">
        <is>
          <t>Conta corrente MFRUGIS09.XLS</t>
        </is>
      </c>
      <c r="B1108" s="39" t="n">
        <v>40144</v>
      </c>
      <c r="C1108" s="4" t="n">
        <v>40118</v>
      </c>
      <c r="D1108" s="5">
        <f>YEAR(C1108)</f>
        <v/>
      </c>
      <c r="E1108" s="5">
        <f>MONTH(C1108)</f>
        <v/>
      </c>
      <c r="F1108" s="38" t="inlineStr">
        <is>
          <t>BONIF:TENDA ATACADO LTDA</t>
        </is>
      </c>
      <c r="G1108" s="38" t="inlineStr">
        <is>
          <t>MARIO FRUGIS (01.04.01)</t>
        </is>
      </c>
      <c r="H1108" s="38" t="inlineStr">
        <is>
          <t>BONIFICACAO</t>
        </is>
      </c>
      <c r="I1108" s="40" t="n">
        <v>-35.18</v>
      </c>
      <c r="J1108" s="40" t="n">
        <v>0</v>
      </c>
      <c r="K1108" s="6">
        <f>I1108-J1108</f>
        <v/>
      </c>
      <c r="L1108" s="6">
        <f>IF(H1108="DISTRATO",0,I1108)</f>
        <v/>
      </c>
    </row>
    <row r="1109">
      <c r="A1109" s="38" t="inlineStr">
        <is>
          <t>Conta corrente MFRUGIS09.XLS</t>
        </is>
      </c>
      <c r="B1109" s="39" t="n">
        <v>40144</v>
      </c>
      <c r="C1109" s="4" t="n">
        <v>40118</v>
      </c>
      <c r="D1109" s="5">
        <f>YEAR(C1109)</f>
        <v/>
      </c>
      <c r="E1109" s="5">
        <f>MONTH(C1109)</f>
        <v/>
      </c>
      <c r="F1109" s="38" t="inlineStr">
        <is>
          <t>BONIF:TENDA ATACADO LTDA</t>
        </is>
      </c>
      <c r="G1109" s="38" t="inlineStr">
        <is>
          <t>MARIO FRUGIS (01.04.01)</t>
        </is>
      </c>
      <c r="H1109" s="38" t="inlineStr">
        <is>
          <t>BONIFICACAO</t>
        </is>
      </c>
      <c r="I1109" s="40" t="n">
        <v>-35.18</v>
      </c>
      <c r="J1109" s="40" t="n">
        <v>0</v>
      </c>
      <c r="K1109" s="6">
        <f>I1109-J1109</f>
        <v/>
      </c>
      <c r="L1109" s="6">
        <f>IF(H1109="DISTRATO",0,I1109)</f>
        <v/>
      </c>
    </row>
    <row r="1110">
      <c r="A1110" s="38" t="inlineStr">
        <is>
          <t>Conta corrente MFRUGIS09.XLS</t>
        </is>
      </c>
      <c r="B1110" s="39" t="n">
        <v>40144</v>
      </c>
      <c r="C1110" s="4" t="n">
        <v>40118</v>
      </c>
      <c r="D1110" s="5">
        <f>YEAR(C1110)</f>
        <v/>
      </c>
      <c r="E1110" s="5">
        <f>MONTH(C1110)</f>
        <v/>
      </c>
      <c r="F1110" s="38" t="inlineStr">
        <is>
          <t>BONIF:TENDA ATACADO LTDA               -</t>
        </is>
      </c>
      <c r="G1110" s="38" t="inlineStr">
        <is>
          <t>MARIO FRUGIS (01.04.01)</t>
        </is>
      </c>
      <c r="H1110" s="38" t="inlineStr">
        <is>
          <t>BONIFICACAO</t>
        </is>
      </c>
      <c r="I1110" s="40" t="n">
        <v>-194.48</v>
      </c>
      <c r="J1110" s="40" t="n">
        <v>0</v>
      </c>
      <c r="K1110" s="6">
        <f>I1110-J1110</f>
        <v/>
      </c>
      <c r="L1110" s="6">
        <f>IF(H1110="DISTRATO",0,I1110)</f>
        <v/>
      </c>
    </row>
    <row r="1111">
      <c r="A1111" s="38" t="inlineStr">
        <is>
          <t>Conta corrente MFRUGIS09.XLS</t>
        </is>
      </c>
      <c r="B1111" s="39" t="n">
        <v>40144</v>
      </c>
      <c r="C1111" s="4" t="n">
        <v>40118</v>
      </c>
      <c r="D1111" s="5">
        <f>YEAR(C1111)</f>
        <v/>
      </c>
      <c r="E1111" s="5">
        <f>MONTH(C1111)</f>
        <v/>
      </c>
      <c r="F1111" s="38" t="inlineStr">
        <is>
          <t>NFV  :TENDA ATACADO LTDA</t>
        </is>
      </c>
      <c r="G1111" s="38" t="inlineStr">
        <is>
          <t>MARIO FRUGIS (01.04.01)</t>
        </is>
      </c>
      <c r="H1111" s="38" t="inlineStr">
        <is>
          <t>NFV</t>
        </is>
      </c>
      <c r="I1111" s="40" t="n">
        <v>67.03</v>
      </c>
      <c r="J1111" s="40" t="n">
        <v>0</v>
      </c>
      <c r="K1111" s="6">
        <f>I1111-J1111</f>
        <v/>
      </c>
      <c r="L1111" s="6">
        <f>IF(H1111="DISTRATO",0,I1111)</f>
        <v/>
      </c>
    </row>
    <row r="1112">
      <c r="A1112" s="38" t="inlineStr">
        <is>
          <t>Conta corrente MFRUGIS09.XLS</t>
        </is>
      </c>
      <c r="B1112" s="39" t="n">
        <v>40144</v>
      </c>
      <c r="C1112" s="4" t="n">
        <v>40118</v>
      </c>
      <c r="D1112" s="5">
        <f>YEAR(C1112)</f>
        <v/>
      </c>
      <c r="E1112" s="5">
        <f>MONTH(C1112)</f>
        <v/>
      </c>
      <c r="F1112" s="38" t="inlineStr">
        <is>
          <t>NFV  :TENDA ATACADO LTDA</t>
        </is>
      </c>
      <c r="G1112" s="38" t="inlineStr">
        <is>
          <t>MARIO FRUGIS (01.04.01)</t>
        </is>
      </c>
      <c r="H1112" s="38" t="inlineStr">
        <is>
          <t>NFV</t>
        </is>
      </c>
      <c r="I1112" s="40" t="n">
        <v>37.86</v>
      </c>
      <c r="J1112" s="40" t="n">
        <v>0</v>
      </c>
      <c r="K1112" s="6">
        <f>I1112-J1112</f>
        <v/>
      </c>
      <c r="L1112" s="6">
        <f>IF(H1112="DISTRATO",0,I1112)</f>
        <v/>
      </c>
    </row>
    <row r="1113">
      <c r="A1113" s="38" t="inlineStr">
        <is>
          <t>Conta corrente MFRUGIS09.XLS</t>
        </is>
      </c>
      <c r="B1113" s="39" t="n">
        <v>40144</v>
      </c>
      <c r="C1113" s="4" t="n">
        <v>40118</v>
      </c>
      <c r="D1113" s="5">
        <f>YEAR(C1113)</f>
        <v/>
      </c>
      <c r="E1113" s="5">
        <f>MONTH(C1113)</f>
        <v/>
      </c>
      <c r="F1113" s="38" t="inlineStr">
        <is>
          <t>NFV  :TENDA ATACADO LTDA</t>
        </is>
      </c>
      <c r="G1113" s="38" t="inlineStr">
        <is>
          <t>MARIO FRUGIS (01.04.01)</t>
        </is>
      </c>
      <c r="H1113" s="38" t="inlineStr">
        <is>
          <t>NFV</t>
        </is>
      </c>
      <c r="I1113" s="40" t="n">
        <v>66.75</v>
      </c>
      <c r="J1113" s="40" t="n">
        <v>0</v>
      </c>
      <c r="K1113" s="6">
        <f>I1113-J1113</f>
        <v/>
      </c>
      <c r="L1113" s="6">
        <f>IF(H1113="DISTRATO",0,I1113)</f>
        <v/>
      </c>
    </row>
    <row r="1114">
      <c r="A1114" s="38" t="inlineStr">
        <is>
          <t>Conta corrente MFRUGIS09.XLS</t>
        </is>
      </c>
      <c r="B1114" s="39" t="n">
        <v>40144</v>
      </c>
      <c r="C1114" s="4" t="n">
        <v>40118</v>
      </c>
      <c r="D1114" s="5">
        <f>YEAR(C1114)</f>
        <v/>
      </c>
      <c r="E1114" s="5">
        <f>MONTH(C1114)</f>
        <v/>
      </c>
      <c r="F1114" s="38" t="inlineStr">
        <is>
          <t>NFV  :TENDA ATACADO LTDA</t>
        </is>
      </c>
      <c r="G1114" s="38" t="inlineStr">
        <is>
          <t>MARIO FRUGIS (01.04.01)</t>
        </is>
      </c>
      <c r="H1114" s="38" t="inlineStr">
        <is>
          <t>NFV</t>
        </is>
      </c>
      <c r="I1114" s="40" t="n">
        <v>68.12</v>
      </c>
      <c r="J1114" s="40" t="n">
        <v>0</v>
      </c>
      <c r="K1114" s="6">
        <f>I1114-J1114</f>
        <v/>
      </c>
      <c r="L1114" s="6">
        <f>IF(H1114="DISTRATO",0,I1114)</f>
        <v/>
      </c>
    </row>
    <row r="1115">
      <c r="A1115" s="38" t="inlineStr">
        <is>
          <t>Conta corrente MFRUGIS09.XLS</t>
        </is>
      </c>
      <c r="B1115" s="39" t="n">
        <v>40144</v>
      </c>
      <c r="C1115" s="4" t="n">
        <v>40118</v>
      </c>
      <c r="D1115" s="5">
        <f>YEAR(C1115)</f>
        <v/>
      </c>
      <c r="E1115" s="5">
        <f>MONTH(C1115)</f>
        <v/>
      </c>
      <c r="F1115" s="38" t="inlineStr">
        <is>
          <t>NFV  :TENDA ATACADO LTDA</t>
        </is>
      </c>
      <c r="G1115" s="38" t="inlineStr">
        <is>
          <t>MARIO FRUGIS (01.04.01)</t>
        </is>
      </c>
      <c r="H1115" s="38" t="inlineStr">
        <is>
          <t>NFV</t>
        </is>
      </c>
      <c r="I1115" s="40" t="n">
        <v>67.23</v>
      </c>
      <c r="J1115" s="40" t="n">
        <v>0</v>
      </c>
      <c r="K1115" s="6">
        <f>I1115-J1115</f>
        <v/>
      </c>
      <c r="L1115" s="6">
        <f>IF(H1115="DISTRATO",0,I1115)</f>
        <v/>
      </c>
    </row>
    <row r="1116">
      <c r="A1116" s="38" t="inlineStr">
        <is>
          <t>Conta corrente MFRUGIS09.XLS</t>
        </is>
      </c>
      <c r="B1116" s="39" t="n">
        <v>40144</v>
      </c>
      <c r="C1116" s="4" t="n">
        <v>40118</v>
      </c>
      <c r="D1116" s="5">
        <f>YEAR(C1116)</f>
        <v/>
      </c>
      <c r="E1116" s="5">
        <f>MONTH(C1116)</f>
        <v/>
      </c>
      <c r="F1116" s="38" t="inlineStr">
        <is>
          <t>NFV  :TENDA ATACADO LTDA</t>
        </is>
      </c>
      <c r="G1116" s="38" t="inlineStr">
        <is>
          <t>MARIO FRUGIS (01.04.01)</t>
        </is>
      </c>
      <c r="H1116" s="38" t="inlineStr">
        <is>
          <t>NFV</t>
        </is>
      </c>
      <c r="I1116" s="40" t="n">
        <v>84.68000000000001</v>
      </c>
      <c r="J1116" s="40" t="n">
        <v>0</v>
      </c>
      <c r="K1116" s="6">
        <f>I1116-J1116</f>
        <v/>
      </c>
      <c r="L1116" s="6">
        <f>IF(H1116="DISTRATO",0,I1116)</f>
        <v/>
      </c>
    </row>
    <row r="1117">
      <c r="A1117" s="38" t="inlineStr">
        <is>
          <t>Conta corrente MFRUGIS09.XLS</t>
        </is>
      </c>
      <c r="B1117" s="39" t="n">
        <v>40144</v>
      </c>
      <c r="C1117" s="4" t="n">
        <v>40118</v>
      </c>
      <c r="D1117" s="5">
        <f>YEAR(C1117)</f>
        <v/>
      </c>
      <c r="E1117" s="5">
        <f>MONTH(C1117)</f>
        <v/>
      </c>
      <c r="F1117" s="38" t="inlineStr">
        <is>
          <t>NFV  :TENDA ATACADO LTDA</t>
        </is>
      </c>
      <c r="G1117" s="38" t="inlineStr">
        <is>
          <t>MARIO FRUGIS (01.04.01)</t>
        </is>
      </c>
      <c r="H1117" s="38" t="inlineStr">
        <is>
          <t>NFV</t>
        </is>
      </c>
      <c r="I1117" s="40" t="n">
        <v>91.05</v>
      </c>
      <c r="J1117" s="40" t="n">
        <v>0</v>
      </c>
      <c r="K1117" s="6">
        <f>I1117-J1117</f>
        <v/>
      </c>
      <c r="L1117" s="6">
        <f>IF(H1117="DISTRATO",0,I1117)</f>
        <v/>
      </c>
    </row>
    <row r="1118">
      <c r="A1118" s="38" t="inlineStr">
        <is>
          <t>Conta corrente MFRUGIS09.XLS</t>
        </is>
      </c>
      <c r="B1118" s="39" t="n">
        <v>40144</v>
      </c>
      <c r="C1118" s="4" t="n">
        <v>40118</v>
      </c>
      <c r="D1118" s="5">
        <f>YEAR(C1118)</f>
        <v/>
      </c>
      <c r="E1118" s="5">
        <f>MONTH(C1118)</f>
        <v/>
      </c>
      <c r="F1118" s="38" t="inlineStr">
        <is>
          <t>NFV  :TENDA ATACADO LTDA</t>
        </is>
      </c>
      <c r="G1118" s="38" t="inlineStr">
        <is>
          <t>MARIO FRUGIS (01.04.01)</t>
        </is>
      </c>
      <c r="H1118" s="38" t="inlineStr">
        <is>
          <t>NFV</t>
        </is>
      </c>
      <c r="I1118" s="40" t="n">
        <v>95.45</v>
      </c>
      <c r="J1118" s="40" t="n">
        <v>0</v>
      </c>
      <c r="K1118" s="6">
        <f>I1118-J1118</f>
        <v/>
      </c>
      <c r="L1118" s="6">
        <f>IF(H1118="DISTRATO",0,I1118)</f>
        <v/>
      </c>
    </row>
    <row r="1119">
      <c r="A1119" s="38" t="inlineStr">
        <is>
          <t>Conta corrente MFRUGIS09.XLS</t>
        </is>
      </c>
      <c r="B1119" s="39" t="n">
        <v>40144</v>
      </c>
      <c r="C1119" s="4" t="n">
        <v>40118</v>
      </c>
      <c r="D1119" s="5">
        <f>YEAR(C1119)</f>
        <v/>
      </c>
      <c r="E1119" s="5">
        <f>MONTH(C1119)</f>
        <v/>
      </c>
      <c r="F1119" s="38" t="inlineStr">
        <is>
          <t>NFV  :TENDA ATACADO LTDA</t>
        </is>
      </c>
      <c r="G1119" s="38" t="inlineStr">
        <is>
          <t>MARIO FRUGIS (01.04.01)</t>
        </is>
      </c>
      <c r="H1119" s="38" t="inlineStr">
        <is>
          <t>NFV</t>
        </is>
      </c>
      <c r="I1119" s="40" t="n">
        <v>42.92</v>
      </c>
      <c r="J1119" s="40" t="n">
        <v>0</v>
      </c>
      <c r="K1119" s="6">
        <f>I1119-J1119</f>
        <v/>
      </c>
      <c r="L1119" s="6">
        <f>IF(H1119="DISTRATO",0,I1119)</f>
        <v/>
      </c>
    </row>
    <row r="1120">
      <c r="A1120" s="38" t="inlineStr">
        <is>
          <t>Conta corrente MFRUGIS09.XLS</t>
        </is>
      </c>
      <c r="B1120" s="39" t="n">
        <v>40147</v>
      </c>
      <c r="C1120" s="4" t="n">
        <v>40118</v>
      </c>
      <c r="D1120" s="5">
        <f>YEAR(C1120)</f>
        <v/>
      </c>
      <c r="E1120" s="5">
        <f>MONTH(C1120)</f>
        <v/>
      </c>
      <c r="F1120" s="38" t="inlineStr">
        <is>
          <t>DIFERENCA x 55.4% (rateio: part. Tenda no mês)</t>
        </is>
      </c>
      <c r="G1120" s="38" t="inlineStr">
        <is>
          <t>MARIO FRUGIS (01.04.01)</t>
        </is>
      </c>
      <c r="H1120" s="38" t="inlineStr">
        <is>
          <t>AJUSTE % RATEIO</t>
        </is>
      </c>
      <c r="I1120" s="40" t="n">
        <v>257.99</v>
      </c>
      <c r="J1120" s="40" t="n">
        <v>0</v>
      </c>
      <c r="K1120" s="6">
        <f>I1120-J1120</f>
        <v/>
      </c>
      <c r="L1120" s="6">
        <f>IF(H1120="DISTRATO",0,I1120)</f>
        <v/>
      </c>
    </row>
    <row r="1121">
      <c r="A1121" s="38" t="inlineStr">
        <is>
          <t>Conta corrente MFRUGIS09.XLS</t>
        </is>
      </c>
      <c r="B1121" s="39" t="n">
        <v>40147</v>
      </c>
      <c r="C1121" s="4" t="n">
        <v>40118</v>
      </c>
      <c r="D1121" s="5">
        <f>YEAR(C1121)</f>
        <v/>
      </c>
      <c r="E1121" s="5">
        <f>MONTH(C1121)</f>
        <v/>
      </c>
      <c r="F1121" s="38" t="inlineStr">
        <is>
          <t>NFV  :TENDA ATACADO LTDA</t>
        </is>
      </c>
      <c r="G1121" s="38" t="inlineStr">
        <is>
          <t>MARIO FRUGIS (01.04.01)</t>
        </is>
      </c>
      <c r="H1121" s="38" t="inlineStr">
        <is>
          <t>NFV</t>
        </is>
      </c>
      <c r="I1121" s="40" t="n">
        <v>77.73999999999999</v>
      </c>
      <c r="J1121" s="40" t="n">
        <v>0</v>
      </c>
      <c r="K1121" s="6">
        <f>I1121-J1121</f>
        <v/>
      </c>
      <c r="L1121" s="6">
        <f>IF(H1121="DISTRATO",0,I1121)</f>
        <v/>
      </c>
    </row>
    <row r="1122">
      <c r="A1122" s="38" t="inlineStr">
        <is>
          <t>Conta corrente MFRUGIS09.XLS</t>
        </is>
      </c>
      <c r="B1122" s="39" t="n">
        <v>40147</v>
      </c>
      <c r="C1122" s="4" t="n">
        <v>40118</v>
      </c>
      <c r="D1122" s="5">
        <f>YEAR(C1122)</f>
        <v/>
      </c>
      <c r="E1122" s="5">
        <f>MONTH(C1122)</f>
        <v/>
      </c>
      <c r="F1122" s="38" t="inlineStr">
        <is>
          <t>NFV  :TENDA ATACADO LTDA</t>
        </is>
      </c>
      <c r="G1122" s="38" t="inlineStr">
        <is>
          <t>MARIO FRUGIS (01.04.01)</t>
        </is>
      </c>
      <c r="H1122" s="38" t="inlineStr">
        <is>
          <t>NFV</t>
        </is>
      </c>
      <c r="I1122" s="40" t="n">
        <v>78.53</v>
      </c>
      <c r="J1122" s="40" t="n">
        <v>0</v>
      </c>
      <c r="K1122" s="6">
        <f>I1122-J1122</f>
        <v/>
      </c>
      <c r="L1122" s="6">
        <f>IF(H1122="DISTRATO",0,I1122)</f>
        <v/>
      </c>
    </row>
    <row r="1123">
      <c r="A1123" s="38" t="inlineStr">
        <is>
          <t>Conta corrente MFRUGIS09.XLS</t>
        </is>
      </c>
      <c r="B1123" s="39" t="n">
        <v>40147</v>
      </c>
      <c r="C1123" s="4" t="n">
        <v>40118</v>
      </c>
      <c r="D1123" s="5">
        <f>YEAR(C1123)</f>
        <v/>
      </c>
      <c r="E1123" s="5">
        <f>MONTH(C1123)</f>
        <v/>
      </c>
      <c r="F1123" s="38" t="inlineStr">
        <is>
          <t>NFV  :TENDA ATACADO LTDA</t>
        </is>
      </c>
      <c r="G1123" s="38" t="inlineStr">
        <is>
          <t>MARIO FRUGIS (01.04.01)</t>
        </is>
      </c>
      <c r="H1123" s="38" t="inlineStr">
        <is>
          <t>NFV</t>
        </is>
      </c>
      <c r="I1123" s="40" t="n">
        <v>45.55</v>
      </c>
      <c r="J1123" s="40" t="n">
        <v>0</v>
      </c>
      <c r="K1123" s="6">
        <f>I1123-J1123</f>
        <v/>
      </c>
      <c r="L1123" s="6">
        <f>IF(H1123="DISTRATO",0,I1123)</f>
        <v/>
      </c>
    </row>
    <row r="1124">
      <c r="A1124" s="38" t="inlineStr">
        <is>
          <t>Conta corrente MFRUGIS09.XLS</t>
        </is>
      </c>
      <c r="B1124" s="39" t="n">
        <v>40147</v>
      </c>
      <c r="C1124" s="4" t="n">
        <v>40118</v>
      </c>
      <c r="D1124" s="5">
        <f>YEAR(C1124)</f>
        <v/>
      </c>
      <c r="E1124" s="5">
        <f>MONTH(C1124)</f>
        <v/>
      </c>
      <c r="F1124" s="38" t="inlineStr">
        <is>
          <t>NFV  :TENDA ATACADO LTDA</t>
        </is>
      </c>
      <c r="G1124" s="38" t="inlineStr">
        <is>
          <t>MARIO FRUGIS (01.04.01)</t>
        </is>
      </c>
      <c r="H1124" s="38" t="inlineStr">
        <is>
          <t>NFV</t>
        </is>
      </c>
      <c r="I1124" s="40" t="n">
        <v>52.39</v>
      </c>
      <c r="J1124" s="40" t="n">
        <v>0</v>
      </c>
      <c r="K1124" s="6">
        <f>I1124-J1124</f>
        <v/>
      </c>
      <c r="L1124" s="6">
        <f>IF(H1124="DISTRATO",0,I1124)</f>
        <v/>
      </c>
    </row>
    <row r="1125">
      <c r="A1125" s="38" t="inlineStr">
        <is>
          <t>Conta corrente MFRUGIS09.XLS</t>
        </is>
      </c>
      <c r="B1125" s="39" t="n">
        <v>40147</v>
      </c>
      <c r="C1125" s="4" t="n">
        <v>40118</v>
      </c>
      <c r="D1125" s="5">
        <f>YEAR(C1125)</f>
        <v/>
      </c>
      <c r="E1125" s="5">
        <f>MONTH(C1125)</f>
        <v/>
      </c>
      <c r="F1125" s="38" t="inlineStr">
        <is>
          <t>NFV  :TENDA ATACADO LTDA</t>
        </is>
      </c>
      <c r="G1125" s="38" t="inlineStr">
        <is>
          <t>MARIO FRUGIS (01.04.01)</t>
        </is>
      </c>
      <c r="H1125" s="38" t="inlineStr">
        <is>
          <t>NFV</t>
        </is>
      </c>
      <c r="I1125" s="40" t="n">
        <v>56.77</v>
      </c>
      <c r="J1125" s="40" t="n">
        <v>0</v>
      </c>
      <c r="K1125" s="6">
        <f>I1125-J1125</f>
        <v/>
      </c>
      <c r="L1125" s="6">
        <f>IF(H1125="DISTRATO",0,I1125)</f>
        <v/>
      </c>
    </row>
    <row r="1126">
      <c r="A1126" s="38" t="inlineStr">
        <is>
          <t>Conta corrente MFRUGIS09.XLS</t>
        </is>
      </c>
      <c r="B1126" s="39" t="n">
        <v>40147</v>
      </c>
      <c r="C1126" s="4" t="n">
        <v>40118</v>
      </c>
      <c r="D1126" s="5">
        <f>YEAR(C1126)</f>
        <v/>
      </c>
      <c r="E1126" s="5">
        <f>MONTH(C1126)</f>
        <v/>
      </c>
      <c r="F1126" s="38" t="inlineStr">
        <is>
          <t>NFV  :TENDA ATACADO LTDA</t>
        </is>
      </c>
      <c r="G1126" s="38" t="inlineStr">
        <is>
          <t>MARIO FRUGIS (01.04.01)</t>
        </is>
      </c>
      <c r="H1126" s="38" t="inlineStr">
        <is>
          <t>NFV</t>
        </is>
      </c>
      <c r="I1126" s="40" t="n">
        <v>107.25</v>
      </c>
      <c r="J1126" s="40" t="n">
        <v>0</v>
      </c>
      <c r="K1126" s="6">
        <f>I1126-J1126</f>
        <v/>
      </c>
      <c r="L1126" s="6">
        <f>IF(H1126="DISTRATO",0,I1126)</f>
        <v/>
      </c>
    </row>
    <row r="1127">
      <c r="A1127" s="38" t="inlineStr">
        <is>
          <t>Conta corrente MFRUGIS09.XLS</t>
        </is>
      </c>
      <c r="B1127" s="39" t="n">
        <v>40147</v>
      </c>
      <c r="C1127" s="4" t="n">
        <v>40118</v>
      </c>
      <c r="D1127" s="5">
        <f>YEAR(C1127)</f>
        <v/>
      </c>
      <c r="E1127" s="5">
        <f>MONTH(C1127)</f>
        <v/>
      </c>
      <c r="F1127" s="38" t="inlineStr">
        <is>
          <t>NFV  :TENDA ATACADO LTDA</t>
        </is>
      </c>
      <c r="G1127" s="38" t="inlineStr">
        <is>
          <t>MARIO FRUGIS (01.04.01)</t>
        </is>
      </c>
      <c r="H1127" s="38" t="inlineStr">
        <is>
          <t>NFV</t>
        </is>
      </c>
      <c r="I1127" s="40" t="n">
        <v>52.23</v>
      </c>
      <c r="J1127" s="40" t="n">
        <v>0</v>
      </c>
      <c r="K1127" s="6">
        <f>I1127-J1127</f>
        <v/>
      </c>
      <c r="L1127" s="6">
        <f>IF(H1127="DISTRATO",0,I1127)</f>
        <v/>
      </c>
    </row>
    <row r="1128">
      <c r="A1128" s="38" t="inlineStr">
        <is>
          <t>Conta corrente MFRUGIS09.XLS</t>
        </is>
      </c>
      <c r="B1128" s="39" t="n">
        <v>40147</v>
      </c>
      <c r="C1128" s="4" t="n">
        <v>40118</v>
      </c>
      <c r="D1128" s="5">
        <f>YEAR(C1128)</f>
        <v/>
      </c>
      <c r="E1128" s="5">
        <f>MONTH(C1128)</f>
        <v/>
      </c>
      <c r="F1128" s="38" t="inlineStr">
        <is>
          <t>NFV  :TENDA ATACADO LTDA</t>
        </is>
      </c>
      <c r="G1128" s="38" t="inlineStr">
        <is>
          <t>MARIO FRUGIS (01.04.01)</t>
        </is>
      </c>
      <c r="H1128" s="38" t="inlineStr">
        <is>
          <t>NFV</t>
        </is>
      </c>
      <c r="I1128" s="40" t="n">
        <v>97.78</v>
      </c>
      <c r="J1128" s="40" t="n">
        <v>0</v>
      </c>
      <c r="K1128" s="6">
        <f>I1128-J1128</f>
        <v/>
      </c>
      <c r="L1128" s="6">
        <f>IF(H1128="DISTRATO",0,I1128)</f>
        <v/>
      </c>
    </row>
    <row r="1129">
      <c r="A1129" s="38" t="inlineStr">
        <is>
          <t>Conta corrente MFRUGIS09.XLS</t>
        </is>
      </c>
      <c r="B1129" s="39" t="n">
        <v>40147</v>
      </c>
      <c r="C1129" s="4" t="n">
        <v>40118</v>
      </c>
      <c r="D1129" s="5">
        <f>YEAR(C1129)</f>
        <v/>
      </c>
      <c r="E1129" s="5">
        <f>MONTH(C1129)</f>
        <v/>
      </c>
      <c r="F1129" s="38" t="inlineStr">
        <is>
          <t>NFV  :TENDA ATACADO LTDA</t>
        </is>
      </c>
      <c r="G1129" s="38" t="inlineStr">
        <is>
          <t>MARIO FRUGIS (01.04.01)</t>
        </is>
      </c>
      <c r="H1129" s="38" t="inlineStr">
        <is>
          <t>NFV</t>
        </is>
      </c>
      <c r="I1129" s="40" t="n">
        <v>66.59</v>
      </c>
      <c r="J1129" s="40" t="n">
        <v>0</v>
      </c>
      <c r="K1129" s="6">
        <f>I1129-J1129</f>
        <v/>
      </c>
      <c r="L1129" s="6">
        <f>IF(H1129="DISTRATO",0,I1129)</f>
        <v/>
      </c>
    </row>
    <row r="1130">
      <c r="A1130" s="38" t="inlineStr">
        <is>
          <t>Conta corrente MFRUGIS09.XLS</t>
        </is>
      </c>
      <c r="B1130" s="39" t="n">
        <v>40147</v>
      </c>
      <c r="C1130" s="4" t="n">
        <v>40118</v>
      </c>
      <c r="D1130" s="5">
        <f>YEAR(C1130)</f>
        <v/>
      </c>
      <c r="E1130" s="5">
        <f>MONTH(C1130)</f>
        <v/>
      </c>
      <c r="F1130" s="38" t="inlineStr">
        <is>
          <t>NFV  :TENDA ATACADO LTDA</t>
        </is>
      </c>
      <c r="G1130" s="38" t="inlineStr">
        <is>
          <t>MARIO FRUGIS (01.04.01)</t>
        </is>
      </c>
      <c r="H1130" s="38" t="inlineStr">
        <is>
          <t>NFV</t>
        </is>
      </c>
      <c r="I1130" s="40" t="n">
        <v>66.59</v>
      </c>
      <c r="J1130" s="40" t="n">
        <v>0</v>
      </c>
      <c r="K1130" s="6">
        <f>I1130-J1130</f>
        <v/>
      </c>
      <c r="L1130" s="6">
        <f>IF(H1130="DISTRATO",0,I1130)</f>
        <v/>
      </c>
    </row>
    <row r="1131">
      <c r="A1131" s="38" t="inlineStr">
        <is>
          <t>Conta corrente MFRUGIS09.XLS</t>
        </is>
      </c>
      <c r="B1131" s="39" t="n">
        <v>40147</v>
      </c>
      <c r="C1131" s="4" t="n">
        <v>40118</v>
      </c>
      <c r="D1131" s="5">
        <f>YEAR(C1131)</f>
        <v/>
      </c>
      <c r="E1131" s="5">
        <f>MONTH(C1131)</f>
        <v/>
      </c>
      <c r="F1131" s="38" t="inlineStr">
        <is>
          <t>NFV  :TENDA ATACADO LTDA</t>
        </is>
      </c>
      <c r="G1131" s="38" t="inlineStr">
        <is>
          <t>MARIO FRUGIS (01.04.01)</t>
        </is>
      </c>
      <c r="H1131" s="38" t="inlineStr">
        <is>
          <t>NFV</t>
        </is>
      </c>
      <c r="I1131" s="40" t="n">
        <v>54.86</v>
      </c>
      <c r="J1131" s="40" t="n">
        <v>0</v>
      </c>
      <c r="K1131" s="6">
        <f>I1131-J1131</f>
        <v/>
      </c>
      <c r="L1131" s="6">
        <f>IF(H1131="DISTRATO",0,I1131)</f>
        <v/>
      </c>
    </row>
    <row r="1132">
      <c r="A1132" s="38" t="inlineStr">
        <is>
          <t>Conta corrente MFRUGIS09.XLS</t>
        </is>
      </c>
      <c r="B1132" s="39" t="n">
        <v>40161</v>
      </c>
      <c r="C1132" s="4" t="n">
        <v>40148</v>
      </c>
      <c r="D1132" s="5">
        <f>YEAR(C1132)</f>
        <v/>
      </c>
      <c r="E1132" s="5">
        <f>MONTH(C1132)</f>
        <v/>
      </c>
      <c r="F1132" s="38" t="inlineStr">
        <is>
          <t>DEV  :TENDA ATACADO LTDA</t>
        </is>
      </c>
      <c r="G1132" s="38" t="inlineStr">
        <is>
          <t>MARIO FRUGIS (01.04.01)</t>
        </is>
      </c>
      <c r="H1132" s="38" t="inlineStr">
        <is>
          <t>DEVOLUCAO</t>
        </is>
      </c>
      <c r="I1132" s="40" t="n">
        <v>-6.58</v>
      </c>
      <c r="J1132" s="40" t="n">
        <v>0</v>
      </c>
      <c r="K1132" s="6">
        <f>I1132-J1132</f>
        <v/>
      </c>
      <c r="L1132" s="6">
        <f>IF(H1132="DISTRATO",0,I1132)</f>
        <v/>
      </c>
    </row>
    <row r="1133">
      <c r="A1133" s="38" t="inlineStr">
        <is>
          <t>Conta corrente MFRUGIS09.XLS</t>
        </is>
      </c>
      <c r="B1133" s="39" t="n">
        <v>40168</v>
      </c>
      <c r="C1133" s="4" t="n">
        <v>40148</v>
      </c>
      <c r="D1133" s="5">
        <f>YEAR(C1133)</f>
        <v/>
      </c>
      <c r="E1133" s="5">
        <f>MONTH(C1133)</f>
        <v/>
      </c>
      <c r="F1133" s="38" t="inlineStr">
        <is>
          <t>NFV  :TENDA ATACADO LTDA</t>
        </is>
      </c>
      <c r="G1133" s="38" t="inlineStr">
        <is>
          <t>MARIO FRUGIS (01.04.01)</t>
        </is>
      </c>
      <c r="H1133" s="38" t="inlineStr">
        <is>
          <t>NFV</t>
        </is>
      </c>
      <c r="I1133" s="40" t="n">
        <v>85.02</v>
      </c>
      <c r="J1133" s="40" t="n">
        <v>0</v>
      </c>
      <c r="K1133" s="6">
        <f>I1133-J1133</f>
        <v/>
      </c>
      <c r="L1133" s="6">
        <f>IF(H1133="DISTRATO",0,I1133)</f>
        <v/>
      </c>
    </row>
    <row r="1134">
      <c r="A1134" s="38" t="inlineStr">
        <is>
          <t>Conta corrente MFRUGIS09.XLS</t>
        </is>
      </c>
      <c r="B1134" s="39" t="n">
        <v>40168</v>
      </c>
      <c r="C1134" s="4" t="n">
        <v>40148</v>
      </c>
      <c r="D1134" s="5">
        <f>YEAR(C1134)</f>
        <v/>
      </c>
      <c r="E1134" s="5">
        <f>MONTH(C1134)</f>
        <v/>
      </c>
      <c r="F1134" s="38" t="inlineStr">
        <is>
          <t>NFV  :TENDA ATACADO LTDA</t>
        </is>
      </c>
      <c r="G1134" s="38" t="inlineStr">
        <is>
          <t>MARIO FRUGIS (01.04.01)</t>
        </is>
      </c>
      <c r="H1134" s="38" t="inlineStr">
        <is>
          <t>NFV</t>
        </is>
      </c>
      <c r="I1134" s="40" t="n">
        <v>159.41</v>
      </c>
      <c r="J1134" s="40" t="n">
        <v>0</v>
      </c>
      <c r="K1134" s="6">
        <f>I1134-J1134</f>
        <v/>
      </c>
      <c r="L1134" s="6">
        <f>IF(H1134="DISTRATO",0,I1134)</f>
        <v/>
      </c>
    </row>
    <row r="1135">
      <c r="A1135" s="38" t="inlineStr">
        <is>
          <t>Conta corrente MFRUGIS09.XLS</t>
        </is>
      </c>
      <c r="B1135" s="39" t="n">
        <v>40168</v>
      </c>
      <c r="C1135" s="4" t="n">
        <v>40148</v>
      </c>
      <c r="D1135" s="5">
        <f>YEAR(C1135)</f>
        <v/>
      </c>
      <c r="E1135" s="5">
        <f>MONTH(C1135)</f>
        <v/>
      </c>
      <c r="F1135" s="38" t="inlineStr">
        <is>
          <t>NFV  :TENDA ATACADO LTDA</t>
        </is>
      </c>
      <c r="G1135" s="38" t="inlineStr">
        <is>
          <t>MARIO FRUGIS (01.04.01)</t>
        </is>
      </c>
      <c r="H1135" s="38" t="inlineStr">
        <is>
          <t>NFV</t>
        </is>
      </c>
      <c r="I1135" s="40" t="n">
        <v>78.03</v>
      </c>
      <c r="J1135" s="40" t="n">
        <v>0</v>
      </c>
      <c r="K1135" s="6">
        <f>I1135-J1135</f>
        <v/>
      </c>
      <c r="L1135" s="6">
        <f>IF(H1135="DISTRATO",0,I1135)</f>
        <v/>
      </c>
    </row>
    <row r="1136">
      <c r="A1136" s="38" t="inlineStr">
        <is>
          <t>Conta corrente MFRUGIS09.XLS</t>
        </is>
      </c>
      <c r="B1136" s="39" t="n">
        <v>40168</v>
      </c>
      <c r="C1136" s="4" t="n">
        <v>40148</v>
      </c>
      <c r="D1136" s="5">
        <f>YEAR(C1136)</f>
        <v/>
      </c>
      <c r="E1136" s="5">
        <f>MONTH(C1136)</f>
        <v/>
      </c>
      <c r="F1136" s="38" t="inlineStr">
        <is>
          <t>NFV  :TENDA ATACADO LTDA</t>
        </is>
      </c>
      <c r="G1136" s="38" t="inlineStr">
        <is>
          <t>MARIO FRUGIS (01.04.01)</t>
        </is>
      </c>
      <c r="H1136" s="38" t="inlineStr">
        <is>
          <t>NFV</t>
        </is>
      </c>
      <c r="I1136" s="40" t="n">
        <v>140.22</v>
      </c>
      <c r="J1136" s="40" t="n">
        <v>0</v>
      </c>
      <c r="K1136" s="6">
        <f>I1136-J1136</f>
        <v/>
      </c>
      <c r="L1136" s="6">
        <f>IF(H1136="DISTRATO",0,I1136)</f>
        <v/>
      </c>
    </row>
    <row r="1137">
      <c r="A1137" s="38" t="inlineStr">
        <is>
          <t>Conta corrente MFRUGIS09.XLS</t>
        </is>
      </c>
      <c r="B1137" s="39" t="n">
        <v>40168</v>
      </c>
      <c r="C1137" s="4" t="n">
        <v>40148</v>
      </c>
      <c r="D1137" s="5">
        <f>YEAR(C1137)</f>
        <v/>
      </c>
      <c r="E1137" s="5">
        <f>MONTH(C1137)</f>
        <v/>
      </c>
      <c r="F1137" s="38" t="inlineStr">
        <is>
          <t>NFV  :TENDA ATACADO LTDA</t>
        </is>
      </c>
      <c r="G1137" s="38" t="inlineStr">
        <is>
          <t>MARIO FRUGIS (01.04.01)</t>
        </is>
      </c>
      <c r="H1137" s="38" t="inlineStr">
        <is>
          <t>NFV</t>
        </is>
      </c>
      <c r="I1137" s="40" t="n">
        <v>58.56</v>
      </c>
      <c r="J1137" s="40" t="n">
        <v>0</v>
      </c>
      <c r="K1137" s="6">
        <f>I1137-J1137</f>
        <v/>
      </c>
      <c r="L1137" s="6">
        <f>IF(H1137="DISTRATO",0,I1137)</f>
        <v/>
      </c>
    </row>
    <row r="1138">
      <c r="A1138" s="38" t="inlineStr">
        <is>
          <t>Conta corrente MFRUGIS09.XLS</t>
        </is>
      </c>
      <c r="B1138" s="39" t="n">
        <v>40168</v>
      </c>
      <c r="C1138" s="4" t="n">
        <v>40148</v>
      </c>
      <c r="D1138" s="5">
        <f>YEAR(C1138)</f>
        <v/>
      </c>
      <c r="E1138" s="5">
        <f>MONTH(C1138)</f>
        <v/>
      </c>
      <c r="F1138" s="38" t="inlineStr">
        <is>
          <t>NFV  :TENDA ATACADO LTDA</t>
        </is>
      </c>
      <c r="G1138" s="38" t="inlineStr">
        <is>
          <t>MARIO FRUGIS (01.04.01)</t>
        </is>
      </c>
      <c r="H1138" s="38" t="inlineStr">
        <is>
          <t>NFV</t>
        </is>
      </c>
      <c r="I1138" s="40" t="n">
        <v>61.61</v>
      </c>
      <c r="J1138" s="40" t="n">
        <v>0</v>
      </c>
      <c r="K1138" s="6">
        <f>I1138-J1138</f>
        <v/>
      </c>
      <c r="L1138" s="6">
        <f>IF(H1138="DISTRATO",0,I1138)</f>
        <v/>
      </c>
    </row>
    <row r="1139">
      <c r="A1139" s="38" t="inlineStr">
        <is>
          <t>Conta corrente MFRUGIS09.XLS</t>
        </is>
      </c>
      <c r="B1139" s="39" t="n">
        <v>40168</v>
      </c>
      <c r="C1139" s="4" t="n">
        <v>40148</v>
      </c>
      <c r="D1139" s="5">
        <f>YEAR(C1139)</f>
        <v/>
      </c>
      <c r="E1139" s="5">
        <f>MONTH(C1139)</f>
        <v/>
      </c>
      <c r="F1139" s="38" t="inlineStr">
        <is>
          <t>NFV  :TENDA ATACADO LTDA</t>
        </is>
      </c>
      <c r="G1139" s="38" t="inlineStr">
        <is>
          <t>MARIO FRUGIS (01.04.01)</t>
        </is>
      </c>
      <c r="H1139" s="38" t="inlineStr">
        <is>
          <t>NFV</t>
        </is>
      </c>
      <c r="I1139" s="40" t="n">
        <v>97.29000000000001</v>
      </c>
      <c r="J1139" s="40" t="n">
        <v>0</v>
      </c>
      <c r="K1139" s="6">
        <f>I1139-J1139</f>
        <v/>
      </c>
      <c r="L1139" s="6">
        <f>IF(H1139="DISTRATO",0,I1139)</f>
        <v/>
      </c>
    </row>
    <row r="1140">
      <c r="A1140" s="38" t="inlineStr">
        <is>
          <t>Conta corrente MFRUGIS09.XLS</t>
        </is>
      </c>
      <c r="B1140" s="39" t="n">
        <v>40168</v>
      </c>
      <c r="C1140" s="4" t="n">
        <v>40148</v>
      </c>
      <c r="D1140" s="5">
        <f>YEAR(C1140)</f>
        <v/>
      </c>
      <c r="E1140" s="5">
        <f>MONTH(C1140)</f>
        <v/>
      </c>
      <c r="F1140" s="38" t="inlineStr">
        <is>
          <t>NFV  :TENDA ATACADO LTDA</t>
        </is>
      </c>
      <c r="G1140" s="38" t="inlineStr">
        <is>
          <t>MARIO FRUGIS (01.04.01)</t>
        </is>
      </c>
      <c r="H1140" s="38" t="inlineStr">
        <is>
          <t>NFV</t>
        </is>
      </c>
      <c r="I1140" s="40" t="n">
        <v>67.94</v>
      </c>
      <c r="J1140" s="40" t="n">
        <v>0</v>
      </c>
      <c r="K1140" s="6">
        <f>I1140-J1140</f>
        <v/>
      </c>
      <c r="L1140" s="6">
        <f>IF(H1140="DISTRATO",0,I1140)</f>
        <v/>
      </c>
    </row>
    <row r="1141">
      <c r="A1141" s="38" t="inlineStr">
        <is>
          <t>Conta corrente MFRUGIS09.XLS</t>
        </is>
      </c>
      <c r="B1141" s="39" t="n">
        <v>40168</v>
      </c>
      <c r="C1141" s="4" t="n">
        <v>40148</v>
      </c>
      <c r="D1141" s="5">
        <f>YEAR(C1141)</f>
        <v/>
      </c>
      <c r="E1141" s="5">
        <f>MONTH(C1141)</f>
        <v/>
      </c>
      <c r="F1141" s="38" t="inlineStr">
        <is>
          <t>NFV  :TENDA ATACADO LTDA</t>
        </is>
      </c>
      <c r="G1141" s="38" t="inlineStr">
        <is>
          <t>MARIO FRUGIS (01.04.01)</t>
        </is>
      </c>
      <c r="H1141" s="38" t="inlineStr">
        <is>
          <t>NFV</t>
        </is>
      </c>
      <c r="I1141" s="40" t="n">
        <v>105.27</v>
      </c>
      <c r="J1141" s="40" t="n">
        <v>0</v>
      </c>
      <c r="K1141" s="6">
        <f>I1141-J1141</f>
        <v/>
      </c>
      <c r="L1141" s="6">
        <f>IF(H1141="DISTRATO",0,I1141)</f>
        <v/>
      </c>
    </row>
    <row r="1142">
      <c r="A1142" s="38" t="inlineStr">
        <is>
          <t>Conta corrente MFRUGIS09.XLS</t>
        </is>
      </c>
      <c r="B1142" s="39" t="n">
        <v>40168</v>
      </c>
      <c r="C1142" s="4" t="n">
        <v>40148</v>
      </c>
      <c r="D1142" s="5">
        <f>YEAR(C1142)</f>
        <v/>
      </c>
      <c r="E1142" s="5">
        <f>MONTH(C1142)</f>
        <v/>
      </c>
      <c r="F1142" s="38" t="inlineStr">
        <is>
          <t>NFV  :TENDA ATACADO LTDA</t>
        </is>
      </c>
      <c r="G1142" s="38" t="inlineStr">
        <is>
          <t>MARIO FRUGIS (01.04.01)</t>
        </is>
      </c>
      <c r="H1142" s="38" t="inlineStr">
        <is>
          <t>NFV</t>
        </is>
      </c>
      <c r="I1142" s="40" t="n">
        <v>47.33</v>
      </c>
      <c r="J1142" s="40" t="n">
        <v>0</v>
      </c>
      <c r="K1142" s="6">
        <f>I1142-J1142</f>
        <v/>
      </c>
      <c r="L1142" s="6">
        <f>IF(H1142="DISTRATO",0,I1142)</f>
        <v/>
      </c>
    </row>
    <row r="1143">
      <c r="A1143" s="38" t="inlineStr">
        <is>
          <t>Conta corrente MFRUGIS09.XLS</t>
        </is>
      </c>
      <c r="B1143" s="39" t="n">
        <v>40168</v>
      </c>
      <c r="C1143" s="4" t="n">
        <v>40148</v>
      </c>
      <c r="D1143" s="5">
        <f>YEAR(C1143)</f>
        <v/>
      </c>
      <c r="E1143" s="5">
        <f>MONTH(C1143)</f>
        <v/>
      </c>
      <c r="F1143" s="38" t="inlineStr">
        <is>
          <t>NFV  :TENDA ATACADO LTDA</t>
        </is>
      </c>
      <c r="G1143" s="38" t="inlineStr">
        <is>
          <t>MARIO FRUGIS (01.04.01)</t>
        </is>
      </c>
      <c r="H1143" s="38" t="inlineStr">
        <is>
          <t>NFV</t>
        </is>
      </c>
      <c r="I1143" s="40" t="n">
        <v>125.3</v>
      </c>
      <c r="J1143" s="40" t="n">
        <v>0</v>
      </c>
      <c r="K1143" s="6">
        <f>I1143-J1143</f>
        <v/>
      </c>
      <c r="L1143" s="6">
        <f>IF(H1143="DISTRATO",0,I1143)</f>
        <v/>
      </c>
    </row>
    <row r="1144">
      <c r="A1144" s="38" t="inlineStr">
        <is>
          <t>Conta corrente MFRUGIS09.XLS</t>
        </is>
      </c>
      <c r="B1144" s="39" t="n">
        <v>40168</v>
      </c>
      <c r="C1144" s="4" t="n">
        <v>40148</v>
      </c>
      <c r="D1144" s="5">
        <f>YEAR(C1144)</f>
        <v/>
      </c>
      <c r="E1144" s="5">
        <f>MONTH(C1144)</f>
        <v/>
      </c>
      <c r="F1144" s="38" t="inlineStr">
        <is>
          <t>NFV  :TENDA ATACADO LTDA</t>
        </is>
      </c>
      <c r="G1144" s="38" t="inlineStr">
        <is>
          <t>MARIO FRUGIS (01.04.01)</t>
        </is>
      </c>
      <c r="H1144" s="38" t="inlineStr">
        <is>
          <t>NFV</t>
        </is>
      </c>
      <c r="I1144" s="40" t="n">
        <v>125</v>
      </c>
      <c r="J1144" s="40" t="n">
        <v>0</v>
      </c>
      <c r="K1144" s="6">
        <f>I1144-J1144</f>
        <v/>
      </c>
      <c r="L1144" s="6">
        <f>IF(H1144="DISTRATO",0,I1144)</f>
        <v/>
      </c>
    </row>
    <row r="1145">
      <c r="A1145" s="38" t="inlineStr">
        <is>
          <t>Conta corrente MFRUGIS09.XLS</t>
        </is>
      </c>
      <c r="B1145" s="39" t="n">
        <v>40168</v>
      </c>
      <c r="C1145" s="4" t="n">
        <v>40148</v>
      </c>
      <c r="D1145" s="5">
        <f>YEAR(C1145)</f>
        <v/>
      </c>
      <c r="E1145" s="5">
        <f>MONTH(C1145)</f>
        <v/>
      </c>
      <c r="F1145" s="38" t="inlineStr">
        <is>
          <t>NFV  :TENDA ATACADO LTDA</t>
        </is>
      </c>
      <c r="G1145" s="38" t="inlineStr">
        <is>
          <t>MARIO FRUGIS (01.04.01)</t>
        </is>
      </c>
      <c r="H1145" s="38" t="inlineStr">
        <is>
          <t>NFV</t>
        </is>
      </c>
      <c r="I1145" s="40" t="n">
        <v>73.41</v>
      </c>
      <c r="J1145" s="40" t="n">
        <v>0</v>
      </c>
      <c r="K1145" s="6">
        <f>I1145-J1145</f>
        <v/>
      </c>
      <c r="L1145" s="6">
        <f>IF(H1145="DISTRATO",0,I1145)</f>
        <v/>
      </c>
    </row>
    <row r="1146">
      <c r="A1146" s="38" t="inlineStr">
        <is>
          <t>Conta corrente MFRUGIS09.XLS</t>
        </is>
      </c>
      <c r="B1146" s="39" t="n">
        <v>40168</v>
      </c>
      <c r="C1146" s="4" t="n">
        <v>40148</v>
      </c>
      <c r="D1146" s="5">
        <f>YEAR(C1146)</f>
        <v/>
      </c>
      <c r="E1146" s="5">
        <f>MONTH(C1146)</f>
        <v/>
      </c>
      <c r="F1146" s="38" t="inlineStr">
        <is>
          <t>NFV  :TENDA ATACADO LTDA</t>
        </is>
      </c>
      <c r="G1146" s="38" t="inlineStr">
        <is>
          <t>MARIO FRUGIS (01.04.01)</t>
        </is>
      </c>
      <c r="H1146" s="38" t="inlineStr">
        <is>
          <t>NFV</t>
        </is>
      </c>
      <c r="I1146" s="40" t="n">
        <v>66.75</v>
      </c>
      <c r="J1146" s="40" t="n">
        <v>0</v>
      </c>
      <c r="K1146" s="6">
        <f>I1146-J1146</f>
        <v/>
      </c>
      <c r="L1146" s="6">
        <f>IF(H1146="DISTRATO",0,I1146)</f>
        <v/>
      </c>
    </row>
    <row r="1147">
      <c r="A1147" s="38" t="inlineStr">
        <is>
          <t>Conta corrente MFRUGIS09.XLS</t>
        </is>
      </c>
      <c r="B1147" s="39" t="n">
        <v>40168</v>
      </c>
      <c r="C1147" s="4" t="n">
        <v>40148</v>
      </c>
      <c r="D1147" s="5">
        <f>YEAR(C1147)</f>
        <v/>
      </c>
      <c r="E1147" s="5">
        <f>MONTH(C1147)</f>
        <v/>
      </c>
      <c r="F1147" s="38" t="inlineStr">
        <is>
          <t>NFV  :TENDA ATACADO LTDA</t>
        </is>
      </c>
      <c r="G1147" s="38" t="inlineStr">
        <is>
          <t>MARIO FRUGIS (01.04.01)</t>
        </is>
      </c>
      <c r="H1147" s="38" t="inlineStr">
        <is>
          <t>NFV</t>
        </is>
      </c>
      <c r="I1147" s="40" t="n">
        <v>90.42</v>
      </c>
      <c r="J1147" s="40" t="n">
        <v>0</v>
      </c>
      <c r="K1147" s="6">
        <f>I1147-J1147</f>
        <v/>
      </c>
      <c r="L1147" s="6">
        <f>IF(H1147="DISTRATO",0,I1147)</f>
        <v/>
      </c>
    </row>
    <row r="1148">
      <c r="A1148" s="38" t="inlineStr">
        <is>
          <t>Conta corrente MFRUGIS09.XLS</t>
        </is>
      </c>
      <c r="B1148" s="39" t="n">
        <v>40168</v>
      </c>
      <c r="C1148" s="4" t="n">
        <v>40148</v>
      </c>
      <c r="D1148" s="5">
        <f>YEAR(C1148)</f>
        <v/>
      </c>
      <c r="E1148" s="5">
        <f>MONTH(C1148)</f>
        <v/>
      </c>
      <c r="F1148" s="38" t="inlineStr">
        <is>
          <t>NFV  :TENDA ATACADO LTDA</t>
        </is>
      </c>
      <c r="G1148" s="38" t="inlineStr">
        <is>
          <t>MARIO FRUGIS (01.04.01)</t>
        </is>
      </c>
      <c r="H1148" s="38" t="inlineStr">
        <is>
          <t>NFV</t>
        </is>
      </c>
      <c r="I1148" s="40" t="n">
        <v>66.75</v>
      </c>
      <c r="J1148" s="40" t="n">
        <v>0</v>
      </c>
      <c r="K1148" s="6">
        <f>I1148-J1148</f>
        <v/>
      </c>
      <c r="L1148" s="6">
        <f>IF(H1148="DISTRATO",0,I1148)</f>
        <v/>
      </c>
    </row>
    <row r="1149">
      <c r="A1149" s="38" t="inlineStr">
        <is>
          <t>Conta corrente MFRUGIS09.XLS</t>
        </is>
      </c>
      <c r="B1149" s="39" t="n">
        <v>40168</v>
      </c>
      <c r="C1149" s="4" t="n">
        <v>40148</v>
      </c>
      <c r="D1149" s="5">
        <f>YEAR(C1149)</f>
        <v/>
      </c>
      <c r="E1149" s="5">
        <f>MONTH(C1149)</f>
        <v/>
      </c>
      <c r="F1149" s="38" t="inlineStr">
        <is>
          <t>NFV  :TENDA ATACADO LTDA</t>
        </is>
      </c>
      <c r="G1149" s="38" t="inlineStr">
        <is>
          <t>MARIO FRUGIS (01.04.01)</t>
        </is>
      </c>
      <c r="H1149" s="38" t="inlineStr">
        <is>
          <t>NFV</t>
        </is>
      </c>
      <c r="I1149" s="40" t="n">
        <v>94.67</v>
      </c>
      <c r="J1149" s="40" t="n">
        <v>0</v>
      </c>
      <c r="K1149" s="6">
        <f>I1149-J1149</f>
        <v/>
      </c>
      <c r="L1149" s="6">
        <f>IF(H1149="DISTRATO",0,I1149)</f>
        <v/>
      </c>
    </row>
    <row r="1150">
      <c r="A1150" s="38" t="inlineStr">
        <is>
          <t>Conta corrente MFRUGIS09.XLS</t>
        </is>
      </c>
      <c r="B1150" s="39" t="n">
        <v>40168</v>
      </c>
      <c r="C1150" s="4" t="n">
        <v>40148</v>
      </c>
      <c r="D1150" s="5">
        <f>YEAR(C1150)</f>
        <v/>
      </c>
      <c r="E1150" s="5">
        <f>MONTH(C1150)</f>
        <v/>
      </c>
      <c r="F1150" s="38" t="inlineStr">
        <is>
          <t>NFV  :TENDA ATACADO LTDA</t>
        </is>
      </c>
      <c r="G1150" s="38" t="inlineStr">
        <is>
          <t>MARIO FRUGIS (01.04.01)</t>
        </is>
      </c>
      <c r="H1150" s="38" t="inlineStr">
        <is>
          <t>NFV</t>
        </is>
      </c>
      <c r="I1150" s="40" t="n">
        <v>47.88</v>
      </c>
      <c r="J1150" s="40" t="n">
        <v>0</v>
      </c>
      <c r="K1150" s="6">
        <f>I1150-J1150</f>
        <v/>
      </c>
      <c r="L1150" s="6">
        <f>IF(H1150="DISTRATO",0,I1150)</f>
        <v/>
      </c>
    </row>
    <row r="1151">
      <c r="A1151" s="38" t="inlineStr">
        <is>
          <t>Conta corrente MFRUGIS09.XLS</t>
        </is>
      </c>
      <c r="B1151" s="39" t="n">
        <v>40168</v>
      </c>
      <c r="C1151" s="4" t="n">
        <v>40148</v>
      </c>
      <c r="D1151" s="5">
        <f>YEAR(C1151)</f>
        <v/>
      </c>
      <c r="E1151" s="5">
        <f>MONTH(C1151)</f>
        <v/>
      </c>
      <c r="F1151" s="38" t="inlineStr">
        <is>
          <t>NFV  :TENDA ATACADO LTDA</t>
        </is>
      </c>
      <c r="G1151" s="38" t="inlineStr">
        <is>
          <t>MARIO FRUGIS (01.04.01)</t>
        </is>
      </c>
      <c r="H1151" s="38" t="inlineStr">
        <is>
          <t>NFV</t>
        </is>
      </c>
      <c r="I1151" s="40" t="n">
        <v>59.88</v>
      </c>
      <c r="J1151" s="40" t="n">
        <v>0</v>
      </c>
      <c r="K1151" s="6">
        <f>I1151-J1151</f>
        <v/>
      </c>
      <c r="L1151" s="6">
        <f>IF(H1151="DISTRATO",0,I1151)</f>
        <v/>
      </c>
    </row>
    <row r="1152">
      <c r="A1152" s="38" t="inlineStr">
        <is>
          <t>Conta corrente MFRUGIS09.XLS</t>
        </is>
      </c>
      <c r="B1152" s="39" t="n">
        <v>40168</v>
      </c>
      <c r="C1152" s="4" t="n">
        <v>40148</v>
      </c>
      <c r="D1152" s="5">
        <f>YEAR(C1152)</f>
        <v/>
      </c>
      <c r="E1152" s="5">
        <f>MONTH(C1152)</f>
        <v/>
      </c>
      <c r="F1152" s="38" t="inlineStr">
        <is>
          <t>NFV  :TENDA ATACADO LTDA</t>
        </is>
      </c>
      <c r="G1152" s="38" t="inlineStr">
        <is>
          <t>MARIO FRUGIS (01.04.01)</t>
        </is>
      </c>
      <c r="H1152" s="38" t="inlineStr">
        <is>
          <t>NFV</t>
        </is>
      </c>
      <c r="I1152" s="40" t="n">
        <v>47.33</v>
      </c>
      <c r="J1152" s="40" t="n">
        <v>0</v>
      </c>
      <c r="K1152" s="6">
        <f>I1152-J1152</f>
        <v/>
      </c>
      <c r="L1152" s="6">
        <f>IF(H1152="DISTRATO",0,I1152)</f>
        <v/>
      </c>
    </row>
    <row r="1153">
      <c r="A1153" s="38" t="inlineStr">
        <is>
          <t>Conta corrente MFRUGIS09.XLS</t>
        </is>
      </c>
      <c r="B1153" s="39" t="n">
        <v>40169</v>
      </c>
      <c r="C1153" s="4" t="n">
        <v>40148</v>
      </c>
      <c r="D1153" s="5">
        <f>YEAR(C1153)</f>
        <v/>
      </c>
      <c r="E1153" s="5">
        <f>MONTH(C1153)</f>
        <v/>
      </c>
      <c r="F1153" s="38" t="inlineStr">
        <is>
          <t>BONIF:TENDA ATACADO LTDA</t>
        </is>
      </c>
      <c r="G1153" s="38" t="inlineStr">
        <is>
          <t>MARIO FRUGIS (01.04.01)</t>
        </is>
      </c>
      <c r="H1153" s="38" t="inlineStr">
        <is>
          <t>BONIFICACAO</t>
        </is>
      </c>
      <c r="I1153" s="40" t="n">
        <v>-35.18</v>
      </c>
      <c r="J1153" s="40" t="n">
        <v>0</v>
      </c>
      <c r="K1153" s="6">
        <f>I1153-J1153</f>
        <v/>
      </c>
      <c r="L1153" s="6">
        <f>IF(H1153="DISTRATO",0,I1153)</f>
        <v/>
      </c>
    </row>
    <row r="1154">
      <c r="A1154" s="38" t="inlineStr">
        <is>
          <t>Conta corrente MFRUGIS09.XLS</t>
        </is>
      </c>
      <c r="B1154" s="39" t="n">
        <v>40169</v>
      </c>
      <c r="C1154" s="4" t="n">
        <v>40148</v>
      </c>
      <c r="D1154" s="5">
        <f>YEAR(C1154)</f>
        <v/>
      </c>
      <c r="E1154" s="5">
        <f>MONTH(C1154)</f>
        <v/>
      </c>
      <c r="F1154" s="38" t="inlineStr">
        <is>
          <t>NFV  :TENDA ATACADO LTDA</t>
        </is>
      </c>
      <c r="G1154" s="38" t="inlineStr">
        <is>
          <t>MARIO FRUGIS (01.04.01)</t>
        </is>
      </c>
      <c r="H1154" s="38" t="inlineStr">
        <is>
          <t>NFV</t>
        </is>
      </c>
      <c r="I1154" s="40" t="n">
        <v>99.03</v>
      </c>
      <c r="J1154" s="40" t="n">
        <v>0</v>
      </c>
      <c r="K1154" s="6">
        <f>I1154-J1154</f>
        <v/>
      </c>
      <c r="L1154" s="6">
        <f>IF(H1154="DISTRATO",0,I1154)</f>
        <v/>
      </c>
    </row>
    <row r="1155">
      <c r="A1155" s="38" t="inlineStr">
        <is>
          <t>Conta corrente MFRUGIS09.XLS</t>
        </is>
      </c>
      <c r="B1155" s="39" t="n">
        <v>40170</v>
      </c>
      <c r="C1155" s="4" t="n">
        <v>40148</v>
      </c>
      <c r="D1155" s="5">
        <f>YEAR(C1155)</f>
        <v/>
      </c>
      <c r="E1155" s="5">
        <f>MONTH(C1155)</f>
        <v/>
      </c>
      <c r="F1155" s="38" t="inlineStr">
        <is>
          <t>BONIF:TENDA ATACADO LTDA</t>
        </is>
      </c>
      <c r="G1155" s="38" t="inlineStr">
        <is>
          <t>MARIO FRUGIS (01.04.01)</t>
        </is>
      </c>
      <c r="H1155" s="38" t="inlineStr">
        <is>
          <t>BONIFICACAO</t>
        </is>
      </c>
      <c r="I1155" s="40" t="n">
        <v>-35.18</v>
      </c>
      <c r="J1155" s="40" t="n">
        <v>0</v>
      </c>
      <c r="K1155" s="6">
        <f>I1155-J1155</f>
        <v/>
      </c>
      <c r="L1155" s="6">
        <f>IF(H1155="DISTRATO",0,I1155)</f>
        <v/>
      </c>
    </row>
    <row r="1156">
      <c r="A1156" s="38" t="inlineStr">
        <is>
          <t>Conta corrente MFRUGIS09.XLS</t>
        </is>
      </c>
      <c r="B1156" s="39" t="n">
        <v>40170</v>
      </c>
      <c r="C1156" s="4" t="n">
        <v>40148</v>
      </c>
      <c r="D1156" s="5">
        <f>YEAR(C1156)</f>
        <v/>
      </c>
      <c r="E1156" s="5">
        <f>MONTH(C1156)</f>
        <v/>
      </c>
      <c r="F1156" s="38" t="inlineStr">
        <is>
          <t>BONIF:TENDA ATACADO LTDA</t>
        </is>
      </c>
      <c r="G1156" s="38" t="inlineStr">
        <is>
          <t>MARIO FRUGIS (01.04.01)</t>
        </is>
      </c>
      <c r="H1156" s="38" t="inlineStr">
        <is>
          <t>BONIFICACAO</t>
        </is>
      </c>
      <c r="I1156" s="40" t="n">
        <v>-35.18</v>
      </c>
      <c r="J1156" s="40" t="n">
        <v>0</v>
      </c>
      <c r="K1156" s="6">
        <f>I1156-J1156</f>
        <v/>
      </c>
      <c r="L1156" s="6">
        <f>IF(H1156="DISTRATO",0,I1156)</f>
        <v/>
      </c>
    </row>
    <row r="1157">
      <c r="A1157" s="38" t="inlineStr">
        <is>
          <t>Conta corrente MFRUGIS09.XLS</t>
        </is>
      </c>
      <c r="B1157" s="39" t="n">
        <v>40170</v>
      </c>
      <c r="C1157" s="4" t="n">
        <v>40148</v>
      </c>
      <c r="D1157" s="5">
        <f>YEAR(C1157)</f>
        <v/>
      </c>
      <c r="E1157" s="5">
        <f>MONTH(C1157)</f>
        <v/>
      </c>
      <c r="F1157" s="38" t="inlineStr">
        <is>
          <t>NFV  :TENDA ATACADO LTDA</t>
        </is>
      </c>
      <c r="G1157" s="38" t="inlineStr">
        <is>
          <t>MARIO FRUGIS (01.04.01)</t>
        </is>
      </c>
      <c r="H1157" s="38" t="inlineStr">
        <is>
          <t>NFV</t>
        </is>
      </c>
      <c r="I1157" s="40" t="n">
        <v>110.26</v>
      </c>
      <c r="J1157" s="40" t="n">
        <v>0</v>
      </c>
      <c r="K1157" s="6">
        <f>I1157-J1157</f>
        <v/>
      </c>
      <c r="L1157" s="6">
        <f>IF(H1157="DISTRATO",0,I1157)</f>
        <v/>
      </c>
    </row>
    <row r="1158">
      <c r="A1158" s="38" t="inlineStr">
        <is>
          <t>Conta corrente MFRUGIS09.XLS</t>
        </is>
      </c>
      <c r="B1158" s="39" t="n">
        <v>40170</v>
      </c>
      <c r="C1158" s="4" t="n">
        <v>40148</v>
      </c>
      <c r="D1158" s="5">
        <f>YEAR(C1158)</f>
        <v/>
      </c>
      <c r="E1158" s="5">
        <f>MONTH(C1158)</f>
        <v/>
      </c>
      <c r="F1158" s="38" t="inlineStr">
        <is>
          <t>NFV  :TENDA ATACADO LTDA</t>
        </is>
      </c>
      <c r="G1158" s="38" t="inlineStr">
        <is>
          <t>MARIO FRUGIS (01.04.01)</t>
        </is>
      </c>
      <c r="H1158" s="38" t="inlineStr">
        <is>
          <t>NFV</t>
        </is>
      </c>
      <c r="I1158" s="40" t="n">
        <v>137.75</v>
      </c>
      <c r="J1158" s="40" t="n">
        <v>0</v>
      </c>
      <c r="K1158" s="6">
        <f>I1158-J1158</f>
        <v/>
      </c>
      <c r="L1158" s="6">
        <f>IF(H1158="DISTRATO",0,I1158)</f>
        <v/>
      </c>
    </row>
    <row r="1159">
      <c r="A1159" s="38" t="inlineStr">
        <is>
          <t>Conta corrente MFRUGIS09.XLS</t>
        </is>
      </c>
      <c r="B1159" s="39" t="n">
        <v>40175</v>
      </c>
      <c r="C1159" s="4" t="n">
        <v>40148</v>
      </c>
      <c r="D1159" s="5">
        <f>YEAR(C1159)</f>
        <v/>
      </c>
      <c r="E1159" s="5">
        <f>MONTH(C1159)</f>
        <v/>
      </c>
      <c r="F1159" s="38" t="inlineStr">
        <is>
          <t>BONIF:TENDA ATACADO LTDA</t>
        </is>
      </c>
      <c r="G1159" s="38" t="inlineStr">
        <is>
          <t>MARIO FRUGIS (01.04.01)</t>
        </is>
      </c>
      <c r="H1159" s="38" t="inlineStr">
        <is>
          <t>BONIFICACAO</t>
        </is>
      </c>
      <c r="I1159" s="40" t="n">
        <v>-35.18</v>
      </c>
      <c r="J1159" s="40" t="n">
        <v>0</v>
      </c>
      <c r="K1159" s="6">
        <f>I1159-J1159</f>
        <v/>
      </c>
      <c r="L1159" s="6">
        <f>IF(H1159="DISTRATO",0,I1159)</f>
        <v/>
      </c>
    </row>
    <row r="1160">
      <c r="A1160" s="38" t="inlineStr">
        <is>
          <t>Conta corrente MFRUGIS09.XLS</t>
        </is>
      </c>
      <c r="B1160" s="39" t="n">
        <v>40175</v>
      </c>
      <c r="C1160" s="4" t="n">
        <v>40148</v>
      </c>
      <c r="D1160" s="5">
        <f>YEAR(C1160)</f>
        <v/>
      </c>
      <c r="E1160" s="5">
        <f>MONTH(C1160)</f>
        <v/>
      </c>
      <c r="F1160" s="38" t="inlineStr">
        <is>
          <t>NFV  :TENDA ATACADO LTDA</t>
        </is>
      </c>
      <c r="G1160" s="38" t="inlineStr">
        <is>
          <t>MARIO FRUGIS (01.04.01)</t>
        </is>
      </c>
      <c r="H1160" s="38" t="inlineStr">
        <is>
          <t>NFV</t>
        </is>
      </c>
      <c r="I1160" s="40" t="n">
        <v>58.55</v>
      </c>
      <c r="J1160" s="40" t="n">
        <v>0</v>
      </c>
      <c r="K1160" s="6">
        <f>I1160-J1160</f>
        <v/>
      </c>
      <c r="L1160" s="6">
        <f>IF(H1160="DISTRATO",0,I1160)</f>
        <v/>
      </c>
    </row>
    <row r="1161">
      <c r="A1161" s="38" t="inlineStr">
        <is>
          <t>Conta corrente MFRUGIS09.XLS</t>
        </is>
      </c>
      <c r="B1161" s="39" t="n">
        <v>40178</v>
      </c>
      <c r="C1161" s="4" t="n">
        <v>40148</v>
      </c>
      <c r="D1161" s="5">
        <f>YEAR(C1161)</f>
        <v/>
      </c>
      <c r="E1161" s="5">
        <f>MONTH(C1161)</f>
        <v/>
      </c>
      <c r="F1161" s="38" t="inlineStr">
        <is>
          <t>DIFERENCA x 35.6% (rateio: part. Tenda no mês)</t>
        </is>
      </c>
      <c r="G1161" s="38" t="inlineStr">
        <is>
          <t>MARIO FRUGIS (01.04.01)</t>
        </is>
      </c>
      <c r="H1161" s="38" t="inlineStr">
        <is>
          <t>AJUSTE % RATEIO</t>
        </is>
      </c>
      <c r="I1161" s="40" t="n">
        <v>56.55</v>
      </c>
      <c r="J1161" s="40" t="n">
        <v>0</v>
      </c>
      <c r="K1161" s="6">
        <f>I1161-J1161</f>
        <v/>
      </c>
      <c r="L1161" s="6">
        <f>IF(H1161="DISTRATO",0,I1161)</f>
        <v/>
      </c>
    </row>
    <row r="1162">
      <c r="A1162" s="38" t="inlineStr">
        <is>
          <t>Conta corrente MFRUGIS10.XLS</t>
        </is>
      </c>
      <c r="B1162" s="39" t="n">
        <v>40193</v>
      </c>
      <c r="C1162" s="4" t="n">
        <v>40179</v>
      </c>
      <c r="D1162" s="5">
        <f>YEAR(C1162)</f>
        <v/>
      </c>
      <c r="E1162" s="5">
        <f>MONTH(C1162)</f>
        <v/>
      </c>
      <c r="F1162" s="38" t="inlineStr">
        <is>
          <t>NFV  :TENDA ATACADO LTDA</t>
        </is>
      </c>
      <c r="G1162" s="38" t="inlineStr">
        <is>
          <t>MARIO FRUGIS (01.04.01)</t>
        </is>
      </c>
      <c r="H1162" s="38" t="inlineStr">
        <is>
          <t>NFV</t>
        </is>
      </c>
      <c r="I1162" s="40" t="n">
        <v>190.72</v>
      </c>
      <c r="J1162" s="40" t="n">
        <v>0</v>
      </c>
      <c r="K1162" s="6">
        <f>I1162-J1162</f>
        <v/>
      </c>
      <c r="L1162" s="6">
        <f>IF(H1162="DISTRATO",0,I1162)</f>
        <v/>
      </c>
    </row>
    <row r="1163">
      <c r="A1163" s="38" t="inlineStr">
        <is>
          <t>Conta corrente MFRUGIS10.XLS</t>
        </is>
      </c>
      <c r="B1163" s="39" t="n">
        <v>40196</v>
      </c>
      <c r="C1163" s="4" t="n">
        <v>40179</v>
      </c>
      <c r="D1163" s="5">
        <f>YEAR(C1163)</f>
        <v/>
      </c>
      <c r="E1163" s="5">
        <f>MONTH(C1163)</f>
        <v/>
      </c>
      <c r="F1163" s="38" t="inlineStr">
        <is>
          <t>NFV  :TENDA ATACADO LTDA</t>
        </is>
      </c>
      <c r="G1163" s="38" t="inlineStr">
        <is>
          <t>MARIO FRUGIS (01.04.01)</t>
        </is>
      </c>
      <c r="H1163" s="38" t="inlineStr">
        <is>
          <t>NFV</t>
        </is>
      </c>
      <c r="I1163" s="40" t="n">
        <v>177.62</v>
      </c>
      <c r="J1163" s="40" t="n">
        <v>0</v>
      </c>
      <c r="K1163" s="6">
        <f>I1163-J1163</f>
        <v/>
      </c>
      <c r="L1163" s="6">
        <f>IF(H1163="DISTRATO",0,I1163)</f>
        <v/>
      </c>
    </row>
    <row r="1164">
      <c r="A1164" s="38" t="inlineStr">
        <is>
          <t>Conta corrente MFRUGIS10.XLS</t>
        </is>
      </c>
      <c r="B1164" s="39" t="n">
        <v>40196</v>
      </c>
      <c r="C1164" s="4" t="n">
        <v>40179</v>
      </c>
      <c r="D1164" s="5">
        <f>YEAR(C1164)</f>
        <v/>
      </c>
      <c r="E1164" s="5">
        <f>MONTH(C1164)</f>
        <v/>
      </c>
      <c r="F1164" s="38" t="inlineStr">
        <is>
          <t>NFV  :TENDA ATACADO LTDA</t>
        </is>
      </c>
      <c r="G1164" s="38" t="inlineStr">
        <is>
          <t>MARIO FRUGIS (01.04.01)</t>
        </is>
      </c>
      <c r="H1164" s="38" t="inlineStr">
        <is>
          <t>NFV</t>
        </is>
      </c>
      <c r="I1164" s="40" t="n">
        <v>167.99</v>
      </c>
      <c r="J1164" s="40" t="n">
        <v>0</v>
      </c>
      <c r="K1164" s="6">
        <f>I1164-J1164</f>
        <v/>
      </c>
      <c r="L1164" s="6">
        <f>IF(H1164="DISTRATO",0,I1164)</f>
        <v/>
      </c>
    </row>
    <row r="1165">
      <c r="A1165" s="38" t="inlineStr">
        <is>
          <t>Conta corrente MFRUGIS10.XLS</t>
        </is>
      </c>
      <c r="B1165" s="39" t="n">
        <v>40196</v>
      </c>
      <c r="C1165" s="4" t="n">
        <v>40179</v>
      </c>
      <c r="D1165" s="5">
        <f>YEAR(C1165)</f>
        <v/>
      </c>
      <c r="E1165" s="5">
        <f>MONTH(C1165)</f>
        <v/>
      </c>
      <c r="F1165" s="38" t="inlineStr">
        <is>
          <t>NFV  :TENDA ATACADO LTDA</t>
        </is>
      </c>
      <c r="G1165" s="38" t="inlineStr">
        <is>
          <t>MARIO FRUGIS (01.04.01)</t>
        </is>
      </c>
      <c r="H1165" s="38" t="inlineStr">
        <is>
          <t>NFV</t>
        </is>
      </c>
      <c r="I1165" s="40" t="n">
        <v>105.68</v>
      </c>
      <c r="J1165" s="40" t="n">
        <v>0</v>
      </c>
      <c r="K1165" s="6">
        <f>I1165-J1165</f>
        <v/>
      </c>
      <c r="L1165" s="6">
        <f>IF(H1165="DISTRATO",0,I1165)</f>
        <v/>
      </c>
    </row>
    <row r="1166">
      <c r="A1166" s="38" t="inlineStr">
        <is>
          <t>Conta corrente MFRUGIS10.XLS</t>
        </is>
      </c>
      <c r="B1166" s="39" t="n">
        <v>40196</v>
      </c>
      <c r="C1166" s="4" t="n">
        <v>40179</v>
      </c>
      <c r="D1166" s="5">
        <f>YEAR(C1166)</f>
        <v/>
      </c>
      <c r="E1166" s="5">
        <f>MONTH(C1166)</f>
        <v/>
      </c>
      <c r="F1166" s="38" t="inlineStr">
        <is>
          <t>NFV  :TENDA ATACADO LTDA</t>
        </is>
      </c>
      <c r="G1166" s="38" t="inlineStr">
        <is>
          <t>MARIO FRUGIS (01.04.01)</t>
        </is>
      </c>
      <c r="H1166" s="38" t="inlineStr">
        <is>
          <t>NFV</t>
        </is>
      </c>
      <c r="I1166" s="40" t="n">
        <v>44.4</v>
      </c>
      <c r="J1166" s="40" t="n">
        <v>0</v>
      </c>
      <c r="K1166" s="6">
        <f>I1166-J1166</f>
        <v/>
      </c>
      <c r="L1166" s="6">
        <f>IF(H1166="DISTRATO",0,I1166)</f>
        <v/>
      </c>
    </row>
    <row r="1167">
      <c r="A1167" s="38" t="inlineStr">
        <is>
          <t>Conta corrente MFRUGIS10.XLS</t>
        </is>
      </c>
      <c r="B1167" s="39" t="n">
        <v>40196</v>
      </c>
      <c r="C1167" s="4" t="n">
        <v>40179</v>
      </c>
      <c r="D1167" s="5">
        <f>YEAR(C1167)</f>
        <v/>
      </c>
      <c r="E1167" s="5">
        <f>MONTH(C1167)</f>
        <v/>
      </c>
      <c r="F1167" s="38" t="inlineStr">
        <is>
          <t>NFV  :TENDA ATACADO LTDA</t>
        </is>
      </c>
      <c r="G1167" s="38" t="inlineStr">
        <is>
          <t>MARIO FRUGIS (01.04.01)</t>
        </is>
      </c>
      <c r="H1167" s="38" t="inlineStr">
        <is>
          <t>NFV</t>
        </is>
      </c>
      <c r="I1167" s="40" t="n">
        <v>109.86</v>
      </c>
      <c r="J1167" s="40" t="n">
        <v>0</v>
      </c>
      <c r="K1167" s="6">
        <f>I1167-J1167</f>
        <v/>
      </c>
      <c r="L1167" s="6">
        <f>IF(H1167="DISTRATO",0,I1167)</f>
        <v/>
      </c>
    </row>
    <row r="1168">
      <c r="A1168" s="38" t="inlineStr">
        <is>
          <t>Conta corrente MFRUGIS10.XLS</t>
        </is>
      </c>
      <c r="B1168" s="39" t="n">
        <v>40196</v>
      </c>
      <c r="C1168" s="4" t="n">
        <v>40179</v>
      </c>
      <c r="D1168" s="5">
        <f>YEAR(C1168)</f>
        <v/>
      </c>
      <c r="E1168" s="5">
        <f>MONTH(C1168)</f>
        <v/>
      </c>
      <c r="F1168" s="38" t="inlineStr">
        <is>
          <t>NFV  :TENDA ATACADO LTDA</t>
        </is>
      </c>
      <c r="G1168" s="38" t="inlineStr">
        <is>
          <t>MARIO FRUGIS (01.04.01)</t>
        </is>
      </c>
      <c r="H1168" s="38" t="inlineStr">
        <is>
          <t>NFV</t>
        </is>
      </c>
      <c r="I1168" s="40" t="n">
        <v>199.84</v>
      </c>
      <c r="J1168" s="40" t="n">
        <v>0</v>
      </c>
      <c r="K1168" s="6">
        <f>I1168-J1168</f>
        <v/>
      </c>
      <c r="L1168" s="6">
        <f>IF(H1168="DISTRATO",0,I1168)</f>
        <v/>
      </c>
    </row>
    <row r="1169">
      <c r="A1169" s="38" t="inlineStr">
        <is>
          <t>Conta corrente MFRUGIS10.XLS</t>
        </is>
      </c>
      <c r="B1169" s="39" t="n">
        <v>40196</v>
      </c>
      <c r="C1169" s="4" t="n">
        <v>40179</v>
      </c>
      <c r="D1169" s="5">
        <f>YEAR(C1169)</f>
        <v/>
      </c>
      <c r="E1169" s="5">
        <f>MONTH(C1169)</f>
        <v/>
      </c>
      <c r="F1169" s="38" t="inlineStr">
        <is>
          <t>NFV  :TENDA ATACADO LTDA</t>
        </is>
      </c>
      <c r="G1169" s="38" t="inlineStr">
        <is>
          <t>MARIO FRUGIS (01.04.01)</t>
        </is>
      </c>
      <c r="H1169" s="38" t="inlineStr">
        <is>
          <t>NFV</t>
        </is>
      </c>
      <c r="I1169" s="40" t="n">
        <v>123.47</v>
      </c>
      <c r="J1169" s="40" t="n">
        <v>0</v>
      </c>
      <c r="K1169" s="6">
        <f>I1169-J1169</f>
        <v/>
      </c>
      <c r="L1169" s="6">
        <f>IF(H1169="DISTRATO",0,I1169)</f>
        <v/>
      </c>
    </row>
    <row r="1170">
      <c r="A1170" s="38" t="inlineStr">
        <is>
          <t>Conta corrente MFRUGIS10.XLS</t>
        </is>
      </c>
      <c r="B1170" s="39" t="n">
        <v>40196</v>
      </c>
      <c r="C1170" s="4" t="n">
        <v>40179</v>
      </c>
      <c r="D1170" s="5">
        <f>YEAR(C1170)</f>
        <v/>
      </c>
      <c r="E1170" s="5">
        <f>MONTH(C1170)</f>
        <v/>
      </c>
      <c r="F1170" s="38" t="inlineStr">
        <is>
          <t>NFV  :TENDA ATACADO LTDA</t>
        </is>
      </c>
      <c r="G1170" s="38" t="inlineStr">
        <is>
          <t>MARIO FRUGIS (01.04.01)</t>
        </is>
      </c>
      <c r="H1170" s="38" t="inlineStr">
        <is>
          <t>NFV</t>
        </is>
      </c>
      <c r="I1170" s="40" t="n">
        <v>97.78</v>
      </c>
      <c r="J1170" s="40" t="n">
        <v>0</v>
      </c>
      <c r="K1170" s="6">
        <f>I1170-J1170</f>
        <v/>
      </c>
      <c r="L1170" s="6">
        <f>IF(H1170="DISTRATO",0,I1170)</f>
        <v/>
      </c>
    </row>
    <row r="1171">
      <c r="A1171" s="38" t="inlineStr">
        <is>
          <t>Conta corrente MFRUGIS10.XLS</t>
        </is>
      </c>
      <c r="B1171" s="39" t="n">
        <v>40196</v>
      </c>
      <c r="C1171" s="4" t="n">
        <v>40179</v>
      </c>
      <c r="D1171" s="5">
        <f>YEAR(C1171)</f>
        <v/>
      </c>
      <c r="E1171" s="5">
        <f>MONTH(C1171)</f>
        <v/>
      </c>
      <c r="F1171" s="38" t="inlineStr">
        <is>
          <t>NFV  :TENDA ATACADO LTDA</t>
        </is>
      </c>
      <c r="G1171" s="38" t="inlineStr">
        <is>
          <t>MARIO FRUGIS (01.04.01)</t>
        </is>
      </c>
      <c r="H1171" s="38" t="inlineStr">
        <is>
          <t>NFV</t>
        </is>
      </c>
      <c r="I1171" s="40" t="n">
        <v>103.27</v>
      </c>
      <c r="J1171" s="40" t="n">
        <v>0</v>
      </c>
      <c r="K1171" s="6">
        <f>I1171-J1171</f>
        <v/>
      </c>
      <c r="L1171" s="6">
        <f>IF(H1171="DISTRATO",0,I1171)</f>
        <v/>
      </c>
    </row>
    <row r="1172">
      <c r="A1172" s="38" t="inlineStr">
        <is>
          <t>Conta corrente MFRUGIS10.XLS</t>
        </is>
      </c>
      <c r="B1172" s="39" t="n">
        <v>40196</v>
      </c>
      <c r="C1172" s="4" t="n">
        <v>40179</v>
      </c>
      <c r="D1172" s="5">
        <f>YEAR(C1172)</f>
        <v/>
      </c>
      <c r="E1172" s="5">
        <f>MONTH(C1172)</f>
        <v/>
      </c>
      <c r="F1172" s="38" t="inlineStr">
        <is>
          <t>NFV  :TENDA ATACADO LTDA</t>
        </is>
      </c>
      <c r="G1172" s="38" t="inlineStr">
        <is>
          <t>MARIO FRUGIS (01.04.01)</t>
        </is>
      </c>
      <c r="H1172" s="38" t="inlineStr">
        <is>
          <t>NFV</t>
        </is>
      </c>
      <c r="I1172" s="40" t="n">
        <v>113.52</v>
      </c>
      <c r="J1172" s="40" t="n">
        <v>0</v>
      </c>
      <c r="K1172" s="6">
        <f>I1172-J1172</f>
        <v/>
      </c>
      <c r="L1172" s="6">
        <f>IF(H1172="DISTRATO",0,I1172)</f>
        <v/>
      </c>
    </row>
    <row r="1173">
      <c r="A1173" s="38" t="inlineStr">
        <is>
          <t>Conta corrente MFRUGIS10.XLS</t>
        </is>
      </c>
      <c r="B1173" s="39" t="n">
        <v>40196</v>
      </c>
      <c r="C1173" s="4" t="n">
        <v>40179</v>
      </c>
      <c r="D1173" s="5">
        <f>YEAR(C1173)</f>
        <v/>
      </c>
      <c r="E1173" s="5">
        <f>MONTH(C1173)</f>
        <v/>
      </c>
      <c r="F1173" s="38" t="inlineStr">
        <is>
          <t>NFV  :TENDA ATACADO LTDA</t>
        </is>
      </c>
      <c r="G1173" s="38" t="inlineStr">
        <is>
          <t>MARIO FRUGIS (01.04.01)</t>
        </is>
      </c>
      <c r="H1173" s="38" t="inlineStr">
        <is>
          <t>NFV</t>
        </is>
      </c>
      <c r="I1173" s="40" t="n">
        <v>188.88</v>
      </c>
      <c r="J1173" s="40" t="n">
        <v>0</v>
      </c>
      <c r="K1173" s="6">
        <f>I1173-J1173</f>
        <v/>
      </c>
      <c r="L1173" s="6">
        <f>IF(H1173="DISTRATO",0,I1173)</f>
        <v/>
      </c>
    </row>
    <row r="1174">
      <c r="A1174" s="38" t="inlineStr">
        <is>
          <t>Conta corrente MFRUGIS10.XLS</t>
        </is>
      </c>
      <c r="B1174" s="39" t="n">
        <v>40204</v>
      </c>
      <c r="C1174" s="4" t="n">
        <v>40179</v>
      </c>
      <c r="D1174" s="5">
        <f>YEAR(C1174)</f>
        <v/>
      </c>
      <c r="E1174" s="5">
        <f>MONTH(C1174)</f>
        <v/>
      </c>
      <c r="F1174" s="38" t="inlineStr">
        <is>
          <t>NFV  :TENDA ATACADO LTDA</t>
        </is>
      </c>
      <c r="G1174" s="38" t="inlineStr">
        <is>
          <t>MARIO FRUGIS (01.04.01)</t>
        </is>
      </c>
      <c r="H1174" s="38" t="inlineStr">
        <is>
          <t>NFV</t>
        </is>
      </c>
      <c r="I1174" s="40" t="n">
        <v>76.06</v>
      </c>
      <c r="J1174" s="40" t="n">
        <v>0</v>
      </c>
      <c r="K1174" s="6">
        <f>I1174-J1174</f>
        <v/>
      </c>
      <c r="L1174" s="6">
        <f>IF(H1174="DISTRATO",0,I1174)</f>
        <v/>
      </c>
    </row>
    <row r="1175">
      <c r="A1175" s="38" t="inlineStr">
        <is>
          <t>Conta corrente MFRUGIS10.XLS</t>
        </is>
      </c>
      <c r="B1175" s="39" t="n">
        <v>40204</v>
      </c>
      <c r="C1175" s="4" t="n">
        <v>40179</v>
      </c>
      <c r="D1175" s="5">
        <f>YEAR(C1175)</f>
        <v/>
      </c>
      <c r="E1175" s="5">
        <f>MONTH(C1175)</f>
        <v/>
      </c>
      <c r="F1175" s="38" t="inlineStr">
        <is>
          <t>NFV  :TENDA ATACADO LTDA</t>
        </is>
      </c>
      <c r="G1175" s="38" t="inlineStr">
        <is>
          <t>MARIO FRUGIS (01.04.01)</t>
        </is>
      </c>
      <c r="H1175" s="38" t="inlineStr">
        <is>
          <t>NFV</t>
        </is>
      </c>
      <c r="I1175" s="40" t="n">
        <v>109.16</v>
      </c>
      <c r="J1175" s="40" t="n">
        <v>0</v>
      </c>
      <c r="K1175" s="6">
        <f>I1175-J1175</f>
        <v/>
      </c>
      <c r="L1175" s="6">
        <f>IF(H1175="DISTRATO",0,I1175)</f>
        <v/>
      </c>
    </row>
    <row r="1176">
      <c r="A1176" s="38" t="inlineStr">
        <is>
          <t>Conta corrente MFRUGIS10.XLS</t>
        </is>
      </c>
      <c r="B1176" s="39" t="n">
        <v>40205</v>
      </c>
      <c r="C1176" s="4" t="n">
        <v>40179</v>
      </c>
      <c r="D1176" s="5">
        <f>YEAR(C1176)</f>
        <v/>
      </c>
      <c r="E1176" s="5">
        <f>MONTH(C1176)</f>
        <v/>
      </c>
      <c r="F1176" s="38" t="inlineStr">
        <is>
          <t>DEV  :TENDA ATACADO LTDA</t>
        </is>
      </c>
      <c r="G1176" s="38" t="inlineStr">
        <is>
          <t>MARIO FRUGIS (01.04.01)</t>
        </is>
      </c>
      <c r="H1176" s="38" t="inlineStr">
        <is>
          <t>DEVOLUCAO</t>
        </is>
      </c>
      <c r="I1176" s="40" t="n">
        <v>-0.42</v>
      </c>
      <c r="J1176" s="40" t="n">
        <v>0</v>
      </c>
      <c r="K1176" s="6">
        <f>I1176-J1176</f>
        <v/>
      </c>
      <c r="L1176" s="6">
        <f>IF(H1176="DISTRATO",0,I1176)</f>
        <v/>
      </c>
    </row>
    <row r="1177">
      <c r="A1177" s="38" t="inlineStr">
        <is>
          <t>Conta corrente MFRUGIS10.XLS</t>
        </is>
      </c>
      <c r="B1177" s="39" t="n">
        <v>40205</v>
      </c>
      <c r="C1177" s="4" t="n">
        <v>40179</v>
      </c>
      <c r="D1177" s="5">
        <f>YEAR(C1177)</f>
        <v/>
      </c>
      <c r="E1177" s="5">
        <f>MONTH(C1177)</f>
        <v/>
      </c>
      <c r="F1177" s="38" t="inlineStr">
        <is>
          <t>NFV  :TENDA ATACADO LTDA</t>
        </is>
      </c>
      <c r="G1177" s="38" t="inlineStr">
        <is>
          <t>MARIO FRUGIS (01.04.01)</t>
        </is>
      </c>
      <c r="H1177" s="38" t="inlineStr">
        <is>
          <t>NFV</t>
        </is>
      </c>
      <c r="I1177" s="40" t="n">
        <v>111.49</v>
      </c>
      <c r="J1177" s="40" t="n">
        <v>0</v>
      </c>
      <c r="K1177" s="6">
        <f>I1177-J1177</f>
        <v/>
      </c>
      <c r="L1177" s="6">
        <f>IF(H1177="DISTRATO",0,I1177)</f>
        <v/>
      </c>
    </row>
    <row r="1178">
      <c r="A1178" s="38" t="inlineStr">
        <is>
          <t>Conta corrente MFRUGIS10.XLS</t>
        </is>
      </c>
      <c r="B1178" s="39" t="n">
        <v>40205</v>
      </c>
      <c r="C1178" s="4" t="n">
        <v>40179</v>
      </c>
      <c r="D1178" s="5">
        <f>YEAR(C1178)</f>
        <v/>
      </c>
      <c r="E1178" s="5">
        <f>MONTH(C1178)</f>
        <v/>
      </c>
      <c r="F1178" s="38" t="inlineStr">
        <is>
          <t>NFV  :TENDA ATACADO LTDA</t>
        </is>
      </c>
      <c r="G1178" s="38" t="inlineStr">
        <is>
          <t>MARIO FRUGIS (01.04.01)</t>
        </is>
      </c>
      <c r="H1178" s="38" t="inlineStr">
        <is>
          <t>NFV</t>
        </is>
      </c>
      <c r="I1178" s="40" t="n">
        <v>140.22</v>
      </c>
      <c r="J1178" s="40" t="n">
        <v>0</v>
      </c>
      <c r="K1178" s="6">
        <f>I1178-J1178</f>
        <v/>
      </c>
      <c r="L1178" s="6">
        <f>IF(H1178="DISTRATO",0,I1178)</f>
        <v/>
      </c>
    </row>
    <row r="1179">
      <c r="A1179" s="38" t="inlineStr">
        <is>
          <t>Conta corrente MFRUGIS10.XLS</t>
        </is>
      </c>
      <c r="B1179" s="39" t="n">
        <v>40205</v>
      </c>
      <c r="C1179" s="4" t="n">
        <v>40179</v>
      </c>
      <c r="D1179" s="5">
        <f>YEAR(C1179)</f>
        <v/>
      </c>
      <c r="E1179" s="5">
        <f>MONTH(C1179)</f>
        <v/>
      </c>
      <c r="F1179" s="38" t="inlineStr">
        <is>
          <t>NFV  :TENDA ATACADO LTDA</t>
        </is>
      </c>
      <c r="G1179" s="38" t="inlineStr">
        <is>
          <t>MARIO FRUGIS (01.04.01)</t>
        </is>
      </c>
      <c r="H1179" s="38" t="inlineStr">
        <is>
          <t>NFV</t>
        </is>
      </c>
      <c r="I1179" s="40" t="n">
        <v>125.85</v>
      </c>
      <c r="J1179" s="40" t="n">
        <v>0</v>
      </c>
      <c r="K1179" s="6">
        <f>I1179-J1179</f>
        <v/>
      </c>
      <c r="L1179" s="6">
        <f>IF(H1179="DISTRATO",0,I1179)</f>
        <v/>
      </c>
    </row>
    <row r="1180">
      <c r="A1180" s="38" t="inlineStr">
        <is>
          <t>Conta corrente MFRUGIS10.XLS</t>
        </is>
      </c>
      <c r="B1180" s="39" t="n">
        <v>40205</v>
      </c>
      <c r="C1180" s="4" t="n">
        <v>40179</v>
      </c>
      <c r="D1180" s="5">
        <f>YEAR(C1180)</f>
        <v/>
      </c>
      <c r="E1180" s="5">
        <f>MONTH(C1180)</f>
        <v/>
      </c>
      <c r="F1180" s="38" t="inlineStr">
        <is>
          <t>NFV  :TENDA ATACADO LTDA</t>
        </is>
      </c>
      <c r="G1180" s="38" t="inlineStr">
        <is>
          <t>MARIO FRUGIS (01.04.01)</t>
        </is>
      </c>
      <c r="H1180" s="38" t="inlineStr">
        <is>
          <t>NFV</t>
        </is>
      </c>
      <c r="I1180" s="40" t="n">
        <v>47.33</v>
      </c>
      <c r="J1180" s="40" t="n">
        <v>0</v>
      </c>
      <c r="K1180" s="6">
        <f>I1180-J1180</f>
        <v/>
      </c>
      <c r="L1180" s="6">
        <f>IF(H1180="DISTRATO",0,I1180)</f>
        <v/>
      </c>
    </row>
    <row r="1181">
      <c r="A1181" s="38" t="inlineStr">
        <is>
          <t>Conta corrente MFRUGIS10.XLS</t>
        </is>
      </c>
      <c r="B1181" s="39" t="n">
        <v>40205</v>
      </c>
      <c r="C1181" s="4" t="n">
        <v>40179</v>
      </c>
      <c r="D1181" s="5">
        <f>YEAR(C1181)</f>
        <v/>
      </c>
      <c r="E1181" s="5">
        <f>MONTH(C1181)</f>
        <v/>
      </c>
      <c r="F1181" s="38" t="inlineStr">
        <is>
          <t>NFV  :TENDA ATACADO LTDA</t>
        </is>
      </c>
      <c r="G1181" s="38" t="inlineStr">
        <is>
          <t>MARIO FRUGIS (01.04.01)</t>
        </is>
      </c>
      <c r="H1181" s="38" t="inlineStr">
        <is>
          <t>NFV</t>
        </is>
      </c>
      <c r="I1181" s="40" t="n">
        <v>87.83</v>
      </c>
      <c r="J1181" s="40" t="n">
        <v>0</v>
      </c>
      <c r="K1181" s="6">
        <f>I1181-J1181</f>
        <v/>
      </c>
      <c r="L1181" s="6">
        <f>IF(H1181="DISTRATO",0,I1181)</f>
        <v/>
      </c>
    </row>
    <row r="1182">
      <c r="A1182" s="38" t="inlineStr">
        <is>
          <t>Conta corrente MFRUGIS10.XLS</t>
        </is>
      </c>
      <c r="B1182" s="39" t="n">
        <v>40205</v>
      </c>
      <c r="C1182" s="4" t="n">
        <v>40179</v>
      </c>
      <c r="D1182" s="5">
        <f>YEAR(C1182)</f>
        <v/>
      </c>
      <c r="E1182" s="5">
        <f>MONTH(C1182)</f>
        <v/>
      </c>
      <c r="F1182" s="38" t="inlineStr">
        <is>
          <t>NFV  :TENDA ATACADO LTDA</t>
        </is>
      </c>
      <c r="G1182" s="38" t="inlineStr">
        <is>
          <t>MARIO FRUGIS (01.04.01)</t>
        </is>
      </c>
      <c r="H1182" s="38" t="inlineStr">
        <is>
          <t>NFV</t>
        </is>
      </c>
      <c r="I1182" s="40" t="n">
        <v>114.08</v>
      </c>
      <c r="J1182" s="40" t="n">
        <v>0</v>
      </c>
      <c r="K1182" s="6">
        <f>I1182-J1182</f>
        <v/>
      </c>
      <c r="L1182" s="6">
        <f>IF(H1182="DISTRATO",0,I1182)</f>
        <v/>
      </c>
    </row>
    <row r="1183">
      <c r="A1183" s="38" t="inlineStr">
        <is>
          <t>Conta corrente MFRUGIS10.XLS</t>
        </is>
      </c>
      <c r="B1183" s="39" t="n">
        <v>40205</v>
      </c>
      <c r="C1183" s="4" t="n">
        <v>40179</v>
      </c>
      <c r="D1183" s="5">
        <f>YEAR(C1183)</f>
        <v/>
      </c>
      <c r="E1183" s="5">
        <f>MONTH(C1183)</f>
        <v/>
      </c>
      <c r="F1183" s="38" t="inlineStr">
        <is>
          <t>NFV  :TENDA ATACADO LTDA</t>
        </is>
      </c>
      <c r="G1183" s="38" t="inlineStr">
        <is>
          <t>MARIO FRUGIS (01.04.01)</t>
        </is>
      </c>
      <c r="H1183" s="38" t="inlineStr">
        <is>
          <t>NFV</t>
        </is>
      </c>
      <c r="I1183" s="40" t="n">
        <v>145.27</v>
      </c>
      <c r="J1183" s="40" t="n">
        <v>0</v>
      </c>
      <c r="K1183" s="6">
        <f>I1183-J1183</f>
        <v/>
      </c>
      <c r="L1183" s="6">
        <f>IF(H1183="DISTRATO",0,I1183)</f>
        <v/>
      </c>
    </row>
    <row r="1184">
      <c r="A1184" s="38" t="inlineStr">
        <is>
          <t>Conta corrente MFRUGIS10.XLS</t>
        </is>
      </c>
      <c r="B1184" s="39" t="n">
        <v>40205</v>
      </c>
      <c r="C1184" s="4" t="n">
        <v>40179</v>
      </c>
      <c r="D1184" s="5">
        <f>YEAR(C1184)</f>
        <v/>
      </c>
      <c r="E1184" s="5">
        <f>MONTH(C1184)</f>
        <v/>
      </c>
      <c r="F1184" s="38" t="inlineStr">
        <is>
          <t>NFV  :TENDA ATACADO LTDA</t>
        </is>
      </c>
      <c r="G1184" s="38" t="inlineStr">
        <is>
          <t>MARIO FRUGIS (01.04.01)</t>
        </is>
      </c>
      <c r="H1184" s="38" t="inlineStr">
        <is>
          <t>NFV</t>
        </is>
      </c>
      <c r="I1184" s="40" t="n">
        <v>216.26</v>
      </c>
      <c r="J1184" s="40" t="n">
        <v>0</v>
      </c>
      <c r="K1184" s="6">
        <f>I1184-J1184</f>
        <v/>
      </c>
      <c r="L1184" s="6">
        <f>IF(H1184="DISTRATO",0,I1184)</f>
        <v/>
      </c>
    </row>
    <row r="1185">
      <c r="A1185" s="38" t="inlineStr">
        <is>
          <t>Conta corrente MFRUGIS10.XLS</t>
        </is>
      </c>
      <c r="B1185" s="39" t="n">
        <v>40205</v>
      </c>
      <c r="C1185" s="4" t="n">
        <v>40179</v>
      </c>
      <c r="D1185" s="5">
        <f>YEAR(C1185)</f>
        <v/>
      </c>
      <c r="E1185" s="5">
        <f>MONTH(C1185)</f>
        <v/>
      </c>
      <c r="F1185" s="38" t="inlineStr">
        <is>
          <t>NFV  :TENDA ATACADO LTDA</t>
        </is>
      </c>
      <c r="G1185" s="38" t="inlineStr">
        <is>
          <t>MARIO FRUGIS (01.04.01)</t>
        </is>
      </c>
      <c r="H1185" s="38" t="inlineStr">
        <is>
          <t>NFV</t>
        </is>
      </c>
      <c r="I1185" s="40" t="n">
        <v>102.19</v>
      </c>
      <c r="J1185" s="40" t="n">
        <v>0</v>
      </c>
      <c r="K1185" s="6">
        <f>I1185-J1185</f>
        <v/>
      </c>
      <c r="L1185" s="6">
        <f>IF(H1185="DISTRATO",0,I1185)</f>
        <v/>
      </c>
    </row>
    <row r="1186">
      <c r="A1186" s="38" t="inlineStr">
        <is>
          <t>Conta corrente MFRUGIS10.XLS</t>
        </is>
      </c>
      <c r="B1186" s="39" t="n">
        <v>40206</v>
      </c>
      <c r="C1186" s="4" t="n">
        <v>40179</v>
      </c>
      <c r="D1186" s="5">
        <f>YEAR(C1186)</f>
        <v/>
      </c>
      <c r="E1186" s="5">
        <f>MONTH(C1186)</f>
        <v/>
      </c>
      <c r="F1186" s="38" t="inlineStr">
        <is>
          <t>NFV  :TENDA ATACADO LTDA</t>
        </is>
      </c>
      <c r="G1186" s="38" t="inlineStr">
        <is>
          <t>MARIO FRUGIS (01.04.01)</t>
        </is>
      </c>
      <c r="H1186" s="38" t="inlineStr">
        <is>
          <t>NFV</t>
        </is>
      </c>
      <c r="I1186" s="40" t="n">
        <v>87.84</v>
      </c>
      <c r="J1186" s="40" t="n">
        <v>0</v>
      </c>
      <c r="K1186" s="6">
        <f>I1186-J1186</f>
        <v/>
      </c>
      <c r="L1186" s="6">
        <f>IF(H1186="DISTRATO",0,I1186)</f>
        <v/>
      </c>
    </row>
    <row r="1187">
      <c r="A1187" s="38" t="inlineStr">
        <is>
          <t>Conta corrente MFRUGIS10.XLS</t>
        </is>
      </c>
      <c r="B1187" s="39" t="n">
        <v>40208</v>
      </c>
      <c r="C1187" s="4" t="n">
        <v>40179</v>
      </c>
      <c r="D1187" s="5">
        <f>YEAR(C1187)</f>
        <v/>
      </c>
      <c r="E1187" s="5">
        <f>MONTH(C1187)</f>
        <v/>
      </c>
      <c r="F1187" s="38" t="inlineStr">
        <is>
          <t>NFV  :TENDA ATACADO LTDA</t>
        </is>
      </c>
      <c r="G1187" s="38" t="inlineStr">
        <is>
          <t>MARIO FRUGIS (01.04.01)</t>
        </is>
      </c>
      <c r="H1187" s="38" t="inlineStr">
        <is>
          <t>NFV</t>
        </is>
      </c>
      <c r="I1187" s="40" t="n">
        <v>38.81</v>
      </c>
      <c r="J1187" s="40" t="n">
        <v>0</v>
      </c>
      <c r="K1187" s="6">
        <f>I1187-J1187</f>
        <v/>
      </c>
      <c r="L1187" s="6">
        <f>IF(H1187="DISTRATO",0,I1187)</f>
        <v/>
      </c>
    </row>
    <row r="1188">
      <c r="A1188" s="38" t="inlineStr">
        <is>
          <t>Conta corrente MFRUGIS10.XLS</t>
        </is>
      </c>
      <c r="B1188" s="39" t="n">
        <v>40208</v>
      </c>
      <c r="C1188" s="4" t="n">
        <v>40179</v>
      </c>
      <c r="D1188" s="5">
        <f>YEAR(C1188)</f>
        <v/>
      </c>
      <c r="E1188" s="5">
        <f>MONTH(C1188)</f>
        <v/>
      </c>
      <c r="F1188" s="38" t="inlineStr">
        <is>
          <t>NFV  :TENDA ATACADO LTDA</t>
        </is>
      </c>
      <c r="G1188" s="38" t="inlineStr">
        <is>
          <t>MARIO FRUGIS (01.04.01)</t>
        </is>
      </c>
      <c r="H1188" s="38" t="inlineStr">
        <is>
          <t>NFV</t>
        </is>
      </c>
      <c r="I1188" s="40" t="n">
        <v>65.37</v>
      </c>
      <c r="J1188" s="40" t="n">
        <v>0</v>
      </c>
      <c r="K1188" s="6">
        <f>I1188-J1188</f>
        <v/>
      </c>
      <c r="L1188" s="6">
        <f>IF(H1188="DISTRATO",0,I1188)</f>
        <v/>
      </c>
    </row>
    <row r="1189">
      <c r="A1189" s="38" t="inlineStr">
        <is>
          <t>Conta corrente MFRUGIS10.XLS</t>
        </is>
      </c>
      <c r="B1189" s="39" t="n">
        <v>40208</v>
      </c>
      <c r="C1189" s="4" t="n">
        <v>40179</v>
      </c>
      <c r="D1189" s="5">
        <f>YEAR(C1189)</f>
        <v/>
      </c>
      <c r="E1189" s="5">
        <f>MONTH(C1189)</f>
        <v/>
      </c>
      <c r="F1189" s="38" t="inlineStr">
        <is>
          <t>NFV  :TENDA ATACADO LTDA</t>
        </is>
      </c>
      <c r="G1189" s="38" t="inlineStr">
        <is>
          <t>MARIO FRUGIS (01.04.01)</t>
        </is>
      </c>
      <c r="H1189" s="38" t="inlineStr">
        <is>
          <t>NFV</t>
        </is>
      </c>
      <c r="I1189" s="40" t="n">
        <v>68.93000000000001</v>
      </c>
      <c r="J1189" s="40" t="n">
        <v>0</v>
      </c>
      <c r="K1189" s="6">
        <f>I1189-J1189</f>
        <v/>
      </c>
      <c r="L1189" s="6">
        <f>IF(H1189="DISTRATO",0,I1189)</f>
        <v/>
      </c>
    </row>
    <row r="1190">
      <c r="A1190" s="38" t="inlineStr">
        <is>
          <t>Conta corrente MFRUGIS10.XLS</t>
        </is>
      </c>
      <c r="B1190" s="39" t="n">
        <v>40208</v>
      </c>
      <c r="C1190" s="4" t="n">
        <v>40179</v>
      </c>
      <c r="D1190" s="5">
        <f>YEAR(C1190)</f>
        <v/>
      </c>
      <c r="E1190" s="5">
        <f>MONTH(C1190)</f>
        <v/>
      </c>
      <c r="F1190" s="38" t="inlineStr">
        <is>
          <t>NFV  :TENDA ATACADO LTDA</t>
        </is>
      </c>
      <c r="G1190" s="38" t="inlineStr">
        <is>
          <t>MARIO FRUGIS (01.04.01)</t>
        </is>
      </c>
      <c r="H1190" s="38" t="inlineStr">
        <is>
          <t>NFV</t>
        </is>
      </c>
      <c r="I1190" s="40" t="n">
        <v>121.61</v>
      </c>
      <c r="J1190" s="40" t="n">
        <v>0</v>
      </c>
      <c r="K1190" s="6">
        <f>I1190-J1190</f>
        <v/>
      </c>
      <c r="L1190" s="6">
        <f>IF(H1190="DISTRATO",0,I1190)</f>
        <v/>
      </c>
    </row>
    <row r="1191">
      <c r="A1191" s="38" t="inlineStr">
        <is>
          <t>Conta corrente MFRUGIS10.XLS</t>
        </is>
      </c>
      <c r="B1191" s="39" t="n">
        <v>40208</v>
      </c>
      <c r="C1191" s="4" t="n">
        <v>40179</v>
      </c>
      <c r="D1191" s="5">
        <f>YEAR(C1191)</f>
        <v/>
      </c>
      <c r="E1191" s="5">
        <f>MONTH(C1191)</f>
        <v/>
      </c>
      <c r="F1191" s="38" t="inlineStr">
        <is>
          <t>NFV  :TENDA ATACADO LTDA</t>
        </is>
      </c>
      <c r="G1191" s="38" t="inlineStr">
        <is>
          <t>MARIO FRUGIS (01.04.01)</t>
        </is>
      </c>
      <c r="H1191" s="38" t="inlineStr">
        <is>
          <t>NFV</t>
        </is>
      </c>
      <c r="I1191" s="40" t="n">
        <v>179.21</v>
      </c>
      <c r="J1191" s="40" t="n">
        <v>0</v>
      </c>
      <c r="K1191" s="6">
        <f>I1191-J1191</f>
        <v/>
      </c>
      <c r="L1191" s="6">
        <f>IF(H1191="DISTRATO",0,I1191)</f>
        <v/>
      </c>
    </row>
    <row r="1192">
      <c r="A1192" s="38" t="inlineStr">
        <is>
          <t>Conta corrente MFRUGIS10.XLS</t>
        </is>
      </c>
      <c r="B1192" s="39" t="n">
        <v>40208</v>
      </c>
      <c r="C1192" s="4" t="n">
        <v>40179</v>
      </c>
      <c r="D1192" s="5">
        <f>YEAR(C1192)</f>
        <v/>
      </c>
      <c r="E1192" s="5">
        <f>MONTH(C1192)</f>
        <v/>
      </c>
      <c r="F1192" s="38" t="inlineStr">
        <is>
          <t>NFV  :TENDA ATACADO LTDA</t>
        </is>
      </c>
      <c r="G1192" s="38" t="inlineStr">
        <is>
          <t>MARIO FRUGIS (01.04.01)</t>
        </is>
      </c>
      <c r="H1192" s="38" t="inlineStr">
        <is>
          <t>NFV</t>
        </is>
      </c>
      <c r="I1192" s="40" t="n">
        <v>136.57</v>
      </c>
      <c r="J1192" s="40" t="n">
        <v>0</v>
      </c>
      <c r="K1192" s="6">
        <f>I1192-J1192</f>
        <v/>
      </c>
      <c r="L1192" s="6">
        <f>IF(H1192="DISTRATO",0,I1192)</f>
        <v/>
      </c>
    </row>
    <row r="1193">
      <c r="A1193" s="38" t="inlineStr">
        <is>
          <t>Conta corrente MFRUGIS10.XLS</t>
        </is>
      </c>
      <c r="B1193" s="39" t="n">
        <v>40208</v>
      </c>
      <c r="C1193" s="4" t="n">
        <v>40179</v>
      </c>
      <c r="D1193" s="5">
        <f>YEAR(C1193)</f>
        <v/>
      </c>
      <c r="E1193" s="5">
        <f>MONTH(C1193)</f>
        <v/>
      </c>
      <c r="F1193" s="38" t="inlineStr">
        <is>
          <t>NFV  :TENDA ATACADO LTDA</t>
        </is>
      </c>
      <c r="G1193" s="38" t="inlineStr">
        <is>
          <t>MARIO FRUGIS (01.04.01)</t>
        </is>
      </c>
      <c r="H1193" s="38" t="inlineStr">
        <is>
          <t>NFV</t>
        </is>
      </c>
      <c r="I1193" s="40" t="n">
        <v>56.86</v>
      </c>
      <c r="J1193" s="40" t="n">
        <v>0</v>
      </c>
      <c r="K1193" s="6">
        <f>I1193-J1193</f>
        <v/>
      </c>
      <c r="L1193" s="6">
        <f>IF(H1193="DISTRATO",0,I1193)</f>
        <v/>
      </c>
    </row>
    <row r="1194">
      <c r="A1194" s="38" t="inlineStr">
        <is>
          <t>Conta corrente MFRUGIS10.XLS</t>
        </is>
      </c>
      <c r="B1194" s="39" t="n">
        <v>40208</v>
      </c>
      <c r="C1194" s="4" t="n">
        <v>40179</v>
      </c>
      <c r="D1194" s="5">
        <f>YEAR(C1194)</f>
        <v/>
      </c>
      <c r="E1194" s="5">
        <f>MONTH(C1194)</f>
        <v/>
      </c>
      <c r="F1194" s="38" t="inlineStr">
        <is>
          <t>NFV  :TENDA ATACADO LTDA</t>
        </is>
      </c>
      <c r="G1194" s="38" t="inlineStr">
        <is>
          <t>MARIO FRUGIS (01.04.01)</t>
        </is>
      </c>
      <c r="H1194" s="38" t="inlineStr">
        <is>
          <t>NFV</t>
        </is>
      </c>
      <c r="I1194" s="40" t="n">
        <v>101.28</v>
      </c>
      <c r="J1194" s="40" t="n">
        <v>0</v>
      </c>
      <c r="K1194" s="6">
        <f>I1194-J1194</f>
        <v/>
      </c>
      <c r="L1194" s="6">
        <f>IF(H1194="DISTRATO",0,I1194)</f>
        <v/>
      </c>
    </row>
    <row r="1195">
      <c r="A1195" s="38" t="inlineStr">
        <is>
          <t>Conta corrente MFRUGIS10.XLS</t>
        </is>
      </c>
      <c r="B1195" s="39" t="n">
        <v>40208</v>
      </c>
      <c r="C1195" s="4" t="n">
        <v>40179</v>
      </c>
      <c r="D1195" s="5">
        <f>YEAR(C1195)</f>
        <v/>
      </c>
      <c r="E1195" s="5">
        <f>MONTH(C1195)</f>
        <v/>
      </c>
      <c r="F1195" s="38" t="inlineStr">
        <is>
          <t>NFV  :TENDA ATACADO LTDA</t>
        </is>
      </c>
      <c r="G1195" s="38" t="inlineStr">
        <is>
          <t>MARIO FRUGIS (01.04.01)</t>
        </is>
      </c>
      <c r="H1195" s="38" t="inlineStr">
        <is>
          <t>NFV</t>
        </is>
      </c>
      <c r="I1195" s="40" t="n">
        <v>64.59</v>
      </c>
      <c r="J1195" s="40" t="n">
        <v>0</v>
      </c>
      <c r="K1195" s="6">
        <f>I1195-J1195</f>
        <v/>
      </c>
      <c r="L1195" s="6">
        <f>IF(H1195="DISTRATO",0,I1195)</f>
        <v/>
      </c>
    </row>
    <row r="1196">
      <c r="A1196" s="38" t="inlineStr">
        <is>
          <t>Conta corrente MFRUGIS10.XLS</t>
        </is>
      </c>
      <c r="B1196" s="39" t="n">
        <v>40208</v>
      </c>
      <c r="C1196" s="4" t="n">
        <v>40179</v>
      </c>
      <c r="D1196" s="5">
        <f>YEAR(C1196)</f>
        <v/>
      </c>
      <c r="E1196" s="5">
        <f>MONTH(C1196)</f>
        <v/>
      </c>
      <c r="F1196" s="38" t="inlineStr">
        <is>
          <t>NFV  :TENDA ATACADO LTDA</t>
        </is>
      </c>
      <c r="G1196" s="38" t="inlineStr">
        <is>
          <t>MARIO FRUGIS (01.04.01)</t>
        </is>
      </c>
      <c r="H1196" s="38" t="inlineStr">
        <is>
          <t>NFV</t>
        </is>
      </c>
      <c r="I1196" s="40" t="n">
        <v>52.35</v>
      </c>
      <c r="J1196" s="40" t="n">
        <v>0</v>
      </c>
      <c r="K1196" s="6">
        <f>I1196-J1196</f>
        <v/>
      </c>
      <c r="L1196" s="6">
        <f>IF(H1196="DISTRATO",0,I1196)</f>
        <v/>
      </c>
    </row>
    <row r="1197">
      <c r="A1197" s="38" t="inlineStr">
        <is>
          <t>Conta corrente MFRUGIS10.XLS</t>
        </is>
      </c>
      <c r="B1197" s="39" t="n">
        <v>40208</v>
      </c>
      <c r="C1197" s="4" t="n">
        <v>40179</v>
      </c>
      <c r="D1197" s="5">
        <f>YEAR(C1197)</f>
        <v/>
      </c>
      <c r="E1197" s="5">
        <f>MONTH(C1197)</f>
        <v/>
      </c>
      <c r="F1197" s="38" t="inlineStr">
        <is>
          <t>NFV  :TENDA ATACADO LTDA</t>
        </is>
      </c>
      <c r="G1197" s="38" t="inlineStr">
        <is>
          <t>MARIO FRUGIS (01.04.01)</t>
        </is>
      </c>
      <c r="H1197" s="38" t="inlineStr">
        <is>
          <t>NFV</t>
        </is>
      </c>
      <c r="I1197" s="40" t="n">
        <v>108.51</v>
      </c>
      <c r="J1197" s="40" t="n">
        <v>0</v>
      </c>
      <c r="K1197" s="6">
        <f>I1197-J1197</f>
        <v/>
      </c>
      <c r="L1197" s="6">
        <f>IF(H1197="DISTRATO",0,I1197)</f>
        <v/>
      </c>
    </row>
    <row r="1198">
      <c r="A1198" s="38" t="inlineStr">
        <is>
          <t>Conta corrente MFRUGIS10.XLS</t>
        </is>
      </c>
      <c r="B1198" s="39" t="n">
        <v>40208</v>
      </c>
      <c r="C1198" s="4" t="n">
        <v>40179</v>
      </c>
      <c r="D1198" s="5">
        <f>YEAR(C1198)</f>
        <v/>
      </c>
      <c r="E1198" s="5">
        <f>MONTH(C1198)</f>
        <v/>
      </c>
      <c r="F1198" s="38" t="inlineStr">
        <is>
          <t>NFV  :TENDA ATACADO LTDA</t>
        </is>
      </c>
      <c r="G1198" s="38" t="inlineStr">
        <is>
          <t>MARIO FRUGIS (01.04.01)</t>
        </is>
      </c>
      <c r="H1198" s="38" t="inlineStr">
        <is>
          <t>NFV</t>
        </is>
      </c>
      <c r="I1198" s="40" t="n">
        <v>48.44</v>
      </c>
      <c r="J1198" s="40" t="n">
        <v>0</v>
      </c>
      <c r="K1198" s="6">
        <f>I1198-J1198</f>
        <v/>
      </c>
      <c r="L1198" s="6">
        <f>IF(H1198="DISTRATO",0,I1198)</f>
        <v/>
      </c>
    </row>
    <row r="1199">
      <c r="A1199" s="38" t="inlineStr">
        <is>
          <t>Conta corrente MFRUGIS10.XLS</t>
        </is>
      </c>
      <c r="B1199" s="39" t="n">
        <v>40221</v>
      </c>
      <c r="C1199" s="4" t="n">
        <v>40210</v>
      </c>
      <c r="D1199" s="5">
        <f>YEAR(C1199)</f>
        <v/>
      </c>
      <c r="E1199" s="5">
        <f>MONTH(C1199)</f>
        <v/>
      </c>
      <c r="F1199" s="38" t="inlineStr">
        <is>
          <t>NFV  :TENDA ATACADO LTDA</t>
        </is>
      </c>
      <c r="G1199" s="38" t="inlineStr">
        <is>
          <t>MARIO FRUGIS (01.04.01)</t>
        </is>
      </c>
      <c r="H1199" s="38" t="inlineStr">
        <is>
          <t>NFV</t>
        </is>
      </c>
      <c r="I1199" s="40" t="n">
        <v>74</v>
      </c>
      <c r="J1199" s="40" t="n">
        <v>0</v>
      </c>
      <c r="K1199" s="6">
        <f>I1199-J1199</f>
        <v/>
      </c>
      <c r="L1199" s="6">
        <f>IF(H1199="DISTRATO",0,I1199)</f>
        <v/>
      </c>
    </row>
    <row r="1200">
      <c r="A1200" s="38" t="inlineStr">
        <is>
          <t>Conta corrente MFRUGIS10.XLS</t>
        </is>
      </c>
      <c r="B1200" s="39" t="n">
        <v>40221</v>
      </c>
      <c r="C1200" s="4" t="n">
        <v>40210</v>
      </c>
      <c r="D1200" s="5">
        <f>YEAR(C1200)</f>
        <v/>
      </c>
      <c r="E1200" s="5">
        <f>MONTH(C1200)</f>
        <v/>
      </c>
      <c r="F1200" s="38" t="inlineStr">
        <is>
          <t>NFV  :TENDA ATACADO LTDA</t>
        </is>
      </c>
      <c r="G1200" s="38" t="inlineStr">
        <is>
          <t>MARIO FRUGIS (01.04.01)</t>
        </is>
      </c>
      <c r="H1200" s="38" t="inlineStr">
        <is>
          <t>NFV</t>
        </is>
      </c>
      <c r="I1200" s="40" t="n">
        <v>193.37</v>
      </c>
      <c r="J1200" s="40" t="n">
        <v>0</v>
      </c>
      <c r="K1200" s="6">
        <f>I1200-J1200</f>
        <v/>
      </c>
      <c r="L1200" s="6">
        <f>IF(H1200="DISTRATO",0,I1200)</f>
        <v/>
      </c>
    </row>
    <row r="1201">
      <c r="A1201" s="38" t="inlineStr">
        <is>
          <t>Conta corrente MFRUGIS10.XLS</t>
        </is>
      </c>
      <c r="B1201" s="39" t="n">
        <v>40221</v>
      </c>
      <c r="C1201" s="4" t="n">
        <v>40210</v>
      </c>
      <c r="D1201" s="5">
        <f>YEAR(C1201)</f>
        <v/>
      </c>
      <c r="E1201" s="5">
        <f>MONTH(C1201)</f>
        <v/>
      </c>
      <c r="F1201" s="38" t="inlineStr">
        <is>
          <t>NFV  :TENDA ATACADO LTDA</t>
        </is>
      </c>
      <c r="G1201" s="38" t="inlineStr">
        <is>
          <t>MARIO FRUGIS (01.04.01)</t>
        </is>
      </c>
      <c r="H1201" s="38" t="inlineStr">
        <is>
          <t>NFV</t>
        </is>
      </c>
      <c r="I1201" s="40" t="n">
        <v>105.12</v>
      </c>
      <c r="J1201" s="40" t="n">
        <v>0</v>
      </c>
      <c r="K1201" s="6">
        <f>I1201-J1201</f>
        <v/>
      </c>
      <c r="L1201" s="6">
        <f>IF(H1201="DISTRATO",0,I1201)</f>
        <v/>
      </c>
    </row>
    <row r="1202">
      <c r="A1202" s="38" t="inlineStr">
        <is>
          <t>Conta corrente MFRUGIS10.XLS</t>
        </is>
      </c>
      <c r="B1202" s="39" t="n">
        <v>40221</v>
      </c>
      <c r="C1202" s="4" t="n">
        <v>40210</v>
      </c>
      <c r="D1202" s="5">
        <f>YEAR(C1202)</f>
        <v/>
      </c>
      <c r="E1202" s="5">
        <f>MONTH(C1202)</f>
        <v/>
      </c>
      <c r="F1202" s="38" t="inlineStr">
        <is>
          <t>NFV  :TENDA ATACADO LTDA</t>
        </is>
      </c>
      <c r="G1202" s="38" t="inlineStr">
        <is>
          <t>MARIO FRUGIS (01.04.01)</t>
        </is>
      </c>
      <c r="H1202" s="38" t="inlineStr">
        <is>
          <t>NFV</t>
        </is>
      </c>
      <c r="I1202" s="40" t="n">
        <v>123.62</v>
      </c>
      <c r="J1202" s="40" t="n">
        <v>0</v>
      </c>
      <c r="K1202" s="6">
        <f>I1202-J1202</f>
        <v/>
      </c>
      <c r="L1202" s="6">
        <f>IF(H1202="DISTRATO",0,I1202)</f>
        <v/>
      </c>
    </row>
    <row r="1203">
      <c r="A1203" s="38" t="inlineStr">
        <is>
          <t>Conta corrente MFRUGIS10.XLS</t>
        </is>
      </c>
      <c r="B1203" s="39" t="n">
        <v>40221</v>
      </c>
      <c r="C1203" s="4" t="n">
        <v>40210</v>
      </c>
      <c r="D1203" s="5">
        <f>YEAR(C1203)</f>
        <v/>
      </c>
      <c r="E1203" s="5">
        <f>MONTH(C1203)</f>
        <v/>
      </c>
      <c r="F1203" s="38" t="inlineStr">
        <is>
          <t>NFV  :TENDA ATACADO LTDA</t>
        </is>
      </c>
      <c r="G1203" s="38" t="inlineStr">
        <is>
          <t>MARIO FRUGIS (01.04.01)</t>
        </is>
      </c>
      <c r="H1203" s="38" t="inlineStr">
        <is>
          <t>NFV</t>
        </is>
      </c>
      <c r="I1203" s="40" t="n">
        <v>65.92</v>
      </c>
      <c r="J1203" s="40" t="n">
        <v>0</v>
      </c>
      <c r="K1203" s="6">
        <f>I1203-J1203</f>
        <v/>
      </c>
      <c r="L1203" s="6">
        <f>IF(H1203="DISTRATO",0,I1203)</f>
        <v/>
      </c>
    </row>
    <row r="1204">
      <c r="A1204" s="38" t="inlineStr">
        <is>
          <t>Conta corrente MFRUGIS10.XLS</t>
        </is>
      </c>
      <c r="B1204" s="39" t="n">
        <v>40221</v>
      </c>
      <c r="C1204" s="4" t="n">
        <v>40210</v>
      </c>
      <c r="D1204" s="5">
        <f>YEAR(C1204)</f>
        <v/>
      </c>
      <c r="E1204" s="5">
        <f>MONTH(C1204)</f>
        <v/>
      </c>
      <c r="F1204" s="38" t="inlineStr">
        <is>
          <t>NFV  :TENDA ATACADO LTDA</t>
        </is>
      </c>
      <c r="G1204" s="38" t="inlineStr">
        <is>
          <t>MARIO FRUGIS (01.04.01)</t>
        </is>
      </c>
      <c r="H1204" s="38" t="inlineStr">
        <is>
          <t>NFV</t>
        </is>
      </c>
      <c r="I1204" s="40" t="n">
        <v>155.33</v>
      </c>
      <c r="J1204" s="40" t="n">
        <v>0</v>
      </c>
      <c r="K1204" s="6">
        <f>I1204-J1204</f>
        <v/>
      </c>
      <c r="L1204" s="6">
        <f>IF(H1204="DISTRATO",0,I1204)</f>
        <v/>
      </c>
    </row>
    <row r="1205">
      <c r="A1205" s="38" t="inlineStr">
        <is>
          <t>Conta corrente MFRUGIS10.XLS</t>
        </is>
      </c>
      <c r="B1205" s="39" t="n">
        <v>40221</v>
      </c>
      <c r="C1205" s="4" t="n">
        <v>40210</v>
      </c>
      <c r="D1205" s="5">
        <f>YEAR(C1205)</f>
        <v/>
      </c>
      <c r="E1205" s="5">
        <f>MONTH(C1205)</f>
        <v/>
      </c>
      <c r="F1205" s="38" t="inlineStr">
        <is>
          <t>NFV  :TENDA ATACADO LTDA</t>
        </is>
      </c>
      <c r="G1205" s="38" t="inlineStr">
        <is>
          <t>MARIO FRUGIS (01.04.01)</t>
        </is>
      </c>
      <c r="H1205" s="38" t="inlineStr">
        <is>
          <t>NFV</t>
        </is>
      </c>
      <c r="I1205" s="40" t="n">
        <v>231.2</v>
      </c>
      <c r="J1205" s="40" t="n">
        <v>0</v>
      </c>
      <c r="K1205" s="6">
        <f>I1205-J1205</f>
        <v/>
      </c>
      <c r="L1205" s="6">
        <f>IF(H1205="DISTRATO",0,I1205)</f>
        <v/>
      </c>
    </row>
    <row r="1206">
      <c r="A1206" s="38" t="inlineStr">
        <is>
          <t>Conta corrente MFRUGIS10.XLS</t>
        </is>
      </c>
      <c r="B1206" s="39" t="n">
        <v>40221</v>
      </c>
      <c r="C1206" s="4" t="n">
        <v>40210</v>
      </c>
      <c r="D1206" s="5">
        <f>YEAR(C1206)</f>
        <v/>
      </c>
      <c r="E1206" s="5">
        <f>MONTH(C1206)</f>
        <v/>
      </c>
      <c r="F1206" s="38" t="inlineStr">
        <is>
          <t>NFV  :TENDA ATACADO LTDA</t>
        </is>
      </c>
      <c r="G1206" s="38" t="inlineStr">
        <is>
          <t>MARIO FRUGIS (01.04.01)</t>
        </is>
      </c>
      <c r="H1206" s="38" t="inlineStr">
        <is>
          <t>NFV</t>
        </is>
      </c>
      <c r="I1206" s="40" t="n">
        <v>37.83</v>
      </c>
      <c r="J1206" s="40" t="n">
        <v>0</v>
      </c>
      <c r="K1206" s="6">
        <f>I1206-J1206</f>
        <v/>
      </c>
      <c r="L1206" s="6">
        <f>IF(H1206="DISTRATO",0,I1206)</f>
        <v/>
      </c>
    </row>
    <row r="1207">
      <c r="A1207" s="38" t="inlineStr">
        <is>
          <t>Conta corrente MFRUGIS10.XLS</t>
        </is>
      </c>
      <c r="B1207" s="39" t="n">
        <v>40221</v>
      </c>
      <c r="C1207" s="4" t="n">
        <v>40210</v>
      </c>
      <c r="D1207" s="5">
        <f>YEAR(C1207)</f>
        <v/>
      </c>
      <c r="E1207" s="5">
        <f>MONTH(C1207)</f>
        <v/>
      </c>
      <c r="F1207" s="38" t="inlineStr">
        <is>
          <t>NFV  :TENDA ATACADO LTDA</t>
        </is>
      </c>
      <c r="G1207" s="38" t="inlineStr">
        <is>
          <t>MARIO FRUGIS (01.04.01)</t>
        </is>
      </c>
      <c r="H1207" s="38" t="inlineStr">
        <is>
          <t>NFV</t>
        </is>
      </c>
      <c r="I1207" s="40" t="n">
        <v>89.78</v>
      </c>
      <c r="J1207" s="40" t="n">
        <v>0</v>
      </c>
      <c r="K1207" s="6">
        <f>I1207-J1207</f>
        <v/>
      </c>
      <c r="L1207" s="6">
        <f>IF(H1207="DISTRATO",0,I1207)</f>
        <v/>
      </c>
    </row>
    <row r="1208">
      <c r="A1208" s="38" t="inlineStr">
        <is>
          <t>Conta corrente MFRUGIS10.XLS</t>
        </is>
      </c>
      <c r="B1208" s="39" t="n">
        <v>40221</v>
      </c>
      <c r="C1208" s="4" t="n">
        <v>40210</v>
      </c>
      <c r="D1208" s="5">
        <f>YEAR(C1208)</f>
        <v/>
      </c>
      <c r="E1208" s="5">
        <f>MONTH(C1208)</f>
        <v/>
      </c>
      <c r="F1208" s="38" t="inlineStr">
        <is>
          <t>NFV  :TENDA ATACADO LTDA</t>
        </is>
      </c>
      <c r="G1208" s="38" t="inlineStr">
        <is>
          <t>MARIO FRUGIS (01.04.01)</t>
        </is>
      </c>
      <c r="H1208" s="38" t="inlineStr">
        <is>
          <t>NFV</t>
        </is>
      </c>
      <c r="I1208" s="40" t="n">
        <v>152.8</v>
      </c>
      <c r="J1208" s="40" t="n">
        <v>0</v>
      </c>
      <c r="K1208" s="6">
        <f>I1208-J1208</f>
        <v/>
      </c>
      <c r="L1208" s="6">
        <f>IF(H1208="DISTRATO",0,I1208)</f>
        <v/>
      </c>
    </row>
    <row r="1209">
      <c r="A1209" s="38" t="inlineStr">
        <is>
          <t>Conta corrente MFRUGIS10.XLS</t>
        </is>
      </c>
      <c r="B1209" s="39" t="n">
        <v>40221</v>
      </c>
      <c r="C1209" s="4" t="n">
        <v>40210</v>
      </c>
      <c r="D1209" s="5">
        <f>YEAR(C1209)</f>
        <v/>
      </c>
      <c r="E1209" s="5">
        <f>MONTH(C1209)</f>
        <v/>
      </c>
      <c r="F1209" s="38" t="inlineStr">
        <is>
          <t>NFV  :TENDA ATACADO LTDA</t>
        </is>
      </c>
      <c r="G1209" s="38" t="inlineStr">
        <is>
          <t>MARIO FRUGIS (01.04.01)</t>
        </is>
      </c>
      <c r="H1209" s="38" t="inlineStr">
        <is>
          <t>NFV</t>
        </is>
      </c>
      <c r="I1209" s="40" t="n">
        <v>69.95999999999999</v>
      </c>
      <c r="J1209" s="40" t="n">
        <v>0</v>
      </c>
      <c r="K1209" s="6">
        <f>I1209-J1209</f>
        <v/>
      </c>
      <c r="L1209" s="6">
        <f>IF(H1209="DISTRATO",0,I1209)</f>
        <v/>
      </c>
    </row>
    <row r="1210">
      <c r="A1210" s="38" t="inlineStr">
        <is>
          <t>Conta corrente MFRUGIS10.XLS</t>
        </is>
      </c>
      <c r="B1210" s="39" t="n">
        <v>40221</v>
      </c>
      <c r="C1210" s="4" t="n">
        <v>40210</v>
      </c>
      <c r="D1210" s="5">
        <f>YEAR(C1210)</f>
        <v/>
      </c>
      <c r="E1210" s="5">
        <f>MONTH(C1210)</f>
        <v/>
      </c>
      <c r="F1210" s="38" t="inlineStr">
        <is>
          <t>NFV  :TENDA ATACADO LTDA</t>
        </is>
      </c>
      <c r="G1210" s="38" t="inlineStr">
        <is>
          <t>MARIO FRUGIS (01.04.01)</t>
        </is>
      </c>
      <c r="H1210" s="38" t="inlineStr">
        <is>
          <t>NFV</t>
        </is>
      </c>
      <c r="I1210" s="40" t="n">
        <v>93.52</v>
      </c>
      <c r="J1210" s="40" t="n">
        <v>0</v>
      </c>
      <c r="K1210" s="6">
        <f>I1210-J1210</f>
        <v/>
      </c>
      <c r="L1210" s="6">
        <f>IF(H1210="DISTRATO",0,I1210)</f>
        <v/>
      </c>
    </row>
    <row r="1211">
      <c r="A1211" s="38" t="inlineStr">
        <is>
          <t>Conta corrente MFRUGIS10.XLS</t>
        </is>
      </c>
      <c r="B1211" s="39" t="n">
        <v>40226</v>
      </c>
      <c r="C1211" s="4" t="n">
        <v>40210</v>
      </c>
      <c r="D1211" s="5">
        <f>YEAR(C1211)</f>
        <v/>
      </c>
      <c r="E1211" s="5">
        <f>MONTH(C1211)</f>
        <v/>
      </c>
      <c r="F1211" s="38" t="inlineStr">
        <is>
          <t>DEV  :TENDA ATACADO LTDA</t>
        </is>
      </c>
      <c r="G1211" s="38" t="inlineStr">
        <is>
          <t>MARIO FRUGIS (01.04.01)</t>
        </is>
      </c>
      <c r="H1211" s="38" t="inlineStr">
        <is>
          <t>DEVOLUCAO</t>
        </is>
      </c>
      <c r="I1211" s="40" t="n">
        <v>-2.19</v>
      </c>
      <c r="J1211" s="40" t="n">
        <v>0</v>
      </c>
      <c r="K1211" s="6">
        <f>I1211-J1211</f>
        <v/>
      </c>
      <c r="L1211" s="6">
        <f>IF(H1211="DISTRATO",0,I1211)</f>
        <v/>
      </c>
    </row>
    <row r="1212">
      <c r="A1212" s="38" t="inlineStr">
        <is>
          <t>Conta corrente MFRUGIS10.XLS</t>
        </is>
      </c>
      <c r="B1212" s="39" t="n">
        <v>40235</v>
      </c>
      <c r="C1212" s="4" t="n">
        <v>40210</v>
      </c>
      <c r="D1212" s="5">
        <f>YEAR(C1212)</f>
        <v/>
      </c>
      <c r="E1212" s="5">
        <f>MONTH(C1212)</f>
        <v/>
      </c>
      <c r="F1212" s="38" t="inlineStr">
        <is>
          <t>NFV  :TENDA ATACADO LTDA</t>
        </is>
      </c>
      <c r="G1212" s="38" t="inlineStr">
        <is>
          <t>MARIO FRUGIS (01.04.01)</t>
        </is>
      </c>
      <c r="H1212" s="38" t="inlineStr">
        <is>
          <t>NFV</t>
        </is>
      </c>
      <c r="I1212" s="40" t="n">
        <v>28.4</v>
      </c>
      <c r="J1212" s="40" t="n">
        <v>0</v>
      </c>
      <c r="K1212" s="6">
        <f>I1212-J1212</f>
        <v/>
      </c>
      <c r="L1212" s="6">
        <f>IF(H1212="DISTRATO",0,I1212)</f>
        <v/>
      </c>
    </row>
    <row r="1213">
      <c r="A1213" s="38" t="inlineStr">
        <is>
          <t>Conta corrente MFRUGIS10.XLS</t>
        </is>
      </c>
      <c r="B1213" s="39" t="n">
        <v>40235</v>
      </c>
      <c r="C1213" s="4" t="n">
        <v>40210</v>
      </c>
      <c r="D1213" s="5">
        <f>YEAR(C1213)</f>
        <v/>
      </c>
      <c r="E1213" s="5">
        <f>MONTH(C1213)</f>
        <v/>
      </c>
      <c r="F1213" s="38" t="inlineStr">
        <is>
          <t>NFV  :TENDA ATACADO LTDA</t>
        </is>
      </c>
      <c r="G1213" s="38" t="inlineStr">
        <is>
          <t>MARIO FRUGIS (01.04.01)</t>
        </is>
      </c>
      <c r="H1213" s="38" t="inlineStr">
        <is>
          <t>NFV</t>
        </is>
      </c>
      <c r="I1213" s="40" t="n">
        <v>34.89</v>
      </c>
      <c r="J1213" s="40" t="n">
        <v>0</v>
      </c>
      <c r="K1213" s="6">
        <f>I1213-J1213</f>
        <v/>
      </c>
      <c r="L1213" s="6">
        <f>IF(H1213="DISTRATO",0,I1213)</f>
        <v/>
      </c>
    </row>
    <row r="1214">
      <c r="A1214" s="38" t="inlineStr">
        <is>
          <t>Conta corrente MFRUGIS10.XLS</t>
        </is>
      </c>
      <c r="B1214" s="39" t="n">
        <v>40235</v>
      </c>
      <c r="C1214" s="4" t="n">
        <v>40210</v>
      </c>
      <c r="D1214" s="5">
        <f>YEAR(C1214)</f>
        <v/>
      </c>
      <c r="E1214" s="5">
        <f>MONTH(C1214)</f>
        <v/>
      </c>
      <c r="F1214" s="38" t="inlineStr">
        <is>
          <t>NFV  :TENDA ATACADO LTDA</t>
        </is>
      </c>
      <c r="G1214" s="38" t="inlineStr">
        <is>
          <t>MARIO FRUGIS (01.04.01)</t>
        </is>
      </c>
      <c r="H1214" s="38" t="inlineStr">
        <is>
          <t>NFV</t>
        </is>
      </c>
      <c r="I1214" s="40" t="n">
        <v>107.96</v>
      </c>
      <c r="J1214" s="40" t="n">
        <v>0</v>
      </c>
      <c r="K1214" s="6">
        <f>I1214-J1214</f>
        <v/>
      </c>
      <c r="L1214" s="6">
        <f>IF(H1214="DISTRATO",0,I1214)</f>
        <v/>
      </c>
    </row>
    <row r="1215">
      <c r="A1215" s="38" t="inlineStr">
        <is>
          <t>Conta corrente MFRUGIS10.XLS</t>
        </is>
      </c>
      <c r="B1215" s="39" t="n">
        <v>40235</v>
      </c>
      <c r="C1215" s="4" t="n">
        <v>40210</v>
      </c>
      <c r="D1215" s="5">
        <f>YEAR(C1215)</f>
        <v/>
      </c>
      <c r="E1215" s="5">
        <f>MONTH(C1215)</f>
        <v/>
      </c>
      <c r="F1215" s="38" t="inlineStr">
        <is>
          <t>NFV  :TENDA ATACADO LTDA</t>
        </is>
      </c>
      <c r="G1215" s="38" t="inlineStr">
        <is>
          <t>MARIO FRUGIS (01.04.01)</t>
        </is>
      </c>
      <c r="H1215" s="38" t="inlineStr">
        <is>
          <t>NFV</t>
        </is>
      </c>
      <c r="I1215" s="40" t="n">
        <v>93.02</v>
      </c>
      <c r="J1215" s="40" t="n">
        <v>0</v>
      </c>
      <c r="K1215" s="6">
        <f>I1215-J1215</f>
        <v/>
      </c>
      <c r="L1215" s="6">
        <f>IF(H1215="DISTRATO",0,I1215)</f>
        <v/>
      </c>
    </row>
    <row r="1216">
      <c r="A1216" s="38" t="inlineStr">
        <is>
          <t>Conta corrente MFRUGIS10.XLS</t>
        </is>
      </c>
      <c r="B1216" s="39" t="n">
        <v>40235</v>
      </c>
      <c r="C1216" s="4" t="n">
        <v>40210</v>
      </c>
      <c r="D1216" s="5">
        <f>YEAR(C1216)</f>
        <v/>
      </c>
      <c r="E1216" s="5">
        <f>MONTH(C1216)</f>
        <v/>
      </c>
      <c r="F1216" s="38" t="inlineStr">
        <is>
          <t>NFV  :TENDA ATACADO LTDA</t>
        </is>
      </c>
      <c r="G1216" s="38" t="inlineStr">
        <is>
          <t>MARIO FRUGIS (01.04.01)</t>
        </is>
      </c>
      <c r="H1216" s="38" t="inlineStr">
        <is>
          <t>NFV</t>
        </is>
      </c>
      <c r="I1216" s="40" t="n">
        <v>111.2</v>
      </c>
      <c r="J1216" s="40" t="n">
        <v>0</v>
      </c>
      <c r="K1216" s="6">
        <f>I1216-J1216</f>
        <v/>
      </c>
      <c r="L1216" s="6">
        <f>IF(H1216="DISTRATO",0,I1216)</f>
        <v/>
      </c>
    </row>
    <row r="1217">
      <c r="A1217" s="38" t="inlineStr">
        <is>
          <t>Conta corrente MFRUGIS10.XLS</t>
        </is>
      </c>
      <c r="B1217" s="39" t="n">
        <v>40235</v>
      </c>
      <c r="C1217" s="4" t="n">
        <v>40210</v>
      </c>
      <c r="D1217" s="5">
        <f>YEAR(C1217)</f>
        <v/>
      </c>
      <c r="E1217" s="5">
        <f>MONTH(C1217)</f>
        <v/>
      </c>
      <c r="F1217" s="38" t="inlineStr">
        <is>
          <t>NFV  :TENDA ATACADO LTDA</t>
        </is>
      </c>
      <c r="G1217" s="38" t="inlineStr">
        <is>
          <t>MARIO FRUGIS (01.04.01)</t>
        </is>
      </c>
      <c r="H1217" s="38" t="inlineStr">
        <is>
          <t>NFV</t>
        </is>
      </c>
      <c r="I1217" s="40" t="n">
        <v>172.65</v>
      </c>
      <c r="J1217" s="40" t="n">
        <v>0</v>
      </c>
      <c r="K1217" s="6">
        <f>I1217-J1217</f>
        <v/>
      </c>
      <c r="L1217" s="6">
        <f>IF(H1217="DISTRATO",0,I1217)</f>
        <v/>
      </c>
    </row>
    <row r="1218">
      <c r="A1218" s="38" t="inlineStr">
        <is>
          <t>Conta corrente MFRUGIS10.XLS</t>
        </is>
      </c>
      <c r="B1218" s="39" t="n">
        <v>40235</v>
      </c>
      <c r="C1218" s="4" t="n">
        <v>40210</v>
      </c>
      <c r="D1218" s="5">
        <f>YEAR(C1218)</f>
        <v/>
      </c>
      <c r="E1218" s="5">
        <f>MONTH(C1218)</f>
        <v/>
      </c>
      <c r="F1218" s="38" t="inlineStr">
        <is>
          <t>NFV  :TENDA ATACADO LTDA</t>
        </is>
      </c>
      <c r="G1218" s="38" t="inlineStr">
        <is>
          <t>MARIO FRUGIS (01.04.01)</t>
        </is>
      </c>
      <c r="H1218" s="38" t="inlineStr">
        <is>
          <t>NFV</t>
        </is>
      </c>
      <c r="I1218" s="40" t="n">
        <v>51.38</v>
      </c>
      <c r="J1218" s="40" t="n">
        <v>0</v>
      </c>
      <c r="K1218" s="6">
        <f>I1218-J1218</f>
        <v/>
      </c>
      <c r="L1218" s="6">
        <f>IF(H1218="DISTRATO",0,I1218)</f>
        <v/>
      </c>
    </row>
    <row r="1219">
      <c r="A1219" s="38" t="inlineStr">
        <is>
          <t>Conta corrente MFRUGIS10.XLS</t>
        </is>
      </c>
      <c r="B1219" s="39" t="n">
        <v>40236</v>
      </c>
      <c r="C1219" s="4" t="n">
        <v>40210</v>
      </c>
      <c r="D1219" s="5">
        <f>YEAR(C1219)</f>
        <v/>
      </c>
      <c r="E1219" s="5">
        <f>MONTH(C1219)</f>
        <v/>
      </c>
      <c r="F1219" s="38" t="inlineStr">
        <is>
          <t>NFV  :TENDA ATACADO LTDA</t>
        </is>
      </c>
      <c r="G1219" s="38" t="inlineStr">
        <is>
          <t>MARIO FRUGIS (01.04.01)</t>
        </is>
      </c>
      <c r="H1219" s="38" t="inlineStr">
        <is>
          <t>NFV</t>
        </is>
      </c>
      <c r="I1219" s="40" t="n">
        <v>17.98</v>
      </c>
      <c r="J1219" s="40" t="n">
        <v>0</v>
      </c>
      <c r="K1219" s="6">
        <f>I1219-J1219</f>
        <v/>
      </c>
      <c r="L1219" s="6">
        <f>IF(H1219="DISTRATO",0,I1219)</f>
        <v/>
      </c>
    </row>
    <row r="1220">
      <c r="A1220" s="38" t="inlineStr">
        <is>
          <t>Conta corrente MFRUGIS10.XLS</t>
        </is>
      </c>
      <c r="B1220" s="39" t="n">
        <v>40236</v>
      </c>
      <c r="C1220" s="4" t="n">
        <v>40210</v>
      </c>
      <c r="D1220" s="5">
        <f>YEAR(C1220)</f>
        <v/>
      </c>
      <c r="E1220" s="5">
        <f>MONTH(C1220)</f>
        <v/>
      </c>
      <c r="F1220" s="38" t="inlineStr">
        <is>
          <t>NFV  :TENDA ATACADO LTDA</t>
        </is>
      </c>
      <c r="G1220" s="38" t="inlineStr">
        <is>
          <t>MARIO FRUGIS (01.04.01)</t>
        </is>
      </c>
      <c r="H1220" s="38" t="inlineStr">
        <is>
          <t>NFV</t>
        </is>
      </c>
      <c r="I1220" s="40" t="n">
        <v>67.17</v>
      </c>
      <c r="J1220" s="40" t="n">
        <v>0</v>
      </c>
      <c r="K1220" s="6">
        <f>I1220-J1220</f>
        <v/>
      </c>
      <c r="L1220" s="6">
        <f>IF(H1220="DISTRATO",0,I1220)</f>
        <v/>
      </c>
    </row>
    <row r="1221">
      <c r="A1221" s="38" t="inlineStr">
        <is>
          <t>Conta corrente MFRUGIS10.XLS</t>
        </is>
      </c>
      <c r="B1221" s="39" t="n">
        <v>40236</v>
      </c>
      <c r="C1221" s="4" t="n">
        <v>40210</v>
      </c>
      <c r="D1221" s="5">
        <f>YEAR(C1221)</f>
        <v/>
      </c>
      <c r="E1221" s="5">
        <f>MONTH(C1221)</f>
        <v/>
      </c>
      <c r="F1221" s="38" t="inlineStr">
        <is>
          <t>NFV  :TENDA ATACADO LTDA</t>
        </is>
      </c>
      <c r="G1221" s="38" t="inlineStr">
        <is>
          <t>MARIO FRUGIS (01.04.01)</t>
        </is>
      </c>
      <c r="H1221" s="38" t="inlineStr">
        <is>
          <t>NFV</t>
        </is>
      </c>
      <c r="I1221" s="40" t="n">
        <v>120.42</v>
      </c>
      <c r="J1221" s="40" t="n">
        <v>0</v>
      </c>
      <c r="K1221" s="6">
        <f>I1221-J1221</f>
        <v/>
      </c>
      <c r="L1221" s="6">
        <f>IF(H1221="DISTRATO",0,I1221)</f>
        <v/>
      </c>
    </row>
    <row r="1222">
      <c r="A1222" s="38" t="inlineStr">
        <is>
          <t>Conta corrente MFRUGIS10.XLS</t>
        </is>
      </c>
      <c r="B1222" s="39" t="n">
        <v>40236</v>
      </c>
      <c r="C1222" s="4" t="n">
        <v>40210</v>
      </c>
      <c r="D1222" s="5">
        <f>YEAR(C1222)</f>
        <v/>
      </c>
      <c r="E1222" s="5">
        <f>MONTH(C1222)</f>
        <v/>
      </c>
      <c r="F1222" s="38" t="inlineStr">
        <is>
          <t>NFV  :TENDA ATACADO LTDA</t>
        </is>
      </c>
      <c r="G1222" s="38" t="inlineStr">
        <is>
          <t>MARIO FRUGIS (01.04.01)</t>
        </is>
      </c>
      <c r="H1222" s="38" t="inlineStr">
        <is>
          <t>NFV</t>
        </is>
      </c>
      <c r="I1222" s="40" t="n">
        <v>67.54000000000001</v>
      </c>
      <c r="J1222" s="40" t="n">
        <v>0</v>
      </c>
      <c r="K1222" s="6">
        <f>I1222-J1222</f>
        <v/>
      </c>
      <c r="L1222" s="6">
        <f>IF(H1222="DISTRATO",0,I1222)</f>
        <v/>
      </c>
    </row>
    <row r="1223">
      <c r="A1223" s="38" t="inlineStr">
        <is>
          <t>Conta corrente MFRUGIS10.XLS</t>
        </is>
      </c>
      <c r="B1223" s="39" t="n">
        <v>40236</v>
      </c>
      <c r="C1223" s="4" t="n">
        <v>40210</v>
      </c>
      <c r="D1223" s="5">
        <f>YEAR(C1223)</f>
        <v/>
      </c>
      <c r="E1223" s="5">
        <f>MONTH(C1223)</f>
        <v/>
      </c>
      <c r="F1223" s="38" t="inlineStr">
        <is>
          <t>NFV  :TENDA ATACADO LTDA</t>
        </is>
      </c>
      <c r="G1223" s="38" t="inlineStr">
        <is>
          <t>MARIO FRUGIS (01.04.01)</t>
        </is>
      </c>
      <c r="H1223" s="38" t="inlineStr">
        <is>
          <t>NFV</t>
        </is>
      </c>
      <c r="I1223" s="40" t="n">
        <v>40.8</v>
      </c>
      <c r="J1223" s="40" t="n">
        <v>0</v>
      </c>
      <c r="K1223" s="6">
        <f>I1223-J1223</f>
        <v/>
      </c>
      <c r="L1223" s="6">
        <f>IF(H1223="DISTRATO",0,I1223)</f>
        <v/>
      </c>
    </row>
    <row r="1224">
      <c r="A1224" s="38" t="inlineStr">
        <is>
          <t>Conta corrente MFRUGIS10.XLS</t>
        </is>
      </c>
      <c r="B1224" s="39" t="n">
        <v>40236</v>
      </c>
      <c r="C1224" s="4" t="n">
        <v>40210</v>
      </c>
      <c r="D1224" s="5">
        <f>YEAR(C1224)</f>
        <v/>
      </c>
      <c r="E1224" s="5">
        <f>MONTH(C1224)</f>
        <v/>
      </c>
      <c r="F1224" s="38" t="inlineStr">
        <is>
          <t>NFV  :TENDA ATACADO LTDA</t>
        </is>
      </c>
      <c r="G1224" s="38" t="inlineStr">
        <is>
          <t>MARIO FRUGIS (01.04.01)</t>
        </is>
      </c>
      <c r="H1224" s="38" t="inlineStr">
        <is>
          <t>NFV</t>
        </is>
      </c>
      <c r="I1224" s="40" t="n">
        <v>69.34999999999999</v>
      </c>
      <c r="J1224" s="40" t="n">
        <v>0</v>
      </c>
      <c r="K1224" s="6">
        <f>I1224-J1224</f>
        <v/>
      </c>
      <c r="L1224" s="6">
        <f>IF(H1224="DISTRATO",0,I1224)</f>
        <v/>
      </c>
    </row>
    <row r="1225">
      <c r="A1225" s="38" t="inlineStr">
        <is>
          <t>Conta corrente MFRUGIS10.XLS</t>
        </is>
      </c>
      <c r="B1225" s="39" t="n">
        <v>40236</v>
      </c>
      <c r="C1225" s="4" t="n">
        <v>40210</v>
      </c>
      <c r="D1225" s="5">
        <f>YEAR(C1225)</f>
        <v/>
      </c>
      <c r="E1225" s="5">
        <f>MONTH(C1225)</f>
        <v/>
      </c>
      <c r="F1225" s="38" t="inlineStr">
        <is>
          <t>NFV  :TENDA ATACADO LTDA</t>
        </is>
      </c>
      <c r="G1225" s="38" t="inlineStr">
        <is>
          <t>MARIO FRUGIS (01.04.01)</t>
        </is>
      </c>
      <c r="H1225" s="38" t="inlineStr">
        <is>
          <t>NFV</t>
        </is>
      </c>
      <c r="I1225" s="40" t="n">
        <v>47.33</v>
      </c>
      <c r="J1225" s="40" t="n">
        <v>0</v>
      </c>
      <c r="K1225" s="6">
        <f>I1225-J1225</f>
        <v/>
      </c>
      <c r="L1225" s="6">
        <f>IF(H1225="DISTRATO",0,I1225)</f>
        <v/>
      </c>
    </row>
    <row r="1226">
      <c r="A1226" s="38" t="inlineStr">
        <is>
          <t>Conta corrente MFRUGIS10.XLS</t>
        </is>
      </c>
      <c r="B1226" s="39" t="n">
        <v>40236</v>
      </c>
      <c r="C1226" s="4" t="n">
        <v>40210</v>
      </c>
      <c r="D1226" s="5">
        <f>YEAR(C1226)</f>
        <v/>
      </c>
      <c r="E1226" s="5">
        <f>MONTH(C1226)</f>
        <v/>
      </c>
      <c r="F1226" s="38" t="inlineStr">
        <is>
          <t>NFV  :TENDA ATACADO LTDA</t>
        </is>
      </c>
      <c r="G1226" s="38" t="inlineStr">
        <is>
          <t>MARIO FRUGIS (01.04.01)</t>
        </is>
      </c>
      <c r="H1226" s="38" t="inlineStr">
        <is>
          <t>NFV</t>
        </is>
      </c>
      <c r="I1226" s="40" t="n">
        <v>34.89</v>
      </c>
      <c r="J1226" s="40" t="n">
        <v>0</v>
      </c>
      <c r="K1226" s="6">
        <f>I1226-J1226</f>
        <v/>
      </c>
      <c r="L1226" s="6">
        <f>IF(H1226="DISTRATO",0,I1226)</f>
        <v/>
      </c>
    </row>
    <row r="1227">
      <c r="A1227" s="38" t="inlineStr">
        <is>
          <t>Conta corrente MFRUGIS10.XLS</t>
        </is>
      </c>
      <c r="B1227" s="39" t="n">
        <v>40236</v>
      </c>
      <c r="C1227" s="4" t="n">
        <v>40210</v>
      </c>
      <c r="D1227" s="5">
        <f>YEAR(C1227)</f>
        <v/>
      </c>
      <c r="E1227" s="5">
        <f>MONTH(C1227)</f>
        <v/>
      </c>
      <c r="F1227" s="38" t="inlineStr">
        <is>
          <t>NFV  :TENDA ATACADO LTDA</t>
        </is>
      </c>
      <c r="G1227" s="38" t="inlineStr">
        <is>
          <t>MARIO FRUGIS (01.04.01)</t>
        </is>
      </c>
      <c r="H1227" s="38" t="inlineStr">
        <is>
          <t>NFV</t>
        </is>
      </c>
      <c r="I1227" s="40" t="n">
        <v>20.96</v>
      </c>
      <c r="J1227" s="40" t="n">
        <v>0</v>
      </c>
      <c r="K1227" s="6">
        <f>I1227-J1227</f>
        <v/>
      </c>
      <c r="L1227" s="6">
        <f>IF(H1227="DISTRATO",0,I1227)</f>
        <v/>
      </c>
    </row>
    <row r="1228">
      <c r="A1228" s="38" t="inlineStr">
        <is>
          <t>Conta corrente MFRUGIS10.XLS</t>
        </is>
      </c>
      <c r="B1228" s="39" t="n">
        <v>40236</v>
      </c>
      <c r="C1228" s="4" t="n">
        <v>40210</v>
      </c>
      <c r="D1228" s="5">
        <f>YEAR(C1228)</f>
        <v/>
      </c>
      <c r="E1228" s="5">
        <f>MONTH(C1228)</f>
        <v/>
      </c>
      <c r="F1228" s="38" t="inlineStr">
        <is>
          <t>NFV  :TENDA ATACADO LTDA</t>
        </is>
      </c>
      <c r="G1228" s="38" t="inlineStr">
        <is>
          <t>MARIO FRUGIS (01.04.01)</t>
        </is>
      </c>
      <c r="H1228" s="38" t="inlineStr">
        <is>
          <t>NFV</t>
        </is>
      </c>
      <c r="I1228" s="40" t="n">
        <v>70.02</v>
      </c>
      <c r="J1228" s="40" t="n">
        <v>0</v>
      </c>
      <c r="K1228" s="6">
        <f>I1228-J1228</f>
        <v/>
      </c>
      <c r="L1228" s="6">
        <f>IF(H1228="DISTRATO",0,I1228)</f>
        <v/>
      </c>
    </row>
    <row r="1229">
      <c r="A1229" s="38" t="inlineStr">
        <is>
          <t>Conta corrente MFRUGIS10.XLS</t>
        </is>
      </c>
      <c r="B1229" s="39" t="n">
        <v>40236</v>
      </c>
      <c r="C1229" s="4" t="n">
        <v>40210</v>
      </c>
      <c r="D1229" s="5">
        <f>YEAR(C1229)</f>
        <v/>
      </c>
      <c r="E1229" s="5">
        <f>MONTH(C1229)</f>
        <v/>
      </c>
      <c r="F1229" s="38" t="inlineStr">
        <is>
          <t>NFV  :TENDA ATACADO LTDA</t>
        </is>
      </c>
      <c r="G1229" s="38" t="inlineStr">
        <is>
          <t>MARIO FRUGIS (01.04.01)</t>
        </is>
      </c>
      <c r="H1229" s="38" t="inlineStr">
        <is>
          <t>NFV</t>
        </is>
      </c>
      <c r="I1229" s="40" t="n">
        <v>58.29</v>
      </c>
      <c r="J1229" s="40" t="n">
        <v>0</v>
      </c>
      <c r="K1229" s="6">
        <f>I1229-J1229</f>
        <v/>
      </c>
      <c r="L1229" s="6">
        <f>IF(H1229="DISTRATO",0,I1229)</f>
        <v/>
      </c>
    </row>
    <row r="1230">
      <c r="A1230" s="38" t="inlineStr">
        <is>
          <t>Conta corrente MFRUGIS10.XLS</t>
        </is>
      </c>
      <c r="B1230" s="39" t="n">
        <v>40236</v>
      </c>
      <c r="C1230" s="4" t="n">
        <v>40210</v>
      </c>
      <c r="D1230" s="5">
        <f>YEAR(C1230)</f>
        <v/>
      </c>
      <c r="E1230" s="5">
        <f>MONTH(C1230)</f>
        <v/>
      </c>
      <c r="F1230" s="38" t="inlineStr">
        <is>
          <t>NFV  :TENDA ATACADO LTDA</t>
        </is>
      </c>
      <c r="G1230" s="38" t="inlineStr">
        <is>
          <t>MARIO FRUGIS (01.04.01)</t>
        </is>
      </c>
      <c r="H1230" s="38" t="inlineStr">
        <is>
          <t>NFV</t>
        </is>
      </c>
      <c r="I1230" s="40" t="n">
        <v>101.08</v>
      </c>
      <c r="J1230" s="40" t="n">
        <v>0</v>
      </c>
      <c r="K1230" s="6">
        <f>I1230-J1230</f>
        <v/>
      </c>
      <c r="L1230" s="6">
        <f>IF(H1230="DISTRATO",0,I1230)</f>
        <v/>
      </c>
    </row>
    <row r="1231">
      <c r="A1231" s="38" t="inlineStr">
        <is>
          <t>Conta corrente MFRUGIS10.XLS</t>
        </is>
      </c>
      <c r="B1231" s="39" t="n">
        <v>40236</v>
      </c>
      <c r="C1231" s="4" t="n">
        <v>40210</v>
      </c>
      <c r="D1231" s="5">
        <f>YEAR(C1231)</f>
        <v/>
      </c>
      <c r="E1231" s="5">
        <f>MONTH(C1231)</f>
        <v/>
      </c>
      <c r="F1231" s="38" t="inlineStr">
        <is>
          <t>NFV  :TENDA ATACADO LTDA</t>
        </is>
      </c>
      <c r="G1231" s="38" t="inlineStr">
        <is>
          <t>MARIO FRUGIS (01.04.01)</t>
        </is>
      </c>
      <c r="H1231" s="38" t="inlineStr">
        <is>
          <t>NFV</t>
        </is>
      </c>
      <c r="I1231" s="40" t="n">
        <v>15.08</v>
      </c>
      <c r="J1231" s="40" t="n">
        <v>0</v>
      </c>
      <c r="K1231" s="6">
        <f>I1231-J1231</f>
        <v/>
      </c>
      <c r="L1231" s="6">
        <f>IF(H1231="DISTRATO",0,I1231)</f>
        <v/>
      </c>
    </row>
    <row r="1232">
      <c r="A1232" s="38" t="inlineStr">
        <is>
          <t>Conta corrente MFRUGIS10.XLS</t>
        </is>
      </c>
      <c r="B1232" s="39" t="n">
        <v>40236</v>
      </c>
      <c r="C1232" s="4" t="n">
        <v>40210</v>
      </c>
      <c r="D1232" s="5">
        <f>YEAR(C1232)</f>
        <v/>
      </c>
      <c r="E1232" s="5">
        <f>MONTH(C1232)</f>
        <v/>
      </c>
      <c r="F1232" s="38" t="inlineStr">
        <is>
          <t>NFV  :TENDA ATACADO LTDA</t>
        </is>
      </c>
      <c r="G1232" s="38" t="inlineStr">
        <is>
          <t>MARIO FRUGIS (01.04.01)</t>
        </is>
      </c>
      <c r="H1232" s="38" t="inlineStr">
        <is>
          <t>NFV</t>
        </is>
      </c>
      <c r="I1232" s="40" t="n">
        <v>33.13</v>
      </c>
      <c r="J1232" s="40" t="n">
        <v>0</v>
      </c>
      <c r="K1232" s="6">
        <f>I1232-J1232</f>
        <v/>
      </c>
      <c r="L1232" s="6">
        <f>IF(H1232="DISTRATO",0,I1232)</f>
        <v/>
      </c>
    </row>
    <row r="1233">
      <c r="A1233" s="38" t="inlineStr">
        <is>
          <t>Conta corrente MFRUGIS10.XLS</t>
        </is>
      </c>
      <c r="B1233" s="39" t="n">
        <v>40236</v>
      </c>
      <c r="C1233" s="4" t="n">
        <v>40210</v>
      </c>
      <c r="D1233" s="5">
        <f>YEAR(C1233)</f>
        <v/>
      </c>
      <c r="E1233" s="5">
        <f>MONTH(C1233)</f>
        <v/>
      </c>
      <c r="F1233" s="38" t="inlineStr">
        <is>
          <t>NFV  :TENDA ATACADO LTDA</t>
        </is>
      </c>
      <c r="G1233" s="38" t="inlineStr">
        <is>
          <t>MARIO FRUGIS (01.04.01)</t>
        </is>
      </c>
      <c r="H1233" s="38" t="inlineStr">
        <is>
          <t>NFV</t>
        </is>
      </c>
      <c r="I1233" s="40" t="n">
        <v>57.91</v>
      </c>
      <c r="J1233" s="40" t="n">
        <v>0</v>
      </c>
      <c r="K1233" s="6">
        <f>I1233-J1233</f>
        <v/>
      </c>
      <c r="L1233" s="6">
        <f>IF(H1233="DISTRATO",0,I1233)</f>
        <v/>
      </c>
    </row>
    <row r="1234">
      <c r="A1234" s="38" t="inlineStr">
        <is>
          <t>Conta corrente MFRUGIS10.XLS</t>
        </is>
      </c>
      <c r="B1234" s="39" t="n">
        <v>40249</v>
      </c>
      <c r="C1234" s="4" t="n">
        <v>40238</v>
      </c>
      <c r="D1234" s="5">
        <f>YEAR(C1234)</f>
        <v/>
      </c>
      <c r="E1234" s="5">
        <f>MONTH(C1234)</f>
        <v/>
      </c>
      <c r="F1234" s="38" t="inlineStr">
        <is>
          <t>NFV  :TENDA ATACADO LTDA</t>
        </is>
      </c>
      <c r="G1234" s="38" t="inlineStr">
        <is>
          <t>MARIO FRUGIS (01.04.01)</t>
        </is>
      </c>
      <c r="H1234" s="38" t="inlineStr">
        <is>
          <t>NFV</t>
        </is>
      </c>
      <c r="I1234" s="40" t="n">
        <v>82.48999999999999</v>
      </c>
      <c r="J1234" s="40" t="n">
        <v>0</v>
      </c>
      <c r="K1234" s="6">
        <f>I1234-J1234</f>
        <v/>
      </c>
      <c r="L1234" s="6">
        <f>IF(H1234="DISTRATO",0,I1234)</f>
        <v/>
      </c>
    </row>
    <row r="1235">
      <c r="A1235" s="38" t="inlineStr">
        <is>
          <t>Conta corrente MFRUGIS10.XLS</t>
        </is>
      </c>
      <c r="B1235" s="39" t="n">
        <v>40249</v>
      </c>
      <c r="C1235" s="4" t="n">
        <v>40238</v>
      </c>
      <c r="D1235" s="5">
        <f>YEAR(C1235)</f>
        <v/>
      </c>
      <c r="E1235" s="5">
        <f>MONTH(C1235)</f>
        <v/>
      </c>
      <c r="F1235" s="38" t="inlineStr">
        <is>
          <t>NFV  :TENDA ATACADO LTDA</t>
        </is>
      </c>
      <c r="G1235" s="38" t="inlineStr">
        <is>
          <t>MARIO FRUGIS (01.04.01)</t>
        </is>
      </c>
      <c r="H1235" s="38" t="inlineStr">
        <is>
          <t>NFV</t>
        </is>
      </c>
      <c r="I1235" s="40" t="n">
        <v>29.59</v>
      </c>
      <c r="J1235" s="40" t="n">
        <v>0</v>
      </c>
      <c r="K1235" s="6">
        <f>I1235-J1235</f>
        <v/>
      </c>
      <c r="L1235" s="6">
        <f>IF(H1235="DISTRATO",0,I1235)</f>
        <v/>
      </c>
    </row>
    <row r="1236">
      <c r="A1236" s="38" t="inlineStr">
        <is>
          <t>Conta corrente MFRUGIS10.XLS</t>
        </is>
      </c>
      <c r="B1236" s="39" t="n">
        <v>40249</v>
      </c>
      <c r="C1236" s="4" t="n">
        <v>40238</v>
      </c>
      <c r="D1236" s="5">
        <f>YEAR(C1236)</f>
        <v/>
      </c>
      <c r="E1236" s="5">
        <f>MONTH(C1236)</f>
        <v/>
      </c>
      <c r="F1236" s="38" t="inlineStr">
        <is>
          <t>NFV  :TENDA ATACADO LTDA</t>
        </is>
      </c>
      <c r="G1236" s="38" t="inlineStr">
        <is>
          <t>MARIO FRUGIS (01.04.01)</t>
        </is>
      </c>
      <c r="H1236" s="38" t="inlineStr">
        <is>
          <t>NFV</t>
        </is>
      </c>
      <c r="I1236" s="40" t="n">
        <v>32.93</v>
      </c>
      <c r="J1236" s="40" t="n">
        <v>0</v>
      </c>
      <c r="K1236" s="6">
        <f>I1236-J1236</f>
        <v/>
      </c>
      <c r="L1236" s="6">
        <f>IF(H1236="DISTRATO",0,I1236)</f>
        <v/>
      </c>
    </row>
    <row r="1237">
      <c r="A1237" s="38" t="inlineStr">
        <is>
          <t>Conta corrente MFRUGIS10.XLS</t>
        </is>
      </c>
      <c r="B1237" s="39" t="n">
        <v>40249</v>
      </c>
      <c r="C1237" s="4" t="n">
        <v>40238</v>
      </c>
      <c r="D1237" s="5">
        <f>YEAR(C1237)</f>
        <v/>
      </c>
      <c r="E1237" s="5">
        <f>MONTH(C1237)</f>
        <v/>
      </c>
      <c r="F1237" s="38" t="inlineStr">
        <is>
          <t>NFV  :TENDA ATACADO LTDA</t>
        </is>
      </c>
      <c r="G1237" s="38" t="inlineStr">
        <is>
          <t>MARIO FRUGIS (01.04.01)</t>
        </is>
      </c>
      <c r="H1237" s="38" t="inlineStr">
        <is>
          <t>NFV</t>
        </is>
      </c>
      <c r="I1237" s="40" t="n">
        <v>44.74</v>
      </c>
      <c r="J1237" s="40" t="n">
        <v>0</v>
      </c>
      <c r="K1237" s="6">
        <f>I1237-J1237</f>
        <v/>
      </c>
      <c r="L1237" s="6">
        <f>IF(H1237="DISTRATO",0,I1237)</f>
        <v/>
      </c>
    </row>
    <row r="1238">
      <c r="A1238" s="38" t="inlineStr">
        <is>
          <t>Conta corrente MFRUGIS10.XLS</t>
        </is>
      </c>
      <c r="B1238" s="39" t="n">
        <v>40249</v>
      </c>
      <c r="C1238" s="4" t="n">
        <v>40238</v>
      </c>
      <c r="D1238" s="5">
        <f>YEAR(C1238)</f>
        <v/>
      </c>
      <c r="E1238" s="5">
        <f>MONTH(C1238)</f>
        <v/>
      </c>
      <c r="F1238" s="38" t="inlineStr">
        <is>
          <t>NFV  :TENDA ATACADO LTDA</t>
        </is>
      </c>
      <c r="G1238" s="38" t="inlineStr">
        <is>
          <t>MARIO FRUGIS (01.04.01)</t>
        </is>
      </c>
      <c r="H1238" s="38" t="inlineStr">
        <is>
          <t>NFV</t>
        </is>
      </c>
      <c r="I1238" s="40" t="n">
        <v>42.42</v>
      </c>
      <c r="J1238" s="40" t="n">
        <v>0</v>
      </c>
      <c r="K1238" s="6">
        <f>I1238-J1238</f>
        <v/>
      </c>
      <c r="L1238" s="6">
        <f>IF(H1238="DISTRATO",0,I1238)</f>
        <v/>
      </c>
    </row>
    <row r="1239">
      <c r="A1239" s="38" t="inlineStr">
        <is>
          <t>Conta corrente MFRUGIS10.XLS</t>
        </is>
      </c>
      <c r="B1239" s="39" t="n">
        <v>40249</v>
      </c>
      <c r="C1239" s="4" t="n">
        <v>40238</v>
      </c>
      <c r="D1239" s="5">
        <f>YEAR(C1239)</f>
        <v/>
      </c>
      <c r="E1239" s="5">
        <f>MONTH(C1239)</f>
        <v/>
      </c>
      <c r="F1239" s="38" t="inlineStr">
        <is>
          <t>NFV  :TENDA ATACADO LTDA</t>
        </is>
      </c>
      <c r="G1239" s="38" t="inlineStr">
        <is>
          <t>MARIO FRUGIS (01.04.01)</t>
        </is>
      </c>
      <c r="H1239" s="38" t="inlineStr">
        <is>
          <t>NFV</t>
        </is>
      </c>
      <c r="I1239" s="40" t="n">
        <v>55.26</v>
      </c>
      <c r="J1239" s="40" t="n">
        <v>0</v>
      </c>
      <c r="K1239" s="6">
        <f>I1239-J1239</f>
        <v/>
      </c>
      <c r="L1239" s="6">
        <f>IF(H1239="DISTRATO",0,I1239)</f>
        <v/>
      </c>
    </row>
    <row r="1240">
      <c r="A1240" s="38" t="inlineStr">
        <is>
          <t>Conta corrente MFRUGIS10.XLS</t>
        </is>
      </c>
      <c r="B1240" s="39" t="n">
        <v>40249</v>
      </c>
      <c r="C1240" s="4" t="n">
        <v>40238</v>
      </c>
      <c r="D1240" s="5">
        <f>YEAR(C1240)</f>
        <v/>
      </c>
      <c r="E1240" s="5">
        <f>MONTH(C1240)</f>
        <v/>
      </c>
      <c r="F1240" s="38" t="inlineStr">
        <is>
          <t>NFV  :TENDA ATACADO LTDA</t>
        </is>
      </c>
      <c r="G1240" s="38" t="inlineStr">
        <is>
          <t>MARIO FRUGIS (01.04.01)</t>
        </is>
      </c>
      <c r="H1240" s="38" t="inlineStr">
        <is>
          <t>NFV</t>
        </is>
      </c>
      <c r="I1240" s="40" t="n">
        <v>46.82</v>
      </c>
      <c r="J1240" s="40" t="n">
        <v>0</v>
      </c>
      <c r="K1240" s="6">
        <f>I1240-J1240</f>
        <v/>
      </c>
      <c r="L1240" s="6">
        <f>IF(H1240="DISTRATO",0,I1240)</f>
        <v/>
      </c>
    </row>
    <row r="1241">
      <c r="A1241" s="38" t="inlineStr">
        <is>
          <t>Conta corrente MFRUGIS10.XLS</t>
        </is>
      </c>
      <c r="B1241" s="39" t="n">
        <v>40249</v>
      </c>
      <c r="C1241" s="4" t="n">
        <v>40238</v>
      </c>
      <c r="D1241" s="5">
        <f>YEAR(C1241)</f>
        <v/>
      </c>
      <c r="E1241" s="5">
        <f>MONTH(C1241)</f>
        <v/>
      </c>
      <c r="F1241" s="38" t="inlineStr">
        <is>
          <t>NFV  :TENDA ATACADO LTDA</t>
        </is>
      </c>
      <c r="G1241" s="38" t="inlineStr">
        <is>
          <t>MARIO FRUGIS (01.04.01)</t>
        </is>
      </c>
      <c r="H1241" s="38" t="inlineStr">
        <is>
          <t>NFV</t>
        </is>
      </c>
      <c r="I1241" s="40" t="n">
        <v>42.35</v>
      </c>
      <c r="J1241" s="40" t="n">
        <v>0</v>
      </c>
      <c r="K1241" s="6">
        <f>I1241-J1241</f>
        <v/>
      </c>
      <c r="L1241" s="6">
        <f>IF(H1241="DISTRATO",0,I1241)</f>
        <v/>
      </c>
    </row>
    <row r="1242">
      <c r="A1242" s="38" t="inlineStr">
        <is>
          <t>Conta corrente MFRUGIS10.XLS</t>
        </is>
      </c>
      <c r="B1242" s="39" t="n">
        <v>40249</v>
      </c>
      <c r="C1242" s="4" t="n">
        <v>40238</v>
      </c>
      <c r="D1242" s="5">
        <f>YEAR(C1242)</f>
        <v/>
      </c>
      <c r="E1242" s="5">
        <f>MONTH(C1242)</f>
        <v/>
      </c>
      <c r="F1242" s="38" t="inlineStr">
        <is>
          <t>NFV  :TENDA ATACADO LTDA</t>
        </is>
      </c>
      <c r="G1242" s="38" t="inlineStr">
        <is>
          <t>MARIO FRUGIS (01.04.01)</t>
        </is>
      </c>
      <c r="H1242" s="38" t="inlineStr">
        <is>
          <t>NFV</t>
        </is>
      </c>
      <c r="I1242" s="40" t="n">
        <v>71.31999999999999</v>
      </c>
      <c r="J1242" s="40" t="n">
        <v>0</v>
      </c>
      <c r="K1242" s="6">
        <f>I1242-J1242</f>
        <v/>
      </c>
      <c r="L1242" s="6">
        <f>IF(H1242="DISTRATO",0,I1242)</f>
        <v/>
      </c>
    </row>
    <row r="1243">
      <c r="A1243" s="38" t="inlineStr">
        <is>
          <t>Conta corrente MFRUGIS10.XLS</t>
        </is>
      </c>
      <c r="B1243" s="39" t="n">
        <v>40249</v>
      </c>
      <c r="C1243" s="4" t="n">
        <v>40238</v>
      </c>
      <c r="D1243" s="5">
        <f>YEAR(C1243)</f>
        <v/>
      </c>
      <c r="E1243" s="5">
        <f>MONTH(C1243)</f>
        <v/>
      </c>
      <c r="F1243" s="38" t="inlineStr">
        <is>
          <t>NFV  :TENDA ATACADO LTDA</t>
        </is>
      </c>
      <c r="G1243" s="38" t="inlineStr">
        <is>
          <t>MARIO FRUGIS (01.04.01)</t>
        </is>
      </c>
      <c r="H1243" s="38" t="inlineStr">
        <is>
          <t>NFV</t>
        </is>
      </c>
      <c r="I1243" s="40" t="n">
        <v>48.94</v>
      </c>
      <c r="J1243" s="40" t="n">
        <v>0</v>
      </c>
      <c r="K1243" s="6">
        <f>I1243-J1243</f>
        <v/>
      </c>
      <c r="L1243" s="6">
        <f>IF(H1243="DISTRATO",0,I1243)</f>
        <v/>
      </c>
    </row>
    <row r="1244">
      <c r="A1244" s="38" t="inlineStr">
        <is>
          <t>Conta corrente MFRUGIS10.XLS</t>
        </is>
      </c>
      <c r="B1244" s="39" t="n">
        <v>40249</v>
      </c>
      <c r="C1244" s="4" t="n">
        <v>40238</v>
      </c>
      <c r="D1244" s="5">
        <f>YEAR(C1244)</f>
        <v/>
      </c>
      <c r="E1244" s="5">
        <f>MONTH(C1244)</f>
        <v/>
      </c>
      <c r="F1244" s="38" t="inlineStr">
        <is>
          <t>NFV  :TENDA ATACADO LTDA</t>
        </is>
      </c>
      <c r="G1244" s="38" t="inlineStr">
        <is>
          <t>MARIO FRUGIS (01.04.01)</t>
        </is>
      </c>
      <c r="H1244" s="38" t="inlineStr">
        <is>
          <t>NFV</t>
        </is>
      </c>
      <c r="I1244" s="40" t="n">
        <v>97.94</v>
      </c>
      <c r="J1244" s="40" t="n">
        <v>0</v>
      </c>
      <c r="K1244" s="6">
        <f>I1244-J1244</f>
        <v/>
      </c>
      <c r="L1244" s="6">
        <f>IF(H1244="DISTRATO",0,I1244)</f>
        <v/>
      </c>
    </row>
    <row r="1245">
      <c r="A1245" s="38" t="inlineStr">
        <is>
          <t>Conta corrente MFRUGIS10.XLS</t>
        </is>
      </c>
      <c r="B1245" s="39" t="n">
        <v>40256</v>
      </c>
      <c r="C1245" s="4" t="n">
        <v>40238</v>
      </c>
      <c r="D1245" s="5">
        <f>YEAR(C1245)</f>
        <v/>
      </c>
      <c r="E1245" s="5">
        <f>MONTH(C1245)</f>
        <v/>
      </c>
      <c r="F1245" s="38" t="inlineStr">
        <is>
          <t>DEV  :TENDA ATACADO LTDA</t>
        </is>
      </c>
      <c r="G1245" s="38" t="inlineStr">
        <is>
          <t>MARIO FRUGIS (01.04.01)</t>
        </is>
      </c>
      <c r="H1245" s="38" t="inlineStr">
        <is>
          <t>DEVOLUCAO</t>
        </is>
      </c>
      <c r="I1245" s="40" t="n">
        <v>-6.58</v>
      </c>
      <c r="J1245" s="40" t="n">
        <v>0</v>
      </c>
      <c r="K1245" s="6">
        <f>I1245-J1245</f>
        <v/>
      </c>
      <c r="L1245" s="6">
        <f>IF(H1245="DISTRATO",0,I1245)</f>
        <v/>
      </c>
    </row>
    <row r="1246">
      <c r="A1246" s="38" t="inlineStr">
        <is>
          <t>Conta corrente MFRUGIS10.XLS</t>
        </is>
      </c>
      <c r="B1246" s="39" t="n">
        <v>40268</v>
      </c>
      <c r="C1246" s="4" t="n">
        <v>40238</v>
      </c>
      <c r="D1246" s="5">
        <f>YEAR(C1246)</f>
        <v/>
      </c>
      <c r="E1246" s="5">
        <f>MONTH(C1246)</f>
        <v/>
      </c>
      <c r="F1246" s="38" t="inlineStr">
        <is>
          <t>NFV  :TENDA ATACADO LTDA</t>
        </is>
      </c>
      <c r="G1246" s="38" t="inlineStr">
        <is>
          <t>MARIO FRUGIS (01.04.01)</t>
        </is>
      </c>
      <c r="H1246" s="38" t="inlineStr">
        <is>
          <t>NFV</t>
        </is>
      </c>
      <c r="I1246" s="40" t="n">
        <v>112</v>
      </c>
      <c r="J1246" s="40" t="n">
        <v>0</v>
      </c>
      <c r="K1246" s="6">
        <f>I1246-J1246</f>
        <v/>
      </c>
      <c r="L1246" s="6">
        <f>IF(H1246="DISTRATO",0,I1246)</f>
        <v/>
      </c>
    </row>
    <row r="1247">
      <c r="A1247" s="38" t="inlineStr">
        <is>
          <t>Conta corrente MFRUGIS10.XLS</t>
        </is>
      </c>
      <c r="B1247" s="39" t="n">
        <v>40268</v>
      </c>
      <c r="C1247" s="4" t="n">
        <v>40238</v>
      </c>
      <c r="D1247" s="5">
        <f>YEAR(C1247)</f>
        <v/>
      </c>
      <c r="E1247" s="5">
        <f>MONTH(C1247)</f>
        <v/>
      </c>
      <c r="F1247" s="38" t="inlineStr">
        <is>
          <t>NFV  :TENDA ATACADO LTDA</t>
        </is>
      </c>
      <c r="G1247" s="38" t="inlineStr">
        <is>
          <t>MARIO FRUGIS (01.04.01)</t>
        </is>
      </c>
      <c r="H1247" s="38" t="inlineStr">
        <is>
          <t>NFV</t>
        </is>
      </c>
      <c r="I1247" s="40" t="n">
        <v>133</v>
      </c>
      <c r="J1247" s="40" t="n">
        <v>0</v>
      </c>
      <c r="K1247" s="6">
        <f>I1247-J1247</f>
        <v/>
      </c>
      <c r="L1247" s="6">
        <f>IF(H1247="DISTRATO",0,I1247)</f>
        <v/>
      </c>
    </row>
    <row r="1248">
      <c r="A1248" s="38" t="inlineStr">
        <is>
          <t>Conta corrente MFRUGIS10.XLS</t>
        </is>
      </c>
      <c r="B1248" s="39" t="n">
        <v>40268</v>
      </c>
      <c r="C1248" s="4" t="n">
        <v>40238</v>
      </c>
      <c r="D1248" s="5">
        <f>YEAR(C1248)</f>
        <v/>
      </c>
      <c r="E1248" s="5">
        <f>MONTH(C1248)</f>
        <v/>
      </c>
      <c r="F1248" s="38" t="inlineStr">
        <is>
          <t>NFV  :TENDA ATACADO LTDA</t>
        </is>
      </c>
      <c r="G1248" s="38" t="inlineStr">
        <is>
          <t>MARIO FRUGIS (01.04.01)</t>
        </is>
      </c>
      <c r="H1248" s="38" t="inlineStr">
        <is>
          <t>NFV</t>
        </is>
      </c>
      <c r="I1248" s="40" t="n">
        <v>122.06</v>
      </c>
      <c r="J1248" s="40" t="n">
        <v>0</v>
      </c>
      <c r="K1248" s="6">
        <f>I1248-J1248</f>
        <v/>
      </c>
      <c r="L1248" s="6">
        <f>IF(H1248="DISTRATO",0,I1248)</f>
        <v/>
      </c>
    </row>
    <row r="1249">
      <c r="A1249" s="38" t="inlineStr">
        <is>
          <t>Conta corrente MFRUGIS10.XLS</t>
        </is>
      </c>
      <c r="B1249" s="39" t="n">
        <v>40268</v>
      </c>
      <c r="C1249" s="4" t="n">
        <v>40238</v>
      </c>
      <c r="D1249" s="5">
        <f>YEAR(C1249)</f>
        <v/>
      </c>
      <c r="E1249" s="5">
        <f>MONTH(C1249)</f>
        <v/>
      </c>
      <c r="F1249" s="38" t="inlineStr">
        <is>
          <t>NFV  :TENDA ATACADO LTDA</t>
        </is>
      </c>
      <c r="G1249" s="38" t="inlineStr">
        <is>
          <t>MARIO FRUGIS (01.04.01)</t>
        </is>
      </c>
      <c r="H1249" s="38" t="inlineStr">
        <is>
          <t>NFV</t>
        </is>
      </c>
      <c r="I1249" s="40" t="n">
        <v>156.74</v>
      </c>
      <c r="J1249" s="40" t="n">
        <v>0</v>
      </c>
      <c r="K1249" s="6">
        <f>I1249-J1249</f>
        <v/>
      </c>
      <c r="L1249" s="6">
        <f>IF(H1249="DISTRATO",0,I1249)</f>
        <v/>
      </c>
    </row>
    <row r="1250">
      <c r="A1250" s="38" t="inlineStr">
        <is>
          <t>Conta corrente MFRUGIS10.XLS</t>
        </is>
      </c>
      <c r="B1250" s="39" t="n">
        <v>40268</v>
      </c>
      <c r="C1250" s="4" t="n">
        <v>40238</v>
      </c>
      <c r="D1250" s="5">
        <f>YEAR(C1250)</f>
        <v/>
      </c>
      <c r="E1250" s="5">
        <f>MONTH(C1250)</f>
        <v/>
      </c>
      <c r="F1250" s="38" t="inlineStr">
        <is>
          <t>NFV  :TENDA ATACADO LTDA</t>
        </is>
      </c>
      <c r="G1250" s="38" t="inlineStr">
        <is>
          <t>MARIO FRUGIS (01.04.01)</t>
        </is>
      </c>
      <c r="H1250" s="38" t="inlineStr">
        <is>
          <t>NFV</t>
        </is>
      </c>
      <c r="I1250" s="40" t="n">
        <v>71.43000000000001</v>
      </c>
      <c r="J1250" s="40" t="n">
        <v>0</v>
      </c>
      <c r="K1250" s="6">
        <f>I1250-J1250</f>
        <v/>
      </c>
      <c r="L1250" s="6">
        <f>IF(H1250="DISTRATO",0,I1250)</f>
        <v/>
      </c>
    </row>
    <row r="1251">
      <c r="A1251" s="38" t="inlineStr">
        <is>
          <t>Conta corrente MFRUGIS10.XLS</t>
        </is>
      </c>
      <c r="B1251" s="39" t="n">
        <v>40268</v>
      </c>
      <c r="C1251" s="4" t="n">
        <v>40238</v>
      </c>
      <c r="D1251" s="5">
        <f>YEAR(C1251)</f>
        <v/>
      </c>
      <c r="E1251" s="5">
        <f>MONTH(C1251)</f>
        <v/>
      </c>
      <c r="F1251" s="38" t="inlineStr">
        <is>
          <t>NFV  :TENDA ATACADO LTDA</t>
        </is>
      </c>
      <c r="G1251" s="38" t="inlineStr">
        <is>
          <t>MARIO FRUGIS (01.04.01)</t>
        </is>
      </c>
      <c r="H1251" s="38" t="inlineStr">
        <is>
          <t>NFV</t>
        </is>
      </c>
      <c r="I1251" s="40" t="n">
        <v>280.95</v>
      </c>
      <c r="J1251" s="40" t="n">
        <v>0</v>
      </c>
      <c r="K1251" s="6">
        <f>I1251-J1251</f>
        <v/>
      </c>
      <c r="L1251" s="6">
        <f>IF(H1251="DISTRATO",0,I1251)</f>
        <v/>
      </c>
    </row>
    <row r="1252">
      <c r="A1252" s="38" t="inlineStr">
        <is>
          <t>Conta corrente MFRUGIS10.XLS</t>
        </is>
      </c>
      <c r="B1252" s="39" t="n">
        <v>40268</v>
      </c>
      <c r="C1252" s="4" t="n">
        <v>40238</v>
      </c>
      <c r="D1252" s="5">
        <f>YEAR(C1252)</f>
        <v/>
      </c>
      <c r="E1252" s="5">
        <f>MONTH(C1252)</f>
        <v/>
      </c>
      <c r="F1252" s="38" t="inlineStr">
        <is>
          <t>NFV  :TENDA ATACADO LTDA</t>
        </is>
      </c>
      <c r="G1252" s="38" t="inlineStr">
        <is>
          <t>MARIO FRUGIS (01.04.01)</t>
        </is>
      </c>
      <c r="H1252" s="38" t="inlineStr">
        <is>
          <t>NFV</t>
        </is>
      </c>
      <c r="I1252" s="40" t="n">
        <v>90.92</v>
      </c>
      <c r="J1252" s="40" t="n">
        <v>0</v>
      </c>
      <c r="K1252" s="6">
        <f>I1252-J1252</f>
        <v/>
      </c>
      <c r="L1252" s="6">
        <f>IF(H1252="DISTRATO",0,I1252)</f>
        <v/>
      </c>
    </row>
    <row r="1253">
      <c r="A1253" s="38" t="inlineStr">
        <is>
          <t>Conta corrente MFRUGIS10.XLS</t>
        </is>
      </c>
      <c r="B1253" s="39" t="n">
        <v>40268</v>
      </c>
      <c r="C1253" s="4" t="n">
        <v>40238</v>
      </c>
      <c r="D1253" s="5">
        <f>YEAR(C1253)</f>
        <v/>
      </c>
      <c r="E1253" s="5">
        <f>MONTH(C1253)</f>
        <v/>
      </c>
      <c r="F1253" s="38" t="inlineStr">
        <is>
          <t>NFV  :TENDA ATACADO LTDA</t>
        </is>
      </c>
      <c r="G1253" s="38" t="inlineStr">
        <is>
          <t>MARIO FRUGIS (01.04.01)</t>
        </is>
      </c>
      <c r="H1253" s="38" t="inlineStr">
        <is>
          <t>NFV</t>
        </is>
      </c>
      <c r="I1253" s="40" t="n">
        <v>19.12</v>
      </c>
      <c r="J1253" s="40" t="n">
        <v>0</v>
      </c>
      <c r="K1253" s="6">
        <f>I1253-J1253</f>
        <v/>
      </c>
      <c r="L1253" s="6">
        <f>IF(H1253="DISTRATO",0,I1253)</f>
        <v/>
      </c>
    </row>
    <row r="1254">
      <c r="A1254" s="38" t="inlineStr">
        <is>
          <t>Conta corrente MFRUGIS10.XLS</t>
        </is>
      </c>
      <c r="B1254" s="39" t="n">
        <v>40268</v>
      </c>
      <c r="C1254" s="4" t="n">
        <v>40238</v>
      </c>
      <c r="D1254" s="5">
        <f>YEAR(C1254)</f>
        <v/>
      </c>
      <c r="E1254" s="5">
        <f>MONTH(C1254)</f>
        <v/>
      </c>
      <c r="F1254" s="38" t="inlineStr">
        <is>
          <t>NFV  :TENDA ATACADO LTDA</t>
        </is>
      </c>
      <c r="G1254" s="38" t="inlineStr">
        <is>
          <t>MARIO FRUGIS (01.04.01)</t>
        </is>
      </c>
      <c r="H1254" s="38" t="inlineStr">
        <is>
          <t>NFV</t>
        </is>
      </c>
      <c r="I1254" s="40" t="n">
        <v>180.7</v>
      </c>
      <c r="J1254" s="40" t="n">
        <v>0</v>
      </c>
      <c r="K1254" s="6">
        <f>I1254-J1254</f>
        <v/>
      </c>
      <c r="L1254" s="6">
        <f>IF(H1254="DISTRATO",0,I1254)</f>
        <v/>
      </c>
    </row>
    <row r="1255">
      <c r="A1255" s="38" t="inlineStr">
        <is>
          <t>Conta corrente MFRUGIS10.XLS</t>
        </is>
      </c>
      <c r="B1255" s="39" t="n">
        <v>40268</v>
      </c>
      <c r="C1255" s="4" t="n">
        <v>40238</v>
      </c>
      <c r="D1255" s="5">
        <f>YEAR(C1255)</f>
        <v/>
      </c>
      <c r="E1255" s="5">
        <f>MONTH(C1255)</f>
        <v/>
      </c>
      <c r="F1255" s="38" t="inlineStr">
        <is>
          <t>NFV  :TENDA ATACADO LTDA</t>
        </is>
      </c>
      <c r="G1255" s="38" t="inlineStr">
        <is>
          <t>MARIO FRUGIS (01.04.01)</t>
        </is>
      </c>
      <c r="H1255" s="38" t="inlineStr">
        <is>
          <t>NFV</t>
        </is>
      </c>
      <c r="I1255" s="40" t="n">
        <v>107.16</v>
      </c>
      <c r="J1255" s="40" t="n">
        <v>0</v>
      </c>
      <c r="K1255" s="6">
        <f>I1255-J1255</f>
        <v/>
      </c>
      <c r="L1255" s="6">
        <f>IF(H1255="DISTRATO",0,I1255)</f>
        <v/>
      </c>
    </row>
    <row r="1256">
      <c r="A1256" s="38" t="inlineStr">
        <is>
          <t>Conta corrente MFRUGIS10.XLS</t>
        </is>
      </c>
      <c r="B1256" s="39" t="n">
        <v>40268</v>
      </c>
      <c r="C1256" s="4" t="n">
        <v>40238</v>
      </c>
      <c r="D1256" s="5">
        <f>YEAR(C1256)</f>
        <v/>
      </c>
      <c r="E1256" s="5">
        <f>MONTH(C1256)</f>
        <v/>
      </c>
      <c r="F1256" s="38" t="inlineStr">
        <is>
          <t>NFV  :TENDA ATACADO LTDA</t>
        </is>
      </c>
      <c r="G1256" s="38" t="inlineStr">
        <is>
          <t>MARIO FRUGIS (01.04.01)</t>
        </is>
      </c>
      <c r="H1256" s="38" t="inlineStr">
        <is>
          <t>NFV</t>
        </is>
      </c>
      <c r="I1256" s="40" t="n">
        <v>61.86</v>
      </c>
      <c r="J1256" s="40" t="n">
        <v>0</v>
      </c>
      <c r="K1256" s="6">
        <f>I1256-J1256</f>
        <v/>
      </c>
      <c r="L1256" s="6">
        <f>IF(H1256="DISTRATO",0,I1256)</f>
        <v/>
      </c>
    </row>
    <row r="1257">
      <c r="A1257" s="38" t="inlineStr">
        <is>
          <t>Conta corrente MFRUGIS10.XLS</t>
        </is>
      </c>
      <c r="B1257" s="39" t="n">
        <v>40268</v>
      </c>
      <c r="C1257" s="4" t="n">
        <v>40238</v>
      </c>
      <c r="D1257" s="5">
        <f>YEAR(C1257)</f>
        <v/>
      </c>
      <c r="E1257" s="5">
        <f>MONTH(C1257)</f>
        <v/>
      </c>
      <c r="F1257" s="38" t="inlineStr">
        <is>
          <t>NFV  :TENDA ATACADO LTDA</t>
        </is>
      </c>
      <c r="G1257" s="38" t="inlineStr">
        <is>
          <t>MARIO FRUGIS (01.04.01)</t>
        </is>
      </c>
      <c r="H1257" s="38" t="inlineStr">
        <is>
          <t>NFV</t>
        </is>
      </c>
      <c r="I1257" s="40" t="n">
        <v>139.94</v>
      </c>
      <c r="J1257" s="40" t="n">
        <v>0</v>
      </c>
      <c r="K1257" s="6">
        <f>I1257-J1257</f>
        <v/>
      </c>
      <c r="L1257" s="6">
        <f>IF(H1257="DISTRATO",0,I1257)</f>
        <v/>
      </c>
    </row>
    <row r="1258">
      <c r="A1258" s="38" t="inlineStr">
        <is>
          <t>Conta corrente MFRUGIS10.XLS</t>
        </is>
      </c>
      <c r="B1258" s="39" t="n">
        <v>40268</v>
      </c>
      <c r="C1258" s="4" t="n">
        <v>40238</v>
      </c>
      <c r="D1258" s="5">
        <f>YEAR(C1258)</f>
        <v/>
      </c>
      <c r="E1258" s="5">
        <f>MONTH(C1258)</f>
        <v/>
      </c>
      <c r="F1258" s="38" t="inlineStr">
        <is>
          <t>NFV  :TENDA ATACADO LTDA</t>
        </is>
      </c>
      <c r="G1258" s="38" t="inlineStr">
        <is>
          <t>MARIO FRUGIS (01.04.01)</t>
        </is>
      </c>
      <c r="H1258" s="38" t="inlineStr">
        <is>
          <t>NFV</t>
        </is>
      </c>
      <c r="I1258" s="40" t="n">
        <v>61.39</v>
      </c>
      <c r="J1258" s="40" t="n">
        <v>0</v>
      </c>
      <c r="K1258" s="6">
        <f>I1258-J1258</f>
        <v/>
      </c>
      <c r="L1258" s="6">
        <f>IF(H1258="DISTRATO",0,I1258)</f>
        <v/>
      </c>
    </row>
    <row r="1259">
      <c r="A1259" s="38" t="inlineStr">
        <is>
          <t>Conta corrente MFRUGIS10.XLS</t>
        </is>
      </c>
      <c r="B1259" s="39" t="n">
        <v>40268</v>
      </c>
      <c r="C1259" s="4" t="n">
        <v>40238</v>
      </c>
      <c r="D1259" s="5">
        <f>YEAR(C1259)</f>
        <v/>
      </c>
      <c r="E1259" s="5">
        <f>MONTH(C1259)</f>
        <v/>
      </c>
      <c r="F1259" s="38" t="inlineStr">
        <is>
          <t>NFV  :TENDA ATACADO LTDA</t>
        </is>
      </c>
      <c r="G1259" s="38" t="inlineStr">
        <is>
          <t>MARIO FRUGIS (01.04.01)</t>
        </is>
      </c>
      <c r="H1259" s="38" t="inlineStr">
        <is>
          <t>NFV</t>
        </is>
      </c>
      <c r="I1259" s="40" t="n">
        <v>141.93</v>
      </c>
      <c r="J1259" s="40" t="n">
        <v>0</v>
      </c>
      <c r="K1259" s="6">
        <f>I1259-J1259</f>
        <v/>
      </c>
      <c r="L1259" s="6">
        <f>IF(H1259="DISTRATO",0,I1259)</f>
        <v/>
      </c>
    </row>
    <row r="1260">
      <c r="A1260" s="38" t="inlineStr">
        <is>
          <t>Conta corrente MFRUGIS10.XLS</t>
        </is>
      </c>
      <c r="B1260" s="39" t="n">
        <v>40268</v>
      </c>
      <c r="C1260" s="4" t="n">
        <v>40238</v>
      </c>
      <c r="D1260" s="5">
        <f>YEAR(C1260)</f>
        <v/>
      </c>
      <c r="E1260" s="5">
        <f>MONTH(C1260)</f>
        <v/>
      </c>
      <c r="F1260" s="38" t="inlineStr">
        <is>
          <t>NFV  :TENDA ATACADO LTDA</t>
        </is>
      </c>
      <c r="G1260" s="38" t="inlineStr">
        <is>
          <t>MARIO FRUGIS (01.04.01)</t>
        </is>
      </c>
      <c r="H1260" s="38" t="inlineStr">
        <is>
          <t>NFV</t>
        </is>
      </c>
      <c r="I1260" s="40" t="n">
        <v>106.71</v>
      </c>
      <c r="J1260" s="40" t="n">
        <v>0</v>
      </c>
      <c r="K1260" s="6">
        <f>I1260-J1260</f>
        <v/>
      </c>
      <c r="L1260" s="6">
        <f>IF(H1260="DISTRATO",0,I1260)</f>
        <v/>
      </c>
    </row>
    <row r="1261">
      <c r="A1261" s="38" t="inlineStr">
        <is>
          <t>Conta corrente MFRUGIS10.XLS</t>
        </is>
      </c>
      <c r="B1261" s="39" t="n">
        <v>40268</v>
      </c>
      <c r="C1261" s="4" t="n">
        <v>40238</v>
      </c>
      <c r="D1261" s="5">
        <f>YEAR(C1261)</f>
        <v/>
      </c>
      <c r="E1261" s="5">
        <f>MONTH(C1261)</f>
        <v/>
      </c>
      <c r="F1261" s="38" t="inlineStr">
        <is>
          <t>NFV  :TENDA ATACADO LTDA</t>
        </is>
      </c>
      <c r="G1261" s="38" t="inlineStr">
        <is>
          <t>MARIO FRUGIS (01.04.01)</t>
        </is>
      </c>
      <c r="H1261" s="38" t="inlineStr">
        <is>
          <t>NFV</t>
        </is>
      </c>
      <c r="I1261" s="40" t="n">
        <v>122.58</v>
      </c>
      <c r="J1261" s="40" t="n">
        <v>0</v>
      </c>
      <c r="K1261" s="6">
        <f>I1261-J1261</f>
        <v/>
      </c>
      <c r="L1261" s="6">
        <f>IF(H1261="DISTRATO",0,I1261)</f>
        <v/>
      </c>
    </row>
    <row r="1262">
      <c r="A1262" s="38" t="inlineStr">
        <is>
          <t>Conta corrente MFRUGIS10.XLS</t>
        </is>
      </c>
      <c r="B1262" s="39" t="n">
        <v>40268</v>
      </c>
      <c r="C1262" s="4" t="n">
        <v>40238</v>
      </c>
      <c r="D1262" s="5">
        <f>YEAR(C1262)</f>
        <v/>
      </c>
      <c r="E1262" s="5">
        <f>MONTH(C1262)</f>
        <v/>
      </c>
      <c r="F1262" s="38" t="inlineStr">
        <is>
          <t>NFV  :TENDA ATACADO LTDA</t>
        </is>
      </c>
      <c r="G1262" s="38" t="inlineStr">
        <is>
          <t>MARIO FRUGIS (01.04.01)</t>
        </is>
      </c>
      <c r="H1262" s="38" t="inlineStr">
        <is>
          <t>NFV</t>
        </is>
      </c>
      <c r="I1262" s="40" t="n">
        <v>164.78</v>
      </c>
      <c r="J1262" s="40" t="n">
        <v>0</v>
      </c>
      <c r="K1262" s="6">
        <f>I1262-J1262</f>
        <v/>
      </c>
      <c r="L1262" s="6">
        <f>IF(H1262="DISTRATO",0,I1262)</f>
        <v/>
      </c>
    </row>
    <row r="1263">
      <c r="A1263" s="38" t="inlineStr">
        <is>
          <t>Conta corrente MFRUGIS10.XLS</t>
        </is>
      </c>
      <c r="B1263" s="39" t="n">
        <v>40268</v>
      </c>
      <c r="C1263" s="4" t="n">
        <v>40238</v>
      </c>
      <c r="D1263" s="5">
        <f>YEAR(C1263)</f>
        <v/>
      </c>
      <c r="E1263" s="5">
        <f>MONTH(C1263)</f>
        <v/>
      </c>
      <c r="F1263" s="38" t="inlineStr">
        <is>
          <t>NFV  :TENDA ATACADO LTDA</t>
        </is>
      </c>
      <c r="G1263" s="38" t="inlineStr">
        <is>
          <t>MARIO FRUGIS (01.04.01)</t>
        </is>
      </c>
      <c r="H1263" s="38" t="inlineStr">
        <is>
          <t>NFV</t>
        </is>
      </c>
      <c r="I1263" s="40" t="n">
        <v>268.03</v>
      </c>
      <c r="J1263" s="40" t="n">
        <v>0</v>
      </c>
      <c r="K1263" s="6">
        <f>I1263-J1263</f>
        <v/>
      </c>
      <c r="L1263" s="6">
        <f>IF(H1263="DISTRATO",0,I1263)</f>
        <v/>
      </c>
    </row>
    <row r="1264">
      <c r="A1264" s="38" t="inlineStr">
        <is>
          <t>Conta corrente MFRUGIS10.XLS</t>
        </is>
      </c>
      <c r="B1264" s="39" t="n">
        <v>40268</v>
      </c>
      <c r="C1264" s="4" t="n">
        <v>40238</v>
      </c>
      <c r="D1264" s="5">
        <f>YEAR(C1264)</f>
        <v/>
      </c>
      <c r="E1264" s="5">
        <f>MONTH(C1264)</f>
        <v/>
      </c>
      <c r="F1264" s="38" t="inlineStr">
        <is>
          <t>NFV  :TENDA ATACADO LTDA</t>
        </is>
      </c>
      <c r="G1264" s="38" t="inlineStr">
        <is>
          <t>MARIO FRUGIS (01.04.01)</t>
        </is>
      </c>
      <c r="H1264" s="38" t="inlineStr">
        <is>
          <t>NFV</t>
        </is>
      </c>
      <c r="I1264" s="40" t="n">
        <v>206.88</v>
      </c>
      <c r="J1264" s="40" t="n">
        <v>0</v>
      </c>
      <c r="K1264" s="6">
        <f>I1264-J1264</f>
        <v/>
      </c>
      <c r="L1264" s="6">
        <f>IF(H1264="DISTRATO",0,I1264)</f>
        <v/>
      </c>
    </row>
    <row r="1265">
      <c r="A1265" s="38" t="inlineStr">
        <is>
          <t>Conta corrente MFRUGIS10.XLS</t>
        </is>
      </c>
      <c r="B1265" s="39" t="n">
        <v>40283</v>
      </c>
      <c r="C1265" s="4" t="n">
        <v>40269</v>
      </c>
      <c r="D1265" s="5">
        <f>YEAR(C1265)</f>
        <v/>
      </c>
      <c r="E1265" s="5">
        <f>MONTH(C1265)</f>
        <v/>
      </c>
      <c r="F1265" s="38" t="inlineStr">
        <is>
          <t>NFV  :TENDA ATACADO LTDA</t>
        </is>
      </c>
      <c r="G1265" s="38" t="inlineStr">
        <is>
          <t>MARIO FRUGIS (01.04.01)</t>
        </is>
      </c>
      <c r="H1265" s="38" t="inlineStr">
        <is>
          <t>NFV</t>
        </is>
      </c>
      <c r="I1265" s="40" t="n">
        <v>86.79000000000001</v>
      </c>
      <c r="J1265" s="40" t="n">
        <v>0</v>
      </c>
      <c r="K1265" s="6">
        <f>I1265-J1265</f>
        <v/>
      </c>
      <c r="L1265" s="6">
        <f>IF(H1265="DISTRATO",0,I1265)</f>
        <v/>
      </c>
    </row>
    <row r="1266">
      <c r="A1266" s="38" t="inlineStr">
        <is>
          <t>Conta corrente MFRUGIS10.XLS</t>
        </is>
      </c>
      <c r="B1266" s="39" t="n">
        <v>40283</v>
      </c>
      <c r="C1266" s="4" t="n">
        <v>40269</v>
      </c>
      <c r="D1266" s="5">
        <f>YEAR(C1266)</f>
        <v/>
      </c>
      <c r="E1266" s="5">
        <f>MONTH(C1266)</f>
        <v/>
      </c>
      <c r="F1266" s="38" t="inlineStr">
        <is>
          <t>NFV  :TENDA ATACADO LTDA</t>
        </is>
      </c>
      <c r="G1266" s="38" t="inlineStr">
        <is>
          <t>MARIO FRUGIS (01.04.01)</t>
        </is>
      </c>
      <c r="H1266" s="38" t="inlineStr">
        <is>
          <t>NFV</t>
        </is>
      </c>
      <c r="I1266" s="40" t="n">
        <v>42.58</v>
      </c>
      <c r="J1266" s="40" t="n">
        <v>0</v>
      </c>
      <c r="K1266" s="6">
        <f>I1266-J1266</f>
        <v/>
      </c>
      <c r="L1266" s="6">
        <f>IF(H1266="DISTRATO",0,I1266)</f>
        <v/>
      </c>
    </row>
    <row r="1267">
      <c r="A1267" s="38" t="inlineStr">
        <is>
          <t>Conta corrente MFRUGIS10.XLS</t>
        </is>
      </c>
      <c r="B1267" s="39" t="n">
        <v>40283</v>
      </c>
      <c r="C1267" s="4" t="n">
        <v>40269</v>
      </c>
      <c r="D1267" s="5">
        <f>YEAR(C1267)</f>
        <v/>
      </c>
      <c r="E1267" s="5">
        <f>MONTH(C1267)</f>
        <v/>
      </c>
      <c r="F1267" s="38" t="inlineStr">
        <is>
          <t>NFV  :TENDA ATACADO LTDA</t>
        </is>
      </c>
      <c r="G1267" s="38" t="inlineStr">
        <is>
          <t>MARIO FRUGIS (01.04.01)</t>
        </is>
      </c>
      <c r="H1267" s="38" t="inlineStr">
        <is>
          <t>NFV</t>
        </is>
      </c>
      <c r="I1267" s="40" t="n">
        <v>91.15000000000001</v>
      </c>
      <c r="J1267" s="40" t="n">
        <v>0</v>
      </c>
      <c r="K1267" s="6">
        <f>I1267-J1267</f>
        <v/>
      </c>
      <c r="L1267" s="6">
        <f>IF(H1267="DISTRATO",0,I1267)</f>
        <v/>
      </c>
    </row>
    <row r="1268">
      <c r="A1268" s="38" t="inlineStr">
        <is>
          <t>Conta corrente MFRUGIS10.XLS</t>
        </is>
      </c>
      <c r="B1268" s="39" t="n">
        <v>40283</v>
      </c>
      <c r="C1268" s="4" t="n">
        <v>40269</v>
      </c>
      <c r="D1268" s="5">
        <f>YEAR(C1268)</f>
        <v/>
      </c>
      <c r="E1268" s="5">
        <f>MONTH(C1268)</f>
        <v/>
      </c>
      <c r="F1268" s="38" t="inlineStr">
        <is>
          <t>NFV  :TENDA ATACADO LTDA</t>
        </is>
      </c>
      <c r="G1268" s="38" t="inlineStr">
        <is>
          <t>MARIO FRUGIS (01.04.01)</t>
        </is>
      </c>
      <c r="H1268" s="38" t="inlineStr">
        <is>
          <t>NFV</t>
        </is>
      </c>
      <c r="I1268" s="40" t="n">
        <v>106.39</v>
      </c>
      <c r="J1268" s="40" t="n">
        <v>0</v>
      </c>
      <c r="K1268" s="6">
        <f>I1268-J1268</f>
        <v/>
      </c>
      <c r="L1268" s="6">
        <f>IF(H1268="DISTRATO",0,I1268)</f>
        <v/>
      </c>
    </row>
    <row r="1269">
      <c r="A1269" s="38" t="inlineStr">
        <is>
          <t>Conta corrente MFRUGIS10.XLS</t>
        </is>
      </c>
      <c r="B1269" s="39" t="n">
        <v>40283</v>
      </c>
      <c r="C1269" s="4" t="n">
        <v>40269</v>
      </c>
      <c r="D1269" s="5">
        <f>YEAR(C1269)</f>
        <v/>
      </c>
      <c r="E1269" s="5">
        <f>MONTH(C1269)</f>
        <v/>
      </c>
      <c r="F1269" s="38" t="inlineStr">
        <is>
          <t>NFV  :TENDA ATACADO LTDA</t>
        </is>
      </c>
      <c r="G1269" s="38" t="inlineStr">
        <is>
          <t>MARIO FRUGIS (01.04.01)</t>
        </is>
      </c>
      <c r="H1269" s="38" t="inlineStr">
        <is>
          <t>NFV</t>
        </is>
      </c>
      <c r="I1269" s="40" t="n">
        <v>110.39</v>
      </c>
      <c r="J1269" s="40" t="n">
        <v>0</v>
      </c>
      <c r="K1269" s="6">
        <f>I1269-J1269</f>
        <v/>
      </c>
      <c r="L1269" s="6">
        <f>IF(H1269="DISTRATO",0,I1269)</f>
        <v/>
      </c>
    </row>
    <row r="1270">
      <c r="A1270" s="38" t="inlineStr">
        <is>
          <t>Conta corrente MFRUGIS10.XLS</t>
        </is>
      </c>
      <c r="B1270" s="39" t="n">
        <v>40283</v>
      </c>
      <c r="C1270" s="4" t="n">
        <v>40269</v>
      </c>
      <c r="D1270" s="5">
        <f>YEAR(C1270)</f>
        <v/>
      </c>
      <c r="E1270" s="5">
        <f>MONTH(C1270)</f>
        <v/>
      </c>
      <c r="F1270" s="38" t="inlineStr">
        <is>
          <t>NFV  :TENDA ATACADO LTDA</t>
        </is>
      </c>
      <c r="G1270" s="38" t="inlineStr">
        <is>
          <t>MARIO FRUGIS (01.04.01)</t>
        </is>
      </c>
      <c r="H1270" s="38" t="inlineStr">
        <is>
          <t>NFV</t>
        </is>
      </c>
      <c r="I1270" s="40" t="n">
        <v>72.45</v>
      </c>
      <c r="J1270" s="40" t="n">
        <v>0</v>
      </c>
      <c r="K1270" s="6">
        <f>I1270-J1270</f>
        <v/>
      </c>
      <c r="L1270" s="6">
        <f>IF(H1270="DISTRATO",0,I1270)</f>
        <v/>
      </c>
    </row>
    <row r="1271">
      <c r="A1271" s="38" t="inlineStr">
        <is>
          <t>Conta corrente MFRUGIS10.XLS</t>
        </is>
      </c>
      <c r="B1271" s="39" t="n">
        <v>40283</v>
      </c>
      <c r="C1271" s="4" t="n">
        <v>40269</v>
      </c>
      <c r="D1271" s="5">
        <f>YEAR(C1271)</f>
        <v/>
      </c>
      <c r="E1271" s="5">
        <f>MONTH(C1271)</f>
        <v/>
      </c>
      <c r="F1271" s="38" t="inlineStr">
        <is>
          <t>NFV  :TENDA ATACADO LTDA</t>
        </is>
      </c>
      <c r="G1271" s="38" t="inlineStr">
        <is>
          <t>MARIO FRUGIS (01.04.01)</t>
        </is>
      </c>
      <c r="H1271" s="38" t="inlineStr">
        <is>
          <t>NFV</t>
        </is>
      </c>
      <c r="I1271" s="40" t="n">
        <v>76.44</v>
      </c>
      <c r="J1271" s="40" t="n">
        <v>0</v>
      </c>
      <c r="K1271" s="6">
        <f>I1271-J1271</f>
        <v/>
      </c>
      <c r="L1271" s="6">
        <f>IF(H1271="DISTRATO",0,I1271)</f>
        <v/>
      </c>
    </row>
    <row r="1272">
      <c r="A1272" s="38" t="inlineStr">
        <is>
          <t>Conta corrente MFRUGIS10.XLS</t>
        </is>
      </c>
      <c r="B1272" s="39" t="n">
        <v>40283</v>
      </c>
      <c r="C1272" s="4" t="n">
        <v>40269</v>
      </c>
      <c r="D1272" s="5">
        <f>YEAR(C1272)</f>
        <v/>
      </c>
      <c r="E1272" s="5">
        <f>MONTH(C1272)</f>
        <v/>
      </c>
      <c r="F1272" s="38" t="inlineStr">
        <is>
          <t>NFV  :TENDA ATACADO LTDA</t>
        </is>
      </c>
      <c r="G1272" s="38" t="inlineStr">
        <is>
          <t>MARIO FRUGIS (01.04.01)</t>
        </is>
      </c>
      <c r="H1272" s="38" t="inlineStr">
        <is>
          <t>NFV</t>
        </is>
      </c>
      <c r="I1272" s="40" t="n">
        <v>105.94</v>
      </c>
      <c r="J1272" s="40" t="n">
        <v>0</v>
      </c>
      <c r="K1272" s="6">
        <f>I1272-J1272</f>
        <v/>
      </c>
      <c r="L1272" s="6">
        <f>IF(H1272="DISTRATO",0,I1272)</f>
        <v/>
      </c>
    </row>
    <row r="1273">
      <c r="A1273" s="38" t="inlineStr">
        <is>
          <t>Conta corrente MFRUGIS10.XLS</t>
        </is>
      </c>
      <c r="B1273" s="39" t="n">
        <v>40284</v>
      </c>
      <c r="C1273" s="4" t="n">
        <v>40269</v>
      </c>
      <c r="D1273" s="5">
        <f>YEAR(C1273)</f>
        <v/>
      </c>
      <c r="E1273" s="5">
        <f>MONTH(C1273)</f>
        <v/>
      </c>
      <c r="F1273" s="38" t="inlineStr">
        <is>
          <t>NFV  :TENDA ATACADO LTDA</t>
        </is>
      </c>
      <c r="G1273" s="38" t="inlineStr">
        <is>
          <t>MARIO FRUGIS (01.04.01)</t>
        </is>
      </c>
      <c r="H1273" s="38" t="inlineStr">
        <is>
          <t>NFV</t>
        </is>
      </c>
      <c r="I1273" s="40" t="n">
        <v>54.09</v>
      </c>
      <c r="J1273" s="40" t="n">
        <v>0</v>
      </c>
      <c r="K1273" s="6">
        <f>I1273-J1273</f>
        <v/>
      </c>
      <c r="L1273" s="6">
        <f>IF(H1273="DISTRATO",0,I1273)</f>
        <v/>
      </c>
    </row>
    <row r="1274">
      <c r="A1274" s="38" t="inlineStr">
        <is>
          <t>Conta corrente MFRUGIS10.XLS</t>
        </is>
      </c>
      <c r="B1274" s="39" t="n">
        <v>40284</v>
      </c>
      <c r="C1274" s="4" t="n">
        <v>40269</v>
      </c>
      <c r="D1274" s="5">
        <f>YEAR(C1274)</f>
        <v/>
      </c>
      <c r="E1274" s="5">
        <f>MONTH(C1274)</f>
        <v/>
      </c>
      <c r="F1274" s="38" t="inlineStr">
        <is>
          <t>NFV  :TENDA ATACADO LTDA</t>
        </is>
      </c>
      <c r="G1274" s="38" t="inlineStr">
        <is>
          <t>MARIO FRUGIS (01.04.01)</t>
        </is>
      </c>
      <c r="H1274" s="38" t="inlineStr">
        <is>
          <t>NFV</t>
        </is>
      </c>
      <c r="I1274" s="40" t="n">
        <v>25.7</v>
      </c>
      <c r="J1274" s="40" t="n">
        <v>0</v>
      </c>
      <c r="K1274" s="6">
        <f>I1274-J1274</f>
        <v/>
      </c>
      <c r="L1274" s="6">
        <f>IF(H1274="DISTRATO",0,I1274)</f>
        <v/>
      </c>
    </row>
    <row r="1275">
      <c r="A1275" s="38" t="inlineStr">
        <is>
          <t>Conta corrente MFRUGIS10.XLS</t>
        </is>
      </c>
      <c r="B1275" s="39" t="n">
        <v>40284</v>
      </c>
      <c r="C1275" s="4" t="n">
        <v>40269</v>
      </c>
      <c r="D1275" s="5">
        <f>YEAR(C1275)</f>
        <v/>
      </c>
      <c r="E1275" s="5">
        <f>MONTH(C1275)</f>
        <v/>
      </c>
      <c r="F1275" s="38" t="inlineStr">
        <is>
          <t>NFV  :TENDA ATACADO LTDA</t>
        </is>
      </c>
      <c r="G1275" s="38" t="inlineStr">
        <is>
          <t>MARIO FRUGIS (01.04.01)</t>
        </is>
      </c>
      <c r="H1275" s="38" t="inlineStr">
        <is>
          <t>NFV</t>
        </is>
      </c>
      <c r="I1275" s="40" t="n">
        <v>101.79</v>
      </c>
      <c r="J1275" s="40" t="n">
        <v>0</v>
      </c>
      <c r="K1275" s="6">
        <f>I1275-J1275</f>
        <v/>
      </c>
      <c r="L1275" s="6">
        <f>IF(H1275="DISTRATO",0,I1275)</f>
        <v/>
      </c>
    </row>
    <row r="1276">
      <c r="A1276" s="38" t="inlineStr">
        <is>
          <t>Conta corrente MFRUGIS10.XLS</t>
        </is>
      </c>
      <c r="B1276" s="39" t="n">
        <v>40284</v>
      </c>
      <c r="C1276" s="4" t="n">
        <v>40269</v>
      </c>
      <c r="D1276" s="5">
        <f>YEAR(C1276)</f>
        <v/>
      </c>
      <c r="E1276" s="5">
        <f>MONTH(C1276)</f>
        <v/>
      </c>
      <c r="F1276" s="38" t="inlineStr">
        <is>
          <t>NFV  :TENDA ATACADO LTDA</t>
        </is>
      </c>
      <c r="G1276" s="38" t="inlineStr">
        <is>
          <t>MARIO FRUGIS (01.04.01)</t>
        </is>
      </c>
      <c r="H1276" s="38" t="inlineStr">
        <is>
          <t>NFV</t>
        </is>
      </c>
      <c r="I1276" s="40" t="n">
        <v>62.22</v>
      </c>
      <c r="J1276" s="40" t="n">
        <v>0</v>
      </c>
      <c r="K1276" s="6">
        <f>I1276-J1276</f>
        <v/>
      </c>
      <c r="L1276" s="6">
        <f>IF(H1276="DISTRATO",0,I1276)</f>
        <v/>
      </c>
    </row>
    <row r="1277">
      <c r="A1277" s="38" t="inlineStr">
        <is>
          <t>Conta corrente MFRUGIS10.XLS</t>
        </is>
      </c>
      <c r="B1277" s="39" t="n">
        <v>40297</v>
      </c>
      <c r="C1277" s="4" t="n">
        <v>40269</v>
      </c>
      <c r="D1277" s="5">
        <f>YEAR(C1277)</f>
        <v/>
      </c>
      <c r="E1277" s="5">
        <f>MONTH(C1277)</f>
        <v/>
      </c>
      <c r="F1277" s="38" t="inlineStr">
        <is>
          <t>DEV  :TENDA ATACADO LTDA</t>
        </is>
      </c>
      <c r="G1277" s="38" t="inlineStr">
        <is>
          <t>MARIO FRUGIS (01.04.01)</t>
        </is>
      </c>
      <c r="H1277" s="38" t="inlineStr">
        <is>
          <t>DEVOLUCAO</t>
        </is>
      </c>
      <c r="I1277" s="40" t="n">
        <v>-6.9</v>
      </c>
      <c r="J1277" s="40" t="n">
        <v>0</v>
      </c>
      <c r="K1277" s="6">
        <f>I1277-J1277</f>
        <v/>
      </c>
      <c r="L1277" s="6">
        <f>IF(H1277="DISTRATO",0,I1277)</f>
        <v/>
      </c>
    </row>
    <row r="1278">
      <c r="A1278" s="38" t="inlineStr">
        <is>
          <t>Conta corrente MFRUGIS10.XLS</t>
        </is>
      </c>
      <c r="B1278" s="39" t="n">
        <v>40298</v>
      </c>
      <c r="C1278" s="4" t="n">
        <v>40269</v>
      </c>
      <c r="D1278" s="5">
        <f>YEAR(C1278)</f>
        <v/>
      </c>
      <c r="E1278" s="5">
        <f>MONTH(C1278)</f>
        <v/>
      </c>
      <c r="F1278" s="38" t="inlineStr">
        <is>
          <t>NFV  :TENDA ATACADO LTDA</t>
        </is>
      </c>
      <c r="G1278" s="38" t="inlineStr">
        <is>
          <t>MARIO FRUGIS (01.04.01)</t>
        </is>
      </c>
      <c r="H1278" s="38" t="inlineStr">
        <is>
          <t>NFV</t>
        </is>
      </c>
      <c r="I1278" s="40" t="n">
        <v>36</v>
      </c>
      <c r="J1278" s="40" t="n">
        <v>0</v>
      </c>
      <c r="K1278" s="6">
        <f>I1278-J1278</f>
        <v/>
      </c>
      <c r="L1278" s="6">
        <f>IF(H1278="DISTRATO",0,I1278)</f>
        <v/>
      </c>
    </row>
    <row r="1279">
      <c r="A1279" s="38" t="inlineStr">
        <is>
          <t>Conta corrente MFRUGIS10.XLS</t>
        </is>
      </c>
      <c r="B1279" s="39" t="n">
        <v>40298</v>
      </c>
      <c r="C1279" s="4" t="n">
        <v>40269</v>
      </c>
      <c r="D1279" s="5">
        <f>YEAR(C1279)</f>
        <v/>
      </c>
      <c r="E1279" s="5">
        <f>MONTH(C1279)</f>
        <v/>
      </c>
      <c r="F1279" s="38" t="inlineStr">
        <is>
          <t>NFV  :TENDA ATACADO LTDA</t>
        </is>
      </c>
      <c r="G1279" s="38" t="inlineStr">
        <is>
          <t>MARIO FRUGIS (01.04.01)</t>
        </is>
      </c>
      <c r="H1279" s="38" t="inlineStr">
        <is>
          <t>NFV</t>
        </is>
      </c>
      <c r="I1279" s="40" t="n">
        <v>129.37</v>
      </c>
      <c r="J1279" s="40" t="n">
        <v>0</v>
      </c>
      <c r="K1279" s="6">
        <f>I1279-J1279</f>
        <v/>
      </c>
      <c r="L1279" s="6">
        <f>IF(H1279="DISTRATO",0,I1279)</f>
        <v/>
      </c>
    </row>
    <row r="1280">
      <c r="A1280" s="38" t="inlineStr">
        <is>
          <t>Conta corrente MFRUGIS10.XLS</t>
        </is>
      </c>
      <c r="B1280" s="39" t="n">
        <v>40298</v>
      </c>
      <c r="C1280" s="4" t="n">
        <v>40269</v>
      </c>
      <c r="D1280" s="5">
        <f>YEAR(C1280)</f>
        <v/>
      </c>
      <c r="E1280" s="5">
        <f>MONTH(C1280)</f>
        <v/>
      </c>
      <c r="F1280" s="38" t="inlineStr">
        <is>
          <t>NFV  :TENDA ATACADO LTDA</t>
        </is>
      </c>
      <c r="G1280" s="38" t="inlineStr">
        <is>
          <t>MARIO FRUGIS (01.04.01)</t>
        </is>
      </c>
      <c r="H1280" s="38" t="inlineStr">
        <is>
          <t>NFV</t>
        </is>
      </c>
      <c r="I1280" s="40" t="n">
        <v>43.62</v>
      </c>
      <c r="J1280" s="40" t="n">
        <v>0</v>
      </c>
      <c r="K1280" s="6">
        <f>I1280-J1280</f>
        <v/>
      </c>
      <c r="L1280" s="6">
        <f>IF(H1280="DISTRATO",0,I1280)</f>
        <v/>
      </c>
    </row>
    <row r="1281">
      <c r="A1281" s="38" t="inlineStr">
        <is>
          <t>Conta corrente MFRUGIS10.XLS</t>
        </is>
      </c>
      <c r="B1281" s="39" t="n">
        <v>40298</v>
      </c>
      <c r="C1281" s="4" t="n">
        <v>40269</v>
      </c>
      <c r="D1281" s="5">
        <f>YEAR(C1281)</f>
        <v/>
      </c>
      <c r="E1281" s="5">
        <f>MONTH(C1281)</f>
        <v/>
      </c>
      <c r="F1281" s="38" t="inlineStr">
        <is>
          <t>NFV  :TENDA ATACADO LTDA</t>
        </is>
      </c>
      <c r="G1281" s="38" t="inlineStr">
        <is>
          <t>MARIO FRUGIS (01.04.01)</t>
        </is>
      </c>
      <c r="H1281" s="38" t="inlineStr">
        <is>
          <t>NFV</t>
        </is>
      </c>
      <c r="I1281" s="40" t="n">
        <v>70.55</v>
      </c>
      <c r="J1281" s="40" t="n">
        <v>0</v>
      </c>
      <c r="K1281" s="6">
        <f>I1281-J1281</f>
        <v/>
      </c>
      <c r="L1281" s="6">
        <f>IF(H1281="DISTRATO",0,I1281)</f>
        <v/>
      </c>
    </row>
    <row r="1282">
      <c r="A1282" s="38" t="inlineStr">
        <is>
          <t>Conta corrente MFRUGIS10.XLS</t>
        </is>
      </c>
      <c r="B1282" s="39" t="n">
        <v>40298</v>
      </c>
      <c r="C1282" s="4" t="n">
        <v>40269</v>
      </c>
      <c r="D1282" s="5">
        <f>YEAR(C1282)</f>
        <v/>
      </c>
      <c r="E1282" s="5">
        <f>MONTH(C1282)</f>
        <v/>
      </c>
      <c r="F1282" s="38" t="inlineStr">
        <is>
          <t>NFV  :TENDA ATACADO LTDA</t>
        </is>
      </c>
      <c r="G1282" s="38" t="inlineStr">
        <is>
          <t>MARIO FRUGIS (01.04.01)</t>
        </is>
      </c>
      <c r="H1282" s="38" t="inlineStr">
        <is>
          <t>NFV</t>
        </is>
      </c>
      <c r="I1282" s="40" t="n">
        <v>24.84</v>
      </c>
      <c r="J1282" s="40" t="n">
        <v>0</v>
      </c>
      <c r="K1282" s="6">
        <f>I1282-J1282</f>
        <v/>
      </c>
      <c r="L1282" s="6">
        <f>IF(H1282="DISTRATO",0,I1282)</f>
        <v/>
      </c>
    </row>
    <row r="1283">
      <c r="A1283" s="38" t="inlineStr">
        <is>
          <t>Conta corrente MFRUGIS10.XLS</t>
        </is>
      </c>
      <c r="B1283" s="39" t="n">
        <v>40298</v>
      </c>
      <c r="C1283" s="4" t="n">
        <v>40269</v>
      </c>
      <c r="D1283" s="5">
        <f>YEAR(C1283)</f>
        <v/>
      </c>
      <c r="E1283" s="5">
        <f>MONTH(C1283)</f>
        <v/>
      </c>
      <c r="F1283" s="38" t="inlineStr">
        <is>
          <t>NFV  :TENDA ATACADO LTDA</t>
        </is>
      </c>
      <c r="G1283" s="38" t="inlineStr">
        <is>
          <t>MARIO FRUGIS (01.04.01)</t>
        </is>
      </c>
      <c r="H1283" s="38" t="inlineStr">
        <is>
          <t>NFV</t>
        </is>
      </c>
      <c r="I1283" s="40" t="n">
        <v>67.92</v>
      </c>
      <c r="J1283" s="40" t="n">
        <v>0</v>
      </c>
      <c r="K1283" s="6">
        <f>I1283-J1283</f>
        <v/>
      </c>
      <c r="L1283" s="6">
        <f>IF(H1283="DISTRATO",0,I1283)</f>
        <v/>
      </c>
    </row>
    <row r="1284">
      <c r="A1284" s="38" t="inlineStr">
        <is>
          <t>Conta corrente MFRUGIS10.XLS</t>
        </is>
      </c>
      <c r="B1284" s="39" t="n">
        <v>40298</v>
      </c>
      <c r="C1284" s="4" t="n">
        <v>40269</v>
      </c>
      <c r="D1284" s="5">
        <f>YEAR(C1284)</f>
        <v/>
      </c>
      <c r="E1284" s="5">
        <f>MONTH(C1284)</f>
        <v/>
      </c>
      <c r="F1284" s="38" t="inlineStr">
        <is>
          <t>NFV  :TENDA ATACADO LTDA</t>
        </is>
      </c>
      <c r="G1284" s="38" t="inlineStr">
        <is>
          <t>MARIO FRUGIS (01.04.01)</t>
        </is>
      </c>
      <c r="H1284" s="38" t="inlineStr">
        <is>
          <t>NFV</t>
        </is>
      </c>
      <c r="I1284" s="40" t="n">
        <v>29.26</v>
      </c>
      <c r="J1284" s="40" t="n">
        <v>0</v>
      </c>
      <c r="K1284" s="6">
        <f>I1284-J1284</f>
        <v/>
      </c>
      <c r="L1284" s="6">
        <f>IF(H1284="DISTRATO",0,I1284)</f>
        <v/>
      </c>
    </row>
    <row r="1285">
      <c r="A1285" s="38" t="inlineStr">
        <is>
          <t>Conta corrente MFRUGIS10.XLS</t>
        </is>
      </c>
      <c r="B1285" s="39" t="n">
        <v>40298</v>
      </c>
      <c r="C1285" s="4" t="n">
        <v>40269</v>
      </c>
      <c r="D1285" s="5">
        <f>YEAR(C1285)</f>
        <v/>
      </c>
      <c r="E1285" s="5">
        <f>MONTH(C1285)</f>
        <v/>
      </c>
      <c r="F1285" s="38" t="inlineStr">
        <is>
          <t>NFV  :TENDA ATACADO LTDA</t>
        </is>
      </c>
      <c r="G1285" s="38" t="inlineStr">
        <is>
          <t>MARIO FRUGIS (01.04.01)</t>
        </is>
      </c>
      <c r="H1285" s="38" t="inlineStr">
        <is>
          <t>NFV</t>
        </is>
      </c>
      <c r="I1285" s="40" t="n">
        <v>82.84999999999999</v>
      </c>
      <c r="J1285" s="40" t="n">
        <v>0</v>
      </c>
      <c r="K1285" s="6">
        <f>I1285-J1285</f>
        <v/>
      </c>
      <c r="L1285" s="6">
        <f>IF(H1285="DISTRATO",0,I1285)</f>
        <v/>
      </c>
    </row>
    <row r="1286">
      <c r="A1286" s="38" t="inlineStr">
        <is>
          <t>Conta corrente MFRUGIS10.XLS</t>
        </is>
      </c>
      <c r="B1286" s="39" t="n">
        <v>40298</v>
      </c>
      <c r="C1286" s="4" t="n">
        <v>40269</v>
      </c>
      <c r="D1286" s="5">
        <f>YEAR(C1286)</f>
        <v/>
      </c>
      <c r="E1286" s="5">
        <f>MONTH(C1286)</f>
        <v/>
      </c>
      <c r="F1286" s="38" t="inlineStr">
        <is>
          <t>NFV  :TENDA ATACADO LTDA</t>
        </is>
      </c>
      <c r="G1286" s="38" t="inlineStr">
        <is>
          <t>MARIO FRUGIS (01.04.01)</t>
        </is>
      </c>
      <c r="H1286" s="38" t="inlineStr">
        <is>
          <t>NFV</t>
        </is>
      </c>
      <c r="I1286" s="40" t="n">
        <v>30.57</v>
      </c>
      <c r="J1286" s="40" t="n">
        <v>0</v>
      </c>
      <c r="K1286" s="6">
        <f>I1286-J1286</f>
        <v/>
      </c>
      <c r="L1286" s="6">
        <f>IF(H1286="DISTRATO",0,I1286)</f>
        <v/>
      </c>
    </row>
    <row r="1287">
      <c r="A1287" s="38" t="inlineStr">
        <is>
          <t>Conta corrente MFRUGIS10.XLS</t>
        </is>
      </c>
      <c r="B1287" s="39" t="n">
        <v>40298</v>
      </c>
      <c r="C1287" s="4" t="n">
        <v>40269</v>
      </c>
      <c r="D1287" s="5">
        <f>YEAR(C1287)</f>
        <v/>
      </c>
      <c r="E1287" s="5">
        <f>MONTH(C1287)</f>
        <v/>
      </c>
      <c r="F1287" s="38" t="inlineStr">
        <is>
          <t>NFV  :TENDA ATACADO LTDA</t>
        </is>
      </c>
      <c r="G1287" s="38" t="inlineStr">
        <is>
          <t>MARIO FRUGIS (01.04.01)</t>
        </is>
      </c>
      <c r="H1287" s="38" t="inlineStr">
        <is>
          <t>NFV</t>
        </is>
      </c>
      <c r="I1287" s="40" t="n">
        <v>85.78</v>
      </c>
      <c r="J1287" s="40" t="n">
        <v>0</v>
      </c>
      <c r="K1287" s="6">
        <f>I1287-J1287</f>
        <v/>
      </c>
      <c r="L1287" s="6">
        <f>IF(H1287="DISTRATO",0,I1287)</f>
        <v/>
      </c>
    </row>
    <row r="1288">
      <c r="A1288" s="38" t="inlineStr">
        <is>
          <t>Conta corrente MFRUGIS10.XLS</t>
        </is>
      </c>
      <c r="B1288" s="39" t="n">
        <v>40298</v>
      </c>
      <c r="C1288" s="4" t="n">
        <v>40269</v>
      </c>
      <c r="D1288" s="5">
        <f>YEAR(C1288)</f>
        <v/>
      </c>
      <c r="E1288" s="5">
        <f>MONTH(C1288)</f>
        <v/>
      </c>
      <c r="F1288" s="38" t="inlineStr">
        <is>
          <t>NFV  :TENDA ATACADO LTDA</t>
        </is>
      </c>
      <c r="G1288" s="38" t="inlineStr">
        <is>
          <t>MARIO FRUGIS (01.04.01)</t>
        </is>
      </c>
      <c r="H1288" s="38" t="inlineStr">
        <is>
          <t>NFV</t>
        </is>
      </c>
      <c r="I1288" s="40" t="n">
        <v>142.31</v>
      </c>
      <c r="J1288" s="40" t="n">
        <v>0</v>
      </c>
      <c r="K1288" s="6">
        <f>I1288-J1288</f>
        <v/>
      </c>
      <c r="L1288" s="6">
        <f>IF(H1288="DISTRATO",0,I1288)</f>
        <v/>
      </c>
    </row>
    <row r="1289">
      <c r="A1289" s="38" t="inlineStr">
        <is>
          <t>Conta corrente MFRUGIS10.XLS</t>
        </is>
      </c>
      <c r="B1289" s="39" t="n">
        <v>40298</v>
      </c>
      <c r="C1289" s="4" t="n">
        <v>40269</v>
      </c>
      <c r="D1289" s="5">
        <f>YEAR(C1289)</f>
        <v/>
      </c>
      <c r="E1289" s="5">
        <f>MONTH(C1289)</f>
        <v/>
      </c>
      <c r="F1289" s="38" t="inlineStr">
        <is>
          <t>NFV  :TENDA ATACADO LTDA</t>
        </is>
      </c>
      <c r="G1289" s="38" t="inlineStr">
        <is>
          <t>MARIO FRUGIS (01.04.01)</t>
        </is>
      </c>
      <c r="H1289" s="38" t="inlineStr">
        <is>
          <t>NFV</t>
        </is>
      </c>
      <c r="I1289" s="40" t="n">
        <v>72.34</v>
      </c>
      <c r="J1289" s="40" t="n">
        <v>0</v>
      </c>
      <c r="K1289" s="6">
        <f>I1289-J1289</f>
        <v/>
      </c>
      <c r="L1289" s="6">
        <f>IF(H1289="DISTRATO",0,I1289)</f>
        <v/>
      </c>
    </row>
    <row r="1290">
      <c r="A1290" s="38" t="inlineStr">
        <is>
          <t>Conta corrente MFRUGIS10.XLS</t>
        </is>
      </c>
      <c r="B1290" s="39" t="n">
        <v>40298</v>
      </c>
      <c r="C1290" s="4" t="n">
        <v>40269</v>
      </c>
      <c r="D1290" s="5">
        <f>YEAR(C1290)</f>
        <v/>
      </c>
      <c r="E1290" s="5">
        <f>MONTH(C1290)</f>
        <v/>
      </c>
      <c r="F1290" s="38" t="inlineStr">
        <is>
          <t>NFV  :TENDA ATACADO LTDA</t>
        </is>
      </c>
      <c r="G1290" s="38" t="inlineStr">
        <is>
          <t>MARIO FRUGIS (01.04.01)</t>
        </is>
      </c>
      <c r="H1290" s="38" t="inlineStr">
        <is>
          <t>NFV</t>
        </is>
      </c>
      <c r="I1290" s="40" t="n">
        <v>106.33</v>
      </c>
      <c r="J1290" s="40" t="n">
        <v>0</v>
      </c>
      <c r="K1290" s="6">
        <f>I1290-J1290</f>
        <v/>
      </c>
      <c r="L1290" s="6">
        <f>IF(H1290="DISTRATO",0,I1290)</f>
        <v/>
      </c>
    </row>
    <row r="1291">
      <c r="A1291" s="38" t="inlineStr">
        <is>
          <t>Conta corrente MFRUGIS10.XLS</t>
        </is>
      </c>
      <c r="B1291" s="39" t="n">
        <v>40298</v>
      </c>
      <c r="C1291" s="4" t="n">
        <v>40269</v>
      </c>
      <c r="D1291" s="5">
        <f>YEAR(C1291)</f>
        <v/>
      </c>
      <c r="E1291" s="5">
        <f>MONTH(C1291)</f>
        <v/>
      </c>
      <c r="F1291" s="38" t="inlineStr">
        <is>
          <t>NFV  :TENDA ATACADO LTDA</t>
        </is>
      </c>
      <c r="G1291" s="38" t="inlineStr">
        <is>
          <t>MARIO FRUGIS (01.04.01)</t>
        </is>
      </c>
      <c r="H1291" s="38" t="inlineStr">
        <is>
          <t>NFV</t>
        </is>
      </c>
      <c r="I1291" s="40" t="n">
        <v>37.6</v>
      </c>
      <c r="J1291" s="40" t="n">
        <v>0</v>
      </c>
      <c r="K1291" s="6">
        <f>I1291-J1291</f>
        <v/>
      </c>
      <c r="L1291" s="6">
        <f>IF(H1291="DISTRATO",0,I1291)</f>
        <v/>
      </c>
    </row>
    <row r="1292">
      <c r="A1292" s="38" t="inlineStr">
        <is>
          <t>Conta corrente MFRUGIS10.XLS</t>
        </is>
      </c>
      <c r="B1292" s="39" t="n">
        <v>40298</v>
      </c>
      <c r="C1292" s="4" t="n">
        <v>40269</v>
      </c>
      <c r="D1292" s="5">
        <f>YEAR(C1292)</f>
        <v/>
      </c>
      <c r="E1292" s="5">
        <f>MONTH(C1292)</f>
        <v/>
      </c>
      <c r="F1292" s="38" t="inlineStr">
        <is>
          <t>NFV  :TENDA ATACADO LTDA</t>
        </is>
      </c>
      <c r="G1292" s="38" t="inlineStr">
        <is>
          <t>MARIO FRUGIS (01.04.01)</t>
        </is>
      </c>
      <c r="H1292" s="38" t="inlineStr">
        <is>
          <t>NFV</t>
        </is>
      </c>
      <c r="I1292" s="40" t="n">
        <v>126.7</v>
      </c>
      <c r="J1292" s="40" t="n">
        <v>0</v>
      </c>
      <c r="K1292" s="6">
        <f>I1292-J1292</f>
        <v/>
      </c>
      <c r="L1292" s="6">
        <f>IF(H1292="DISTRATO",0,I1292)</f>
        <v/>
      </c>
    </row>
    <row r="1293">
      <c r="A1293" s="38" t="inlineStr">
        <is>
          <t>Conta corrente MFRUGIS10.XLS</t>
        </is>
      </c>
      <c r="B1293" s="39" t="n">
        <v>40298</v>
      </c>
      <c r="C1293" s="4" t="n">
        <v>40269</v>
      </c>
      <c r="D1293" s="5">
        <f>YEAR(C1293)</f>
        <v/>
      </c>
      <c r="E1293" s="5">
        <f>MONTH(C1293)</f>
        <v/>
      </c>
      <c r="F1293" s="38" t="inlineStr">
        <is>
          <t>NFV  :TENDA ATACADO LTDA</t>
        </is>
      </c>
      <c r="G1293" s="38" t="inlineStr">
        <is>
          <t>MARIO FRUGIS (01.04.01)</t>
        </is>
      </c>
      <c r="H1293" s="38" t="inlineStr">
        <is>
          <t>NFV</t>
        </is>
      </c>
      <c r="I1293" s="40" t="n">
        <v>14.36</v>
      </c>
      <c r="J1293" s="40" t="n">
        <v>0</v>
      </c>
      <c r="K1293" s="6">
        <f>I1293-J1293</f>
        <v/>
      </c>
      <c r="L1293" s="6">
        <f>IF(H1293="DISTRATO",0,I1293)</f>
        <v/>
      </c>
    </row>
    <row r="1294">
      <c r="A1294" s="38" t="inlineStr">
        <is>
          <t>Conta corrente MFRUGIS10.XLS</t>
        </is>
      </c>
      <c r="B1294" s="39" t="n">
        <v>40298</v>
      </c>
      <c r="C1294" s="4" t="n">
        <v>40269</v>
      </c>
      <c r="D1294" s="5">
        <f>YEAR(C1294)</f>
        <v/>
      </c>
      <c r="E1294" s="5">
        <f>MONTH(C1294)</f>
        <v/>
      </c>
      <c r="F1294" s="38" t="inlineStr">
        <is>
          <t>NFV  :TENDA ATACADO LTDA</t>
        </is>
      </c>
      <c r="G1294" s="38" t="inlineStr">
        <is>
          <t>MARIO FRUGIS (01.04.01)</t>
        </is>
      </c>
      <c r="H1294" s="38" t="inlineStr">
        <is>
          <t>NFV</t>
        </is>
      </c>
      <c r="I1294" s="40" t="n">
        <v>14.36</v>
      </c>
      <c r="J1294" s="40" t="n">
        <v>0</v>
      </c>
      <c r="K1294" s="6">
        <f>I1294-J1294</f>
        <v/>
      </c>
      <c r="L1294" s="6">
        <f>IF(H1294="DISTRATO",0,I1294)</f>
        <v/>
      </c>
    </row>
    <row r="1295">
      <c r="A1295" s="38" t="inlineStr">
        <is>
          <t>Conta corrente MFRUGIS10.XLS</t>
        </is>
      </c>
      <c r="B1295" s="39" t="n">
        <v>40298</v>
      </c>
      <c r="C1295" s="4" t="n">
        <v>40269</v>
      </c>
      <c r="D1295" s="5">
        <f>YEAR(C1295)</f>
        <v/>
      </c>
      <c r="E1295" s="5">
        <f>MONTH(C1295)</f>
        <v/>
      </c>
      <c r="F1295" s="38" t="inlineStr">
        <is>
          <t>NFV  :TENDA ATACADO LTDA</t>
        </is>
      </c>
      <c r="G1295" s="38" t="inlineStr">
        <is>
          <t>MARIO FRUGIS (01.04.01)</t>
        </is>
      </c>
      <c r="H1295" s="38" t="inlineStr">
        <is>
          <t>NFV</t>
        </is>
      </c>
      <c r="I1295" s="40" t="n">
        <v>14.36</v>
      </c>
      <c r="J1295" s="40" t="n">
        <v>0</v>
      </c>
      <c r="K1295" s="6">
        <f>I1295-J1295</f>
        <v/>
      </c>
      <c r="L1295" s="6">
        <f>IF(H1295="DISTRATO",0,I1295)</f>
        <v/>
      </c>
    </row>
    <row r="1296">
      <c r="A1296" s="38" t="inlineStr">
        <is>
          <t>Conta corrente MFRUGIS10.XLS</t>
        </is>
      </c>
      <c r="B1296" s="39" t="n">
        <v>40298</v>
      </c>
      <c r="C1296" s="4" t="n">
        <v>40269</v>
      </c>
      <c r="D1296" s="5">
        <f>YEAR(C1296)</f>
        <v/>
      </c>
      <c r="E1296" s="5">
        <f>MONTH(C1296)</f>
        <v/>
      </c>
      <c r="F1296" s="38" t="inlineStr">
        <is>
          <t>NFV  :TENDA ATACADO LTDA</t>
        </is>
      </c>
      <c r="G1296" s="38" t="inlineStr">
        <is>
          <t>MARIO FRUGIS (01.04.01)</t>
        </is>
      </c>
      <c r="H1296" s="38" t="inlineStr">
        <is>
          <t>NFV</t>
        </is>
      </c>
      <c r="I1296" s="40" t="n">
        <v>14.36</v>
      </c>
      <c r="J1296" s="40" t="n">
        <v>0</v>
      </c>
      <c r="K1296" s="6">
        <f>I1296-J1296</f>
        <v/>
      </c>
      <c r="L1296" s="6">
        <f>IF(H1296="DISTRATO",0,I1296)</f>
        <v/>
      </c>
    </row>
    <row r="1297">
      <c r="A1297" s="38" t="inlineStr">
        <is>
          <t>Conta corrente MFRUGIS10.XLS</t>
        </is>
      </c>
      <c r="B1297" s="39" t="n">
        <v>40298</v>
      </c>
      <c r="C1297" s="4" t="n">
        <v>40269</v>
      </c>
      <c r="D1297" s="5">
        <f>YEAR(C1297)</f>
        <v/>
      </c>
      <c r="E1297" s="5">
        <f>MONTH(C1297)</f>
        <v/>
      </c>
      <c r="F1297" s="38" t="inlineStr">
        <is>
          <t>NFV  :TENDA ATACADO LTDA</t>
        </is>
      </c>
      <c r="G1297" s="38" t="inlineStr">
        <is>
          <t>MARIO FRUGIS (01.04.01)</t>
        </is>
      </c>
      <c r="H1297" s="38" t="inlineStr">
        <is>
          <t>NFV</t>
        </is>
      </c>
      <c r="I1297" s="40" t="n">
        <v>28.72</v>
      </c>
      <c r="J1297" s="40" t="n">
        <v>0</v>
      </c>
      <c r="K1297" s="6">
        <f>I1297-J1297</f>
        <v/>
      </c>
      <c r="L1297" s="6">
        <f>IF(H1297="DISTRATO",0,I1297)</f>
        <v/>
      </c>
    </row>
    <row r="1298">
      <c r="A1298" s="38" t="inlineStr">
        <is>
          <t>Conta corrente MFRUGIS10.XLS</t>
        </is>
      </c>
      <c r="B1298" s="39" t="n">
        <v>40298</v>
      </c>
      <c r="C1298" s="4" t="n">
        <v>40269</v>
      </c>
      <c r="D1298" s="5">
        <f>YEAR(C1298)</f>
        <v/>
      </c>
      <c r="E1298" s="5">
        <f>MONTH(C1298)</f>
        <v/>
      </c>
      <c r="F1298" s="38" t="inlineStr">
        <is>
          <t>NFV  :TENDA ATACADO LTDA</t>
        </is>
      </c>
      <c r="G1298" s="38" t="inlineStr">
        <is>
          <t>MARIO FRUGIS (01.04.01)</t>
        </is>
      </c>
      <c r="H1298" s="38" t="inlineStr">
        <is>
          <t>NFV</t>
        </is>
      </c>
      <c r="I1298" s="40" t="n">
        <v>28.72</v>
      </c>
      <c r="J1298" s="40" t="n">
        <v>0</v>
      </c>
      <c r="K1298" s="6">
        <f>I1298-J1298</f>
        <v/>
      </c>
      <c r="L1298" s="6">
        <f>IF(H1298="DISTRATO",0,I1298)</f>
        <v/>
      </c>
    </row>
    <row r="1299">
      <c r="A1299" s="38" t="inlineStr">
        <is>
          <t>Conta corrente MFRUGIS10.XLS</t>
        </is>
      </c>
      <c r="B1299" s="39" t="n">
        <v>40298</v>
      </c>
      <c r="C1299" s="4" t="n">
        <v>40269</v>
      </c>
      <c r="D1299" s="5">
        <f>YEAR(C1299)</f>
        <v/>
      </c>
      <c r="E1299" s="5">
        <f>MONTH(C1299)</f>
        <v/>
      </c>
      <c r="F1299" s="38" t="inlineStr">
        <is>
          <t>NFV  :TENDA ATACADO LTDA</t>
        </is>
      </c>
      <c r="G1299" s="38" t="inlineStr">
        <is>
          <t>MARIO FRUGIS (01.04.01)</t>
        </is>
      </c>
      <c r="H1299" s="38" t="inlineStr">
        <is>
          <t>NFV</t>
        </is>
      </c>
      <c r="I1299" s="40" t="n">
        <v>36.94</v>
      </c>
      <c r="J1299" s="40" t="n">
        <v>0</v>
      </c>
      <c r="K1299" s="6">
        <f>I1299-J1299</f>
        <v/>
      </c>
      <c r="L1299" s="6">
        <f>IF(H1299="DISTRATO",0,I1299)</f>
        <v/>
      </c>
    </row>
    <row r="1300">
      <c r="A1300" s="38" t="inlineStr">
        <is>
          <t>Conta corrente MFRUGIS10.XLS</t>
        </is>
      </c>
      <c r="B1300" s="39" t="n">
        <v>40298</v>
      </c>
      <c r="C1300" s="4" t="n">
        <v>40269</v>
      </c>
      <c r="D1300" s="5">
        <f>YEAR(C1300)</f>
        <v/>
      </c>
      <c r="E1300" s="5">
        <f>MONTH(C1300)</f>
        <v/>
      </c>
      <c r="F1300" s="38" t="inlineStr">
        <is>
          <t>NFV  :TENDA ATACADO LTDA</t>
        </is>
      </c>
      <c r="G1300" s="38" t="inlineStr">
        <is>
          <t>MARIO FRUGIS (01.04.01)</t>
        </is>
      </c>
      <c r="H1300" s="38" t="inlineStr">
        <is>
          <t>NFV</t>
        </is>
      </c>
      <c r="I1300" s="40" t="n">
        <v>126.88</v>
      </c>
      <c r="J1300" s="40" t="n">
        <v>0</v>
      </c>
      <c r="K1300" s="6">
        <f>I1300-J1300</f>
        <v/>
      </c>
      <c r="L1300" s="6">
        <f>IF(H1300="DISTRATO",0,I1300)</f>
        <v/>
      </c>
    </row>
    <row r="1301">
      <c r="A1301" s="38" t="inlineStr">
        <is>
          <t>Conta corrente MFRUGIS10.XLS</t>
        </is>
      </c>
      <c r="B1301" s="39" t="n">
        <v>40311</v>
      </c>
      <c r="C1301" s="4" t="n">
        <v>40299</v>
      </c>
      <c r="D1301" s="5">
        <f>YEAR(C1301)</f>
        <v/>
      </c>
      <c r="E1301" s="5">
        <f>MONTH(C1301)</f>
        <v/>
      </c>
      <c r="F1301" s="38" t="inlineStr">
        <is>
          <t>NFV  :TENDA ATACADO LTDA</t>
        </is>
      </c>
      <c r="G1301" s="38" t="inlineStr">
        <is>
          <t>MARIO FRUGIS (01.04.01)</t>
        </is>
      </c>
      <c r="H1301" s="38" t="inlineStr">
        <is>
          <t>NFV</t>
        </is>
      </c>
      <c r="I1301" s="40" t="n">
        <v>21.92</v>
      </c>
      <c r="J1301" s="40" t="n">
        <v>0</v>
      </c>
      <c r="K1301" s="6">
        <f>I1301-J1301</f>
        <v/>
      </c>
      <c r="L1301" s="6">
        <f>IF(H1301="DISTRATO",0,I1301)</f>
        <v/>
      </c>
    </row>
    <row r="1302">
      <c r="A1302" s="38" t="inlineStr">
        <is>
          <t>Conta corrente MFRUGIS10.XLS</t>
        </is>
      </c>
      <c r="B1302" s="39" t="n">
        <v>40311</v>
      </c>
      <c r="C1302" s="4" t="n">
        <v>40299</v>
      </c>
      <c r="D1302" s="5">
        <f>YEAR(C1302)</f>
        <v/>
      </c>
      <c r="E1302" s="5">
        <f>MONTH(C1302)</f>
        <v/>
      </c>
      <c r="F1302" s="38" t="inlineStr">
        <is>
          <t>NFV  :TENDA ATACADO LTDA</t>
        </is>
      </c>
      <c r="G1302" s="38" t="inlineStr">
        <is>
          <t>MARIO FRUGIS (01.04.01)</t>
        </is>
      </c>
      <c r="H1302" s="38" t="inlineStr">
        <is>
          <t>NFV</t>
        </is>
      </c>
      <c r="I1302" s="40" t="n">
        <v>41.96</v>
      </c>
      <c r="J1302" s="40" t="n">
        <v>0</v>
      </c>
      <c r="K1302" s="6">
        <f>I1302-J1302</f>
        <v/>
      </c>
      <c r="L1302" s="6">
        <f>IF(H1302="DISTRATO",0,I1302)</f>
        <v/>
      </c>
    </row>
    <row r="1303">
      <c r="A1303" s="38" t="inlineStr">
        <is>
          <t>Conta corrente MFRUGIS10.XLS</t>
        </is>
      </c>
      <c r="B1303" s="39" t="n">
        <v>40311</v>
      </c>
      <c r="C1303" s="4" t="n">
        <v>40299</v>
      </c>
      <c r="D1303" s="5">
        <f>YEAR(C1303)</f>
        <v/>
      </c>
      <c r="E1303" s="5">
        <f>MONTH(C1303)</f>
        <v/>
      </c>
      <c r="F1303" s="38" t="inlineStr">
        <is>
          <t>NFV  :TENDA ATACADO LTDA</t>
        </is>
      </c>
      <c r="G1303" s="38" t="inlineStr">
        <is>
          <t>MARIO FRUGIS (01.04.01)</t>
        </is>
      </c>
      <c r="H1303" s="38" t="inlineStr">
        <is>
          <t>NFV</t>
        </is>
      </c>
      <c r="I1303" s="40" t="n">
        <v>27.87</v>
      </c>
      <c r="J1303" s="40" t="n">
        <v>0</v>
      </c>
      <c r="K1303" s="6">
        <f>I1303-J1303</f>
        <v/>
      </c>
      <c r="L1303" s="6">
        <f>IF(H1303="DISTRATO",0,I1303)</f>
        <v/>
      </c>
    </row>
    <row r="1304">
      <c r="A1304" s="38" t="inlineStr">
        <is>
          <t>Conta corrente MFRUGIS10.XLS</t>
        </is>
      </c>
      <c r="B1304" s="39" t="n">
        <v>40311</v>
      </c>
      <c r="C1304" s="4" t="n">
        <v>40299</v>
      </c>
      <c r="D1304" s="5">
        <f>YEAR(C1304)</f>
        <v/>
      </c>
      <c r="E1304" s="5">
        <f>MONTH(C1304)</f>
        <v/>
      </c>
      <c r="F1304" s="38" t="inlineStr">
        <is>
          <t>NFV  :TENDA ATACADO LTDA</t>
        </is>
      </c>
      <c r="G1304" s="38" t="inlineStr">
        <is>
          <t>MARIO FRUGIS (01.04.01)</t>
        </is>
      </c>
      <c r="H1304" s="38" t="inlineStr">
        <is>
          <t>NFV</t>
        </is>
      </c>
      <c r="I1304" s="40" t="n">
        <v>16.68</v>
      </c>
      <c r="J1304" s="40" t="n">
        <v>0</v>
      </c>
      <c r="K1304" s="6">
        <f>I1304-J1304</f>
        <v/>
      </c>
      <c r="L1304" s="6">
        <f>IF(H1304="DISTRATO",0,I1304)</f>
        <v/>
      </c>
    </row>
    <row r="1305">
      <c r="A1305" s="38" t="inlineStr">
        <is>
          <t>Conta corrente MFRUGIS10.XLS</t>
        </is>
      </c>
      <c r="B1305" s="39" t="n">
        <v>40311</v>
      </c>
      <c r="C1305" s="4" t="n">
        <v>40299</v>
      </c>
      <c r="D1305" s="5">
        <f>YEAR(C1305)</f>
        <v/>
      </c>
      <c r="E1305" s="5">
        <f>MONTH(C1305)</f>
        <v/>
      </c>
      <c r="F1305" s="38" t="inlineStr">
        <is>
          <t>NFV  :TENDA ATACADO LTDA</t>
        </is>
      </c>
      <c r="G1305" s="38" t="inlineStr">
        <is>
          <t>MARIO FRUGIS (01.04.01)</t>
        </is>
      </c>
      <c r="H1305" s="38" t="inlineStr">
        <is>
          <t>NFV</t>
        </is>
      </c>
      <c r="I1305" s="40" t="n">
        <v>32.14</v>
      </c>
      <c r="J1305" s="40" t="n">
        <v>0</v>
      </c>
      <c r="K1305" s="6">
        <f>I1305-J1305</f>
        <v/>
      </c>
      <c r="L1305" s="6">
        <f>IF(H1305="DISTRATO",0,I1305)</f>
        <v/>
      </c>
    </row>
    <row r="1306">
      <c r="A1306" s="38" t="inlineStr">
        <is>
          <t>Conta corrente MFRUGIS10.XLS</t>
        </is>
      </c>
      <c r="B1306" s="39" t="n">
        <v>40311</v>
      </c>
      <c r="C1306" s="4" t="n">
        <v>40299</v>
      </c>
      <c r="D1306" s="5">
        <f>YEAR(C1306)</f>
        <v/>
      </c>
      <c r="E1306" s="5">
        <f>MONTH(C1306)</f>
        <v/>
      </c>
      <c r="F1306" s="38" t="inlineStr">
        <is>
          <t>NFV  :TENDA ATACADO LTDA</t>
        </is>
      </c>
      <c r="G1306" s="38" t="inlineStr">
        <is>
          <t>MARIO FRUGIS (01.04.01)</t>
        </is>
      </c>
      <c r="H1306" s="38" t="inlineStr">
        <is>
          <t>NFV</t>
        </is>
      </c>
      <c r="I1306" s="40" t="n">
        <v>16.1</v>
      </c>
      <c r="J1306" s="40" t="n">
        <v>0</v>
      </c>
      <c r="K1306" s="6">
        <f>I1306-J1306</f>
        <v/>
      </c>
      <c r="L1306" s="6">
        <f>IF(H1306="DISTRATO",0,I1306)</f>
        <v/>
      </c>
    </row>
    <row r="1307">
      <c r="A1307" s="38" t="inlineStr">
        <is>
          <t>Conta corrente MFRUGIS10.XLS</t>
        </is>
      </c>
      <c r="B1307" s="39" t="n">
        <v>40311</v>
      </c>
      <c r="C1307" s="4" t="n">
        <v>40299</v>
      </c>
      <c r="D1307" s="5">
        <f>YEAR(C1307)</f>
        <v/>
      </c>
      <c r="E1307" s="5">
        <f>MONTH(C1307)</f>
        <v/>
      </c>
      <c r="F1307" s="38" t="inlineStr">
        <is>
          <t>NFV  :TENDA ATACADO LTDA</t>
        </is>
      </c>
      <c r="G1307" s="38" t="inlineStr">
        <is>
          <t>MARIO FRUGIS (01.04.01)</t>
        </is>
      </c>
      <c r="H1307" s="38" t="inlineStr">
        <is>
          <t>NFV</t>
        </is>
      </c>
      <c r="I1307" s="40" t="n">
        <v>16.1</v>
      </c>
      <c r="J1307" s="40" t="n">
        <v>0</v>
      </c>
      <c r="K1307" s="6">
        <f>I1307-J1307</f>
        <v/>
      </c>
      <c r="L1307" s="6">
        <f>IF(H1307="DISTRATO",0,I1307)</f>
        <v/>
      </c>
    </row>
    <row r="1308">
      <c r="A1308" s="38" t="inlineStr">
        <is>
          <t>Conta corrente MFRUGIS10.XLS</t>
        </is>
      </c>
      <c r="B1308" s="39" t="n">
        <v>40311</v>
      </c>
      <c r="C1308" s="4" t="n">
        <v>40299</v>
      </c>
      <c r="D1308" s="5">
        <f>YEAR(C1308)</f>
        <v/>
      </c>
      <c r="E1308" s="5">
        <f>MONTH(C1308)</f>
        <v/>
      </c>
      <c r="F1308" s="38" t="inlineStr">
        <is>
          <t>NFV  :TENDA ATACADO LTDA</t>
        </is>
      </c>
      <c r="G1308" s="38" t="inlineStr">
        <is>
          <t>MARIO FRUGIS (01.04.01)</t>
        </is>
      </c>
      <c r="H1308" s="38" t="inlineStr">
        <is>
          <t>NFV</t>
        </is>
      </c>
      <c r="I1308" s="40" t="n">
        <v>35.7</v>
      </c>
      <c r="J1308" s="40" t="n">
        <v>0</v>
      </c>
      <c r="K1308" s="6">
        <f>I1308-J1308</f>
        <v/>
      </c>
      <c r="L1308" s="6">
        <f>IF(H1308="DISTRATO",0,I1308)</f>
        <v/>
      </c>
    </row>
    <row r="1309">
      <c r="A1309" s="38" t="inlineStr">
        <is>
          <t>Conta corrente MFRUGIS10.XLS</t>
        </is>
      </c>
      <c r="B1309" s="39" t="n">
        <v>40311</v>
      </c>
      <c r="C1309" s="4" t="n">
        <v>40299</v>
      </c>
      <c r="D1309" s="5">
        <f>YEAR(C1309)</f>
        <v/>
      </c>
      <c r="E1309" s="5">
        <f>MONTH(C1309)</f>
        <v/>
      </c>
      <c r="F1309" s="38" t="inlineStr">
        <is>
          <t>NFV  :TENDA ATACADO LTDA</t>
        </is>
      </c>
      <c r="G1309" s="38" t="inlineStr">
        <is>
          <t>MARIO FRUGIS (01.04.01)</t>
        </is>
      </c>
      <c r="H1309" s="38" t="inlineStr">
        <is>
          <t>NFV</t>
        </is>
      </c>
      <c r="I1309" s="40" t="n">
        <v>25.77</v>
      </c>
      <c r="J1309" s="40" t="n">
        <v>0</v>
      </c>
      <c r="K1309" s="6">
        <f>I1309-J1309</f>
        <v/>
      </c>
      <c r="L1309" s="6">
        <f>IF(H1309="DISTRATO",0,I1309)</f>
        <v/>
      </c>
    </row>
    <row r="1310">
      <c r="A1310" s="38" t="inlineStr">
        <is>
          <t>Conta corrente MFRUGIS10.XLS</t>
        </is>
      </c>
      <c r="B1310" s="39" t="n">
        <v>40311</v>
      </c>
      <c r="C1310" s="4" t="n">
        <v>40299</v>
      </c>
      <c r="D1310" s="5">
        <f>YEAR(C1310)</f>
        <v/>
      </c>
      <c r="E1310" s="5">
        <f>MONTH(C1310)</f>
        <v/>
      </c>
      <c r="F1310" s="38" t="inlineStr">
        <is>
          <t>NFV  :TENDA ATACADO LTDA</t>
        </is>
      </c>
      <c r="G1310" s="38" t="inlineStr">
        <is>
          <t>MARIO FRUGIS (01.04.01)</t>
        </is>
      </c>
      <c r="H1310" s="38" t="inlineStr">
        <is>
          <t>NFV</t>
        </is>
      </c>
      <c r="I1310" s="40" t="n">
        <v>37.79</v>
      </c>
      <c r="J1310" s="40" t="n">
        <v>0</v>
      </c>
      <c r="K1310" s="6">
        <f>I1310-J1310</f>
        <v/>
      </c>
      <c r="L1310" s="6">
        <f>IF(H1310="DISTRATO",0,I1310)</f>
        <v/>
      </c>
    </row>
    <row r="1311">
      <c r="A1311" s="38" t="inlineStr">
        <is>
          <t>Conta corrente MFRUGIS10.XLS</t>
        </is>
      </c>
      <c r="B1311" s="39" t="n">
        <v>40311</v>
      </c>
      <c r="C1311" s="4" t="n">
        <v>40299</v>
      </c>
      <c r="D1311" s="5">
        <f>YEAR(C1311)</f>
        <v/>
      </c>
      <c r="E1311" s="5">
        <f>MONTH(C1311)</f>
        <v/>
      </c>
      <c r="F1311" s="38" t="inlineStr">
        <is>
          <t>NFV  :TENDA ATACADO LTDA</t>
        </is>
      </c>
      <c r="G1311" s="38" t="inlineStr">
        <is>
          <t>MARIO FRUGIS (01.04.01)</t>
        </is>
      </c>
      <c r="H1311" s="38" t="inlineStr">
        <is>
          <t>NFV</t>
        </is>
      </c>
      <c r="I1311" s="40" t="n">
        <v>40.38</v>
      </c>
      <c r="J1311" s="40" t="n">
        <v>0</v>
      </c>
      <c r="K1311" s="6">
        <f>I1311-J1311</f>
        <v/>
      </c>
      <c r="L1311" s="6">
        <f>IF(H1311="DISTRATO",0,I1311)</f>
        <v/>
      </c>
    </row>
    <row r="1312">
      <c r="A1312" s="38" t="inlineStr">
        <is>
          <t>Conta corrente MFRUGIS10.XLS</t>
        </is>
      </c>
      <c r="B1312" s="39" t="n">
        <v>40311</v>
      </c>
      <c r="C1312" s="4" t="n">
        <v>40299</v>
      </c>
      <c r="D1312" s="5">
        <f>YEAR(C1312)</f>
        <v/>
      </c>
      <c r="E1312" s="5">
        <f>MONTH(C1312)</f>
        <v/>
      </c>
      <c r="F1312" s="38" t="inlineStr">
        <is>
          <t>NFV  :TENDA ATACADO LTDA</t>
        </is>
      </c>
      <c r="G1312" s="38" t="inlineStr">
        <is>
          <t>MARIO FRUGIS (01.04.01)</t>
        </is>
      </c>
      <c r="H1312" s="38" t="inlineStr">
        <is>
          <t>NFV</t>
        </is>
      </c>
      <c r="I1312" s="40" t="n">
        <v>17.97</v>
      </c>
      <c r="J1312" s="40" t="n">
        <v>0</v>
      </c>
      <c r="K1312" s="6">
        <f>I1312-J1312</f>
        <v/>
      </c>
      <c r="L1312" s="6">
        <f>IF(H1312="DISTRATO",0,I1312)</f>
        <v/>
      </c>
    </row>
    <row r="1313">
      <c r="A1313" s="38" t="inlineStr">
        <is>
          <t>Conta corrente MFRUGIS10.XLS</t>
        </is>
      </c>
      <c r="B1313" s="39" t="n">
        <v>40315</v>
      </c>
      <c r="C1313" s="4" t="n">
        <v>40299</v>
      </c>
      <c r="D1313" s="5">
        <f>YEAR(C1313)</f>
        <v/>
      </c>
      <c r="E1313" s="5">
        <f>MONTH(C1313)</f>
        <v/>
      </c>
      <c r="F1313" s="38" t="inlineStr">
        <is>
          <t>DEV  :TENDA ATACADO LTDA</t>
        </is>
      </c>
      <c r="G1313" s="38" t="inlineStr">
        <is>
          <t>MARIO FRUGIS (01.04.01)</t>
        </is>
      </c>
      <c r="H1313" s="38" t="inlineStr">
        <is>
          <t>DEVOLUCAO</t>
        </is>
      </c>
      <c r="I1313" s="40" t="n">
        <v>-1.13</v>
      </c>
      <c r="J1313" s="40" t="n">
        <v>0</v>
      </c>
      <c r="K1313" s="6">
        <f>I1313-J1313</f>
        <v/>
      </c>
      <c r="L1313" s="6">
        <f>IF(H1313="DISTRATO",0,I1313)</f>
        <v/>
      </c>
    </row>
    <row r="1314">
      <c r="A1314" s="38" t="inlineStr">
        <is>
          <t>Conta corrente MFRUGIS10.XLS</t>
        </is>
      </c>
      <c r="B1314" s="39" t="n">
        <v>40325</v>
      </c>
      <c r="C1314" s="4" t="n">
        <v>40299</v>
      </c>
      <c r="D1314" s="5">
        <f>YEAR(C1314)</f>
        <v/>
      </c>
      <c r="E1314" s="5">
        <f>MONTH(C1314)</f>
        <v/>
      </c>
      <c r="F1314" s="38" t="inlineStr">
        <is>
          <t>NFV  :TENDA ATACADO LTDA</t>
        </is>
      </c>
      <c r="G1314" s="38" t="inlineStr">
        <is>
          <t>MARIO FRUGIS (01.04.01)</t>
        </is>
      </c>
      <c r="H1314" s="38" t="inlineStr">
        <is>
          <t>NFV</t>
        </is>
      </c>
      <c r="I1314" s="40" t="n">
        <v>26.1</v>
      </c>
      <c r="J1314" s="40" t="n">
        <v>0</v>
      </c>
      <c r="K1314" s="6">
        <f>I1314-J1314</f>
        <v/>
      </c>
      <c r="L1314" s="6">
        <f>IF(H1314="DISTRATO",0,I1314)</f>
        <v/>
      </c>
    </row>
    <row r="1315">
      <c r="A1315" s="38" t="inlineStr">
        <is>
          <t>Conta corrente MFRUGIS10.XLS</t>
        </is>
      </c>
      <c r="B1315" s="39" t="n">
        <v>40326</v>
      </c>
      <c r="C1315" s="4" t="n">
        <v>40299</v>
      </c>
      <c r="D1315" s="5">
        <f>YEAR(C1315)</f>
        <v/>
      </c>
      <c r="E1315" s="5">
        <f>MONTH(C1315)</f>
        <v/>
      </c>
      <c r="F1315" s="38" t="inlineStr">
        <is>
          <t>NFV  :TENDA ATACADO LTDA</t>
        </is>
      </c>
      <c r="G1315" s="38" t="inlineStr">
        <is>
          <t>MARIO FRUGIS (01.04.01)</t>
        </is>
      </c>
      <c r="H1315" s="38" t="inlineStr">
        <is>
          <t>NFV</t>
        </is>
      </c>
      <c r="I1315" s="40" t="n">
        <v>13.56</v>
      </c>
      <c r="J1315" s="40" t="n">
        <v>0</v>
      </c>
      <c r="K1315" s="6">
        <f>I1315-J1315</f>
        <v/>
      </c>
      <c r="L1315" s="6">
        <f>IF(H1315="DISTRATO",0,I1315)</f>
        <v/>
      </c>
    </row>
    <row r="1316">
      <c r="A1316" s="38" t="inlineStr">
        <is>
          <t>Conta corrente MFRUGIS10.XLS</t>
        </is>
      </c>
      <c r="B1316" s="39" t="n">
        <v>40326</v>
      </c>
      <c r="C1316" s="4" t="n">
        <v>40299</v>
      </c>
      <c r="D1316" s="5">
        <f>YEAR(C1316)</f>
        <v/>
      </c>
      <c r="E1316" s="5">
        <f>MONTH(C1316)</f>
        <v/>
      </c>
      <c r="F1316" s="38" t="inlineStr">
        <is>
          <t>NFV  :TENDA ATACADO LTDA</t>
        </is>
      </c>
      <c r="G1316" s="38" t="inlineStr">
        <is>
          <t>MARIO FRUGIS (01.04.01)</t>
        </is>
      </c>
      <c r="H1316" s="38" t="inlineStr">
        <is>
          <t>NFV</t>
        </is>
      </c>
      <c r="I1316" s="40" t="n">
        <v>13.56</v>
      </c>
      <c r="J1316" s="40" t="n">
        <v>0</v>
      </c>
      <c r="K1316" s="6">
        <f>I1316-J1316</f>
        <v/>
      </c>
      <c r="L1316" s="6">
        <f>IF(H1316="DISTRATO",0,I1316)</f>
        <v/>
      </c>
    </row>
    <row r="1317">
      <c r="A1317" s="38" t="inlineStr">
        <is>
          <t>Conta corrente MFRUGIS10.XLS</t>
        </is>
      </c>
      <c r="B1317" s="39" t="n">
        <v>40326</v>
      </c>
      <c r="C1317" s="4" t="n">
        <v>40299</v>
      </c>
      <c r="D1317" s="5">
        <f>YEAR(C1317)</f>
        <v/>
      </c>
      <c r="E1317" s="5">
        <f>MONTH(C1317)</f>
        <v/>
      </c>
      <c r="F1317" s="38" t="inlineStr">
        <is>
          <t>NFV  :TENDA ATACADO LTDA</t>
        </is>
      </c>
      <c r="G1317" s="38" t="inlineStr">
        <is>
          <t>MARIO FRUGIS (01.04.01)</t>
        </is>
      </c>
      <c r="H1317" s="38" t="inlineStr">
        <is>
          <t>NFV</t>
        </is>
      </c>
      <c r="I1317" s="40" t="n">
        <v>27.12</v>
      </c>
      <c r="J1317" s="40" t="n">
        <v>0</v>
      </c>
      <c r="K1317" s="6">
        <f>I1317-J1317</f>
        <v/>
      </c>
      <c r="L1317" s="6">
        <f>IF(H1317="DISTRATO",0,I1317)</f>
        <v/>
      </c>
    </row>
    <row r="1318">
      <c r="A1318" s="38" t="inlineStr">
        <is>
          <t>Conta corrente MFRUGIS10.XLS</t>
        </is>
      </c>
      <c r="B1318" s="39" t="n">
        <v>40326</v>
      </c>
      <c r="C1318" s="4" t="n">
        <v>40299</v>
      </c>
      <c r="D1318" s="5">
        <f>YEAR(C1318)</f>
        <v/>
      </c>
      <c r="E1318" s="5">
        <f>MONTH(C1318)</f>
        <v/>
      </c>
      <c r="F1318" s="38" t="inlineStr">
        <is>
          <t>NFV  :TENDA ATACADO LTDA</t>
        </is>
      </c>
      <c r="G1318" s="38" t="inlineStr">
        <is>
          <t>MARIO FRUGIS (01.04.01)</t>
        </is>
      </c>
      <c r="H1318" s="38" t="inlineStr">
        <is>
          <t>NFV</t>
        </is>
      </c>
      <c r="I1318" s="40" t="n">
        <v>59.48</v>
      </c>
      <c r="J1318" s="40" t="n">
        <v>0</v>
      </c>
      <c r="K1318" s="6">
        <f>I1318-J1318</f>
        <v/>
      </c>
      <c r="L1318" s="6">
        <f>IF(H1318="DISTRATO",0,I1318)</f>
        <v/>
      </c>
    </row>
    <row r="1319">
      <c r="A1319" s="38" t="inlineStr">
        <is>
          <t>Conta corrente MFRUGIS10.XLS</t>
        </is>
      </c>
      <c r="B1319" s="39" t="n">
        <v>40326</v>
      </c>
      <c r="C1319" s="4" t="n">
        <v>40299</v>
      </c>
      <c r="D1319" s="5">
        <f>YEAR(C1319)</f>
        <v/>
      </c>
      <c r="E1319" s="5">
        <f>MONTH(C1319)</f>
        <v/>
      </c>
      <c r="F1319" s="38" t="inlineStr">
        <is>
          <t>NFV  :TENDA ATACADO LTDA</t>
        </is>
      </c>
      <c r="G1319" s="38" t="inlineStr">
        <is>
          <t>MARIO FRUGIS (01.04.01)</t>
        </is>
      </c>
      <c r="H1319" s="38" t="inlineStr">
        <is>
          <t>NFV</t>
        </is>
      </c>
      <c r="I1319" s="40" t="n">
        <v>7.63</v>
      </c>
      <c r="J1319" s="40" t="n">
        <v>0</v>
      </c>
      <c r="K1319" s="6">
        <f>I1319-J1319</f>
        <v/>
      </c>
      <c r="L1319" s="6">
        <f>IF(H1319="DISTRATO",0,I1319)</f>
        <v/>
      </c>
    </row>
    <row r="1320">
      <c r="A1320" s="38" t="inlineStr">
        <is>
          <t>Conta corrente MFRUGIS10.XLS</t>
        </is>
      </c>
      <c r="B1320" s="39" t="n">
        <v>40326</v>
      </c>
      <c r="C1320" s="4" t="n">
        <v>40299</v>
      </c>
      <c r="D1320" s="5">
        <f>YEAR(C1320)</f>
        <v/>
      </c>
      <c r="E1320" s="5">
        <f>MONTH(C1320)</f>
        <v/>
      </c>
      <c r="F1320" s="38" t="inlineStr">
        <is>
          <t>NFV  :TENDA ATACADO LTDA</t>
        </is>
      </c>
      <c r="G1320" s="38" t="inlineStr">
        <is>
          <t>MARIO FRUGIS (01.04.01)</t>
        </is>
      </c>
      <c r="H1320" s="38" t="inlineStr">
        <is>
          <t>NFV</t>
        </is>
      </c>
      <c r="I1320" s="40" t="n">
        <v>60.54</v>
      </c>
      <c r="J1320" s="40" t="n">
        <v>0</v>
      </c>
      <c r="K1320" s="6">
        <f>I1320-J1320</f>
        <v/>
      </c>
      <c r="L1320" s="6">
        <f>IF(H1320="DISTRATO",0,I1320)</f>
        <v/>
      </c>
    </row>
    <row r="1321">
      <c r="A1321" s="38" t="inlineStr">
        <is>
          <t>Conta corrente MFRUGIS10.XLS</t>
        </is>
      </c>
      <c r="B1321" s="39" t="n">
        <v>40326</v>
      </c>
      <c r="C1321" s="4" t="n">
        <v>40299</v>
      </c>
      <c r="D1321" s="5">
        <f>YEAR(C1321)</f>
        <v/>
      </c>
      <c r="E1321" s="5">
        <f>MONTH(C1321)</f>
        <v/>
      </c>
      <c r="F1321" s="38" t="inlineStr">
        <is>
          <t>NFV  :TENDA ATACADO LTDA</t>
        </is>
      </c>
      <c r="G1321" s="38" t="inlineStr">
        <is>
          <t>MARIO FRUGIS (01.04.01)</t>
        </is>
      </c>
      <c r="H1321" s="38" t="inlineStr">
        <is>
          <t>NFV</t>
        </is>
      </c>
      <c r="I1321" s="40" t="n">
        <v>62.44</v>
      </c>
      <c r="J1321" s="40" t="n">
        <v>0</v>
      </c>
      <c r="K1321" s="6">
        <f>I1321-J1321</f>
        <v/>
      </c>
      <c r="L1321" s="6">
        <f>IF(H1321="DISTRATO",0,I1321)</f>
        <v/>
      </c>
    </row>
    <row r="1322">
      <c r="A1322" s="38" t="inlineStr">
        <is>
          <t>Conta corrente MFRUGIS10.XLS</t>
        </is>
      </c>
      <c r="B1322" s="39" t="n">
        <v>40326</v>
      </c>
      <c r="C1322" s="4" t="n">
        <v>40299</v>
      </c>
      <c r="D1322" s="5">
        <f>YEAR(C1322)</f>
        <v/>
      </c>
      <c r="E1322" s="5">
        <f>MONTH(C1322)</f>
        <v/>
      </c>
      <c r="F1322" s="38" t="inlineStr">
        <is>
          <t>NFV  :TENDA ATACADO LTDA</t>
        </is>
      </c>
      <c r="G1322" s="38" t="inlineStr">
        <is>
          <t>MARIO FRUGIS (01.04.01)</t>
        </is>
      </c>
      <c r="H1322" s="38" t="inlineStr">
        <is>
          <t>NFV</t>
        </is>
      </c>
      <c r="I1322" s="40" t="n">
        <v>25.86</v>
      </c>
      <c r="J1322" s="40" t="n">
        <v>0</v>
      </c>
      <c r="K1322" s="6">
        <f>I1322-J1322</f>
        <v/>
      </c>
      <c r="L1322" s="6">
        <f>IF(H1322="DISTRATO",0,I1322)</f>
        <v/>
      </c>
    </row>
    <row r="1323">
      <c r="A1323" s="38" t="inlineStr">
        <is>
          <t>Conta corrente MFRUGIS10.XLS</t>
        </is>
      </c>
      <c r="B1323" s="39" t="n">
        <v>40326</v>
      </c>
      <c r="C1323" s="4" t="n">
        <v>40299</v>
      </c>
      <c r="D1323" s="5">
        <f>YEAR(C1323)</f>
        <v/>
      </c>
      <c r="E1323" s="5">
        <f>MONTH(C1323)</f>
        <v/>
      </c>
      <c r="F1323" s="38" t="inlineStr">
        <is>
          <t>NFV  :TENDA ATACADO LTDA</t>
        </is>
      </c>
      <c r="G1323" s="38" t="inlineStr">
        <is>
          <t>MARIO FRUGIS (01.04.01)</t>
        </is>
      </c>
      <c r="H1323" s="38" t="inlineStr">
        <is>
          <t>NFV</t>
        </is>
      </c>
      <c r="I1323" s="40" t="n">
        <v>64.19</v>
      </c>
      <c r="J1323" s="40" t="n">
        <v>0</v>
      </c>
      <c r="K1323" s="6">
        <f>I1323-J1323</f>
        <v/>
      </c>
      <c r="L1323" s="6">
        <f>IF(H1323="DISTRATO",0,I1323)</f>
        <v/>
      </c>
    </row>
    <row r="1324">
      <c r="A1324" s="38" t="inlineStr">
        <is>
          <t>Conta corrente MFRUGIS10.XLS</t>
        </is>
      </c>
      <c r="B1324" s="39" t="n">
        <v>40329</v>
      </c>
      <c r="C1324" s="4" t="n">
        <v>40299</v>
      </c>
      <c r="D1324" s="5">
        <f>YEAR(C1324)</f>
        <v/>
      </c>
      <c r="E1324" s="5">
        <f>MONTH(C1324)</f>
        <v/>
      </c>
      <c r="F1324" s="38" t="inlineStr">
        <is>
          <t>NFV  :TENDA ATACADO LTDA</t>
        </is>
      </c>
      <c r="G1324" s="38" t="inlineStr">
        <is>
          <t>MARIO FRUGIS (01.04.01)</t>
        </is>
      </c>
      <c r="H1324" s="38" t="inlineStr">
        <is>
          <t>NFV</t>
        </is>
      </c>
      <c r="I1324" s="40" t="n">
        <v>92.68000000000001</v>
      </c>
      <c r="J1324" s="40" t="n">
        <v>0</v>
      </c>
      <c r="K1324" s="6">
        <f>I1324-J1324</f>
        <v/>
      </c>
      <c r="L1324" s="6">
        <f>IF(H1324="DISTRATO",0,I1324)</f>
        <v/>
      </c>
    </row>
    <row r="1325">
      <c r="A1325" s="38" t="inlineStr">
        <is>
          <t>Conta corrente MFRUGIS10.XLS</t>
        </is>
      </c>
      <c r="B1325" s="39" t="n">
        <v>40329</v>
      </c>
      <c r="C1325" s="4" t="n">
        <v>40299</v>
      </c>
      <c r="D1325" s="5">
        <f>YEAR(C1325)</f>
        <v/>
      </c>
      <c r="E1325" s="5">
        <f>MONTH(C1325)</f>
        <v/>
      </c>
      <c r="F1325" s="38" t="inlineStr">
        <is>
          <t>NFV  :TENDA ATACADO LTDA</t>
        </is>
      </c>
      <c r="G1325" s="38" t="inlineStr">
        <is>
          <t>MARIO FRUGIS (01.04.01)</t>
        </is>
      </c>
      <c r="H1325" s="38" t="inlineStr">
        <is>
          <t>NFV</t>
        </is>
      </c>
      <c r="I1325" s="40" t="n">
        <v>40.68</v>
      </c>
      <c r="J1325" s="40" t="n">
        <v>0</v>
      </c>
      <c r="K1325" s="6">
        <f>I1325-J1325</f>
        <v/>
      </c>
      <c r="L1325" s="6">
        <f>IF(H1325="DISTRATO",0,I1325)</f>
        <v/>
      </c>
    </row>
    <row r="1326">
      <c r="A1326" s="38" t="inlineStr">
        <is>
          <t>Conta corrente MFRUGIS10.XLS</t>
        </is>
      </c>
      <c r="B1326" s="39" t="n">
        <v>40329</v>
      </c>
      <c r="C1326" s="4" t="n">
        <v>40299</v>
      </c>
      <c r="D1326" s="5">
        <f>YEAR(C1326)</f>
        <v/>
      </c>
      <c r="E1326" s="5">
        <f>MONTH(C1326)</f>
        <v/>
      </c>
      <c r="F1326" s="38" t="inlineStr">
        <is>
          <t>NFV  :TENDA ATACADO LTDA</t>
        </is>
      </c>
      <c r="G1326" s="38" t="inlineStr">
        <is>
          <t>MARIO FRUGIS (01.04.01)</t>
        </is>
      </c>
      <c r="H1326" s="38" t="inlineStr">
        <is>
          <t>NFV</t>
        </is>
      </c>
      <c r="I1326" s="40" t="n">
        <v>43.18</v>
      </c>
      <c r="J1326" s="40" t="n">
        <v>0</v>
      </c>
      <c r="K1326" s="6">
        <f>I1326-J1326</f>
        <v/>
      </c>
      <c r="L1326" s="6">
        <f>IF(H1326="DISTRATO",0,I1326)</f>
        <v/>
      </c>
    </row>
    <row r="1327">
      <c r="A1327" s="38" t="inlineStr">
        <is>
          <t>Conta corrente MFRUGIS10.XLS</t>
        </is>
      </c>
      <c r="B1327" s="39" t="n">
        <v>40329</v>
      </c>
      <c r="C1327" s="4" t="n">
        <v>40299</v>
      </c>
      <c r="D1327" s="5">
        <f>YEAR(C1327)</f>
        <v/>
      </c>
      <c r="E1327" s="5">
        <f>MONTH(C1327)</f>
        <v/>
      </c>
      <c r="F1327" s="38" t="inlineStr">
        <is>
          <t>NFV  :TENDA ATACADO LTDA</t>
        </is>
      </c>
      <c r="G1327" s="38" t="inlineStr">
        <is>
          <t>MARIO FRUGIS (01.04.01)</t>
        </is>
      </c>
      <c r="H1327" s="38" t="inlineStr">
        <is>
          <t>NFV</t>
        </is>
      </c>
      <c r="I1327" s="40" t="n">
        <v>54.24</v>
      </c>
      <c r="J1327" s="40" t="n">
        <v>0</v>
      </c>
      <c r="K1327" s="6">
        <f>I1327-J1327</f>
        <v/>
      </c>
      <c r="L1327" s="6">
        <f>IF(H1327="DISTRATO",0,I1327)</f>
        <v/>
      </c>
    </row>
    <row r="1328">
      <c r="A1328" s="38" t="inlineStr">
        <is>
          <t>Conta corrente MFRUGIS10.XLS</t>
        </is>
      </c>
      <c r="B1328" s="39" t="n">
        <v>40329</v>
      </c>
      <c r="C1328" s="4" t="n">
        <v>40299</v>
      </c>
      <c r="D1328" s="5">
        <f>YEAR(C1328)</f>
        <v/>
      </c>
      <c r="E1328" s="5">
        <f>MONTH(C1328)</f>
        <v/>
      </c>
      <c r="F1328" s="38" t="inlineStr">
        <is>
          <t>NFV  :TENDA ATACADO LTDA</t>
        </is>
      </c>
      <c r="G1328" s="38" t="inlineStr">
        <is>
          <t>MARIO FRUGIS (01.04.01)</t>
        </is>
      </c>
      <c r="H1328" s="38" t="inlineStr">
        <is>
          <t>NFV</t>
        </is>
      </c>
      <c r="I1328" s="40" t="n">
        <v>50.61</v>
      </c>
      <c r="J1328" s="40" t="n">
        <v>0</v>
      </c>
      <c r="K1328" s="6">
        <f>I1328-J1328</f>
        <v/>
      </c>
      <c r="L1328" s="6">
        <f>IF(H1328="DISTRATO",0,I1328)</f>
        <v/>
      </c>
    </row>
    <row r="1329">
      <c r="A1329" s="38" t="inlineStr">
        <is>
          <t>Conta corrente MFRUGIS10.XLS</t>
        </is>
      </c>
      <c r="B1329" s="39" t="n">
        <v>40329</v>
      </c>
      <c r="C1329" s="4" t="n">
        <v>40299</v>
      </c>
      <c r="D1329" s="5">
        <f>YEAR(C1329)</f>
        <v/>
      </c>
      <c r="E1329" s="5">
        <f>MONTH(C1329)</f>
        <v/>
      </c>
      <c r="F1329" s="38" t="inlineStr">
        <is>
          <t>NFV  :TENDA ATACADO LTDA</t>
        </is>
      </c>
      <c r="G1329" s="38" t="inlineStr">
        <is>
          <t>MARIO FRUGIS (01.04.01)</t>
        </is>
      </c>
      <c r="H1329" s="38" t="inlineStr">
        <is>
          <t>NFV</t>
        </is>
      </c>
      <c r="I1329" s="40" t="n">
        <v>33.42</v>
      </c>
      <c r="J1329" s="40" t="n">
        <v>0</v>
      </c>
      <c r="K1329" s="6">
        <f>I1329-J1329</f>
        <v/>
      </c>
      <c r="L1329" s="6">
        <f>IF(H1329="DISTRATO",0,I1329)</f>
        <v/>
      </c>
    </row>
    <row r="1330">
      <c r="A1330" s="38" t="inlineStr">
        <is>
          <t>Conta corrente MFRUGIS10.XLS</t>
        </is>
      </c>
      <c r="B1330" s="39" t="n">
        <v>40329</v>
      </c>
      <c r="C1330" s="4" t="n">
        <v>40299</v>
      </c>
      <c r="D1330" s="5">
        <f>YEAR(C1330)</f>
        <v/>
      </c>
      <c r="E1330" s="5">
        <f>MONTH(C1330)</f>
        <v/>
      </c>
      <c r="F1330" s="38" t="inlineStr">
        <is>
          <t>NFV  :TENDA ATACADO LTDA</t>
        </is>
      </c>
      <c r="G1330" s="38" t="inlineStr">
        <is>
          <t>MARIO FRUGIS (01.04.01)</t>
        </is>
      </c>
      <c r="H1330" s="38" t="inlineStr">
        <is>
          <t>NFV</t>
        </is>
      </c>
      <c r="I1330" s="40" t="n">
        <v>19.6</v>
      </c>
      <c r="J1330" s="40" t="n">
        <v>0</v>
      </c>
      <c r="K1330" s="6">
        <f>I1330-J1330</f>
        <v/>
      </c>
      <c r="L1330" s="6">
        <f>IF(H1330="DISTRATO",0,I1330)</f>
        <v/>
      </c>
    </row>
    <row r="1331">
      <c r="A1331" s="38" t="inlineStr">
        <is>
          <t>Conta corrente MFRUGIS10.XLS</t>
        </is>
      </c>
      <c r="B1331" s="39" t="n">
        <v>40329</v>
      </c>
      <c r="C1331" s="4" t="n">
        <v>40299</v>
      </c>
      <c r="D1331" s="5">
        <f>YEAR(C1331)</f>
        <v/>
      </c>
      <c r="E1331" s="5">
        <f>MONTH(C1331)</f>
        <v/>
      </c>
      <c r="F1331" s="38" t="inlineStr">
        <is>
          <t>NFV  :TENDA ATACADO LTDA</t>
        </is>
      </c>
      <c r="G1331" s="38" t="inlineStr">
        <is>
          <t>MARIO FRUGIS (01.04.01)</t>
        </is>
      </c>
      <c r="H1331" s="38" t="inlineStr">
        <is>
          <t>NFV</t>
        </is>
      </c>
      <c r="I1331" s="40" t="n">
        <v>75.45</v>
      </c>
      <c r="J1331" s="40" t="n">
        <v>0</v>
      </c>
      <c r="K1331" s="6">
        <f>I1331-J1331</f>
        <v/>
      </c>
      <c r="L1331" s="6">
        <f>IF(H1331="DISTRATO",0,I1331)</f>
        <v/>
      </c>
    </row>
    <row r="1332">
      <c r="A1332" s="38" t="inlineStr">
        <is>
          <t>Conta corrente MFRUGIS10.XLS</t>
        </is>
      </c>
      <c r="B1332" s="39" t="n">
        <v>40329</v>
      </c>
      <c r="C1332" s="4" t="n">
        <v>40299</v>
      </c>
      <c r="D1332" s="5">
        <f>YEAR(C1332)</f>
        <v/>
      </c>
      <c r="E1332" s="5">
        <f>MONTH(C1332)</f>
        <v/>
      </c>
      <c r="F1332" s="38" t="inlineStr">
        <is>
          <t>NFV  :TENDA ATACADO LTDA</t>
        </is>
      </c>
      <c r="G1332" s="38" t="inlineStr">
        <is>
          <t>MARIO FRUGIS (01.04.01)</t>
        </is>
      </c>
      <c r="H1332" s="38" t="inlineStr">
        <is>
          <t>NFV</t>
        </is>
      </c>
      <c r="I1332" s="40" t="n">
        <v>24.83</v>
      </c>
      <c r="J1332" s="40" t="n">
        <v>0</v>
      </c>
      <c r="K1332" s="6">
        <f>I1332-J1332</f>
        <v/>
      </c>
      <c r="L1332" s="6">
        <f>IF(H1332="DISTRATO",0,I1332)</f>
        <v/>
      </c>
    </row>
    <row r="1333">
      <c r="A1333" s="38" t="inlineStr">
        <is>
          <t>Conta corrente MFRUGIS10.XLS</t>
        </is>
      </c>
      <c r="B1333" s="39" t="n">
        <v>40329</v>
      </c>
      <c r="C1333" s="4" t="n">
        <v>40299</v>
      </c>
      <c r="D1333" s="5">
        <f>YEAR(C1333)</f>
        <v/>
      </c>
      <c r="E1333" s="5">
        <f>MONTH(C1333)</f>
        <v/>
      </c>
      <c r="F1333" s="38" t="inlineStr">
        <is>
          <t>NFV  :TENDA ATACADO LTDA</t>
        </is>
      </c>
      <c r="G1333" s="38" t="inlineStr">
        <is>
          <t>MARIO FRUGIS (01.04.01)</t>
        </is>
      </c>
      <c r="H1333" s="38" t="inlineStr">
        <is>
          <t>NFV</t>
        </is>
      </c>
      <c r="I1333" s="40" t="n">
        <v>58.41</v>
      </c>
      <c r="J1333" s="40" t="n">
        <v>0</v>
      </c>
      <c r="K1333" s="6">
        <f>I1333-J1333</f>
        <v/>
      </c>
      <c r="L1333" s="6">
        <f>IF(H1333="DISTRATO",0,I1333)</f>
        <v/>
      </c>
    </row>
    <row r="1334">
      <c r="A1334" s="38" t="inlineStr">
        <is>
          <t>Conta corrente MFRUGIS10.XLS</t>
        </is>
      </c>
      <c r="B1334" s="39" t="n">
        <v>40329</v>
      </c>
      <c r="C1334" s="4" t="n">
        <v>40299</v>
      </c>
      <c r="D1334" s="5">
        <f>YEAR(C1334)</f>
        <v/>
      </c>
      <c r="E1334" s="5">
        <f>MONTH(C1334)</f>
        <v/>
      </c>
      <c r="F1334" s="38" t="inlineStr">
        <is>
          <t>NFV  :TENDA ATACADO LTDA</t>
        </is>
      </c>
      <c r="G1334" s="38" t="inlineStr">
        <is>
          <t>MARIO FRUGIS (01.04.01)</t>
        </is>
      </c>
      <c r="H1334" s="38" t="inlineStr">
        <is>
          <t>NFV</t>
        </is>
      </c>
      <c r="I1334" s="40" t="n">
        <v>60.94</v>
      </c>
      <c r="J1334" s="40" t="n">
        <v>0</v>
      </c>
      <c r="K1334" s="6">
        <f>I1334-J1334</f>
        <v/>
      </c>
      <c r="L1334" s="6">
        <f>IF(H1334="DISTRATO",0,I1334)</f>
        <v/>
      </c>
    </row>
    <row r="1335">
      <c r="A1335" s="38" t="inlineStr">
        <is>
          <t>Conta corrente MFRUGIS10.XLS</t>
        </is>
      </c>
      <c r="B1335" s="39" t="n">
        <v>40329</v>
      </c>
      <c r="C1335" s="4" t="n">
        <v>40299</v>
      </c>
      <c r="D1335" s="5">
        <f>YEAR(C1335)</f>
        <v/>
      </c>
      <c r="E1335" s="5">
        <f>MONTH(C1335)</f>
        <v/>
      </c>
      <c r="F1335" s="38" t="inlineStr">
        <is>
          <t>NFV  :TENDA ATACADO LTDA</t>
        </is>
      </c>
      <c r="G1335" s="38" t="inlineStr">
        <is>
          <t>MARIO FRUGIS (01.04.01)</t>
        </is>
      </c>
      <c r="H1335" s="38" t="inlineStr">
        <is>
          <t>NFV</t>
        </is>
      </c>
      <c r="I1335" s="40" t="n">
        <v>100.38</v>
      </c>
      <c r="J1335" s="40" t="n">
        <v>0</v>
      </c>
      <c r="K1335" s="6">
        <f>I1335-J1335</f>
        <v/>
      </c>
      <c r="L1335" s="6">
        <f>IF(H1335="DISTRATO",0,I1335)</f>
        <v/>
      </c>
    </row>
    <row r="1336">
      <c r="A1336" s="38" t="inlineStr">
        <is>
          <t>Conta corrente MFRUGIS10.XLS</t>
        </is>
      </c>
      <c r="B1336" s="39" t="n">
        <v>40329</v>
      </c>
      <c r="C1336" s="4" t="n">
        <v>40299</v>
      </c>
      <c r="D1336" s="5">
        <f>YEAR(C1336)</f>
        <v/>
      </c>
      <c r="E1336" s="5">
        <f>MONTH(C1336)</f>
        <v/>
      </c>
      <c r="F1336" s="38" t="inlineStr">
        <is>
          <t>NFV  :TENDA ATACADO LTDA</t>
        </is>
      </c>
      <c r="G1336" s="38" t="inlineStr">
        <is>
          <t>MARIO FRUGIS (01.04.01)</t>
        </is>
      </c>
      <c r="H1336" s="38" t="inlineStr">
        <is>
          <t>NFV</t>
        </is>
      </c>
      <c r="I1336" s="40" t="n">
        <v>64.19</v>
      </c>
      <c r="J1336" s="40" t="n">
        <v>0</v>
      </c>
      <c r="K1336" s="6">
        <f>I1336-J1336</f>
        <v/>
      </c>
      <c r="L1336" s="6">
        <f>IF(H1336="DISTRATO",0,I1336)</f>
        <v/>
      </c>
    </row>
    <row r="1337">
      <c r="A1337" s="38" t="inlineStr">
        <is>
          <t>Conta corrente MFRUGIS10.XLS</t>
        </is>
      </c>
      <c r="B1337" s="39" t="n">
        <v>40329</v>
      </c>
      <c r="C1337" s="4" t="n">
        <v>40299</v>
      </c>
      <c r="D1337" s="5">
        <f>YEAR(C1337)</f>
        <v/>
      </c>
      <c r="E1337" s="5">
        <f>MONTH(C1337)</f>
        <v/>
      </c>
      <c r="F1337" s="38" t="inlineStr">
        <is>
          <t>NFV  :TENDA ATACADO LTDA</t>
        </is>
      </c>
      <c r="G1337" s="38" t="inlineStr">
        <is>
          <t>MARIO FRUGIS (01.04.01)</t>
        </is>
      </c>
      <c r="H1337" s="38" t="inlineStr">
        <is>
          <t>NFV</t>
        </is>
      </c>
      <c r="I1337" s="40" t="n">
        <v>93.19</v>
      </c>
      <c r="J1337" s="40" t="n">
        <v>0</v>
      </c>
      <c r="K1337" s="6">
        <f>I1337-J1337</f>
        <v/>
      </c>
      <c r="L1337" s="6">
        <f>IF(H1337="DISTRATO",0,I1337)</f>
        <v/>
      </c>
    </row>
    <row r="1338">
      <c r="A1338" s="38" t="inlineStr">
        <is>
          <t>Conta corrente MFRUGIS10.XLS</t>
        </is>
      </c>
      <c r="B1338" s="39" t="n">
        <v>40340</v>
      </c>
      <c r="C1338" s="4" t="n">
        <v>40330</v>
      </c>
      <c r="D1338" s="5">
        <f>YEAR(C1338)</f>
        <v/>
      </c>
      <c r="E1338" s="5">
        <f>MONTH(C1338)</f>
        <v/>
      </c>
      <c r="F1338" s="38" t="inlineStr">
        <is>
          <t>NFV  :TENDA ATACADO LTDA</t>
        </is>
      </c>
      <c r="G1338" s="38" t="inlineStr">
        <is>
          <t>MARIO FRUGIS (01.04.01)</t>
        </is>
      </c>
      <c r="H1338" s="38" t="inlineStr">
        <is>
          <t>NFV</t>
        </is>
      </c>
      <c r="I1338" s="40" t="n">
        <v>32.78</v>
      </c>
      <c r="J1338" s="40" t="n">
        <v>0</v>
      </c>
      <c r="K1338" s="6">
        <f>I1338-J1338</f>
        <v/>
      </c>
      <c r="L1338" s="6">
        <f>IF(H1338="DISTRATO",0,I1338)</f>
        <v/>
      </c>
    </row>
    <row r="1339">
      <c r="A1339" s="38" t="inlineStr">
        <is>
          <t>Conta corrente MFRUGIS10.XLS</t>
        </is>
      </c>
      <c r="B1339" s="39" t="n">
        <v>40340</v>
      </c>
      <c r="C1339" s="4" t="n">
        <v>40330</v>
      </c>
      <c r="D1339" s="5">
        <f>YEAR(C1339)</f>
        <v/>
      </c>
      <c r="E1339" s="5">
        <f>MONTH(C1339)</f>
        <v/>
      </c>
      <c r="F1339" s="38" t="inlineStr">
        <is>
          <t>NFV  :TENDA ATACADO LTDA</t>
        </is>
      </c>
      <c r="G1339" s="38" t="inlineStr">
        <is>
          <t>MARIO FRUGIS (01.04.01)</t>
        </is>
      </c>
      <c r="H1339" s="38" t="inlineStr">
        <is>
          <t>NFV</t>
        </is>
      </c>
      <c r="I1339" s="40" t="n">
        <v>26.42</v>
      </c>
      <c r="J1339" s="40" t="n">
        <v>0</v>
      </c>
      <c r="K1339" s="6">
        <f>I1339-J1339</f>
        <v/>
      </c>
      <c r="L1339" s="6">
        <f>IF(H1339="DISTRATO",0,I1339)</f>
        <v/>
      </c>
    </row>
    <row r="1340">
      <c r="A1340" s="38" t="inlineStr">
        <is>
          <t>Conta corrente MFRUGIS10.XLS</t>
        </is>
      </c>
      <c r="B1340" s="39" t="n">
        <v>40340</v>
      </c>
      <c r="C1340" s="4" t="n">
        <v>40330</v>
      </c>
      <c r="D1340" s="5">
        <f>YEAR(C1340)</f>
        <v/>
      </c>
      <c r="E1340" s="5">
        <f>MONTH(C1340)</f>
        <v/>
      </c>
      <c r="F1340" s="38" t="inlineStr">
        <is>
          <t>NFV  :TENDA ATACADO LTDA</t>
        </is>
      </c>
      <c r="G1340" s="38" t="inlineStr">
        <is>
          <t>MARIO FRUGIS (01.04.01)</t>
        </is>
      </c>
      <c r="H1340" s="38" t="inlineStr">
        <is>
          <t>NFV</t>
        </is>
      </c>
      <c r="I1340" s="40" t="n">
        <v>26.92</v>
      </c>
      <c r="J1340" s="40" t="n">
        <v>0</v>
      </c>
      <c r="K1340" s="6">
        <f>I1340-J1340</f>
        <v/>
      </c>
      <c r="L1340" s="6">
        <f>IF(H1340="DISTRATO",0,I1340)</f>
        <v/>
      </c>
    </row>
    <row r="1341">
      <c r="A1341" s="38" t="inlineStr">
        <is>
          <t>Conta corrente MFRUGIS10.XLS</t>
        </is>
      </c>
      <c r="B1341" s="39" t="n">
        <v>40340</v>
      </c>
      <c r="C1341" s="4" t="n">
        <v>40330</v>
      </c>
      <c r="D1341" s="5">
        <f>YEAR(C1341)</f>
        <v/>
      </c>
      <c r="E1341" s="5">
        <f>MONTH(C1341)</f>
        <v/>
      </c>
      <c r="F1341" s="38" t="inlineStr">
        <is>
          <t>NFV  :TENDA ATACADO LTDA</t>
        </is>
      </c>
      <c r="G1341" s="38" t="inlineStr">
        <is>
          <t>MARIO FRUGIS (01.04.01)</t>
        </is>
      </c>
      <c r="H1341" s="38" t="inlineStr">
        <is>
          <t>NFV</t>
        </is>
      </c>
      <c r="I1341" s="40" t="n">
        <v>51.34</v>
      </c>
      <c r="J1341" s="40" t="n">
        <v>0</v>
      </c>
      <c r="K1341" s="6">
        <f>I1341-J1341</f>
        <v/>
      </c>
      <c r="L1341" s="6">
        <f>IF(H1341="DISTRATO",0,I1341)</f>
        <v/>
      </c>
    </row>
    <row r="1342">
      <c r="A1342" s="38" t="inlineStr">
        <is>
          <t>Conta corrente MFRUGIS10.XLS</t>
        </is>
      </c>
      <c r="B1342" s="39" t="n">
        <v>40340</v>
      </c>
      <c r="C1342" s="4" t="n">
        <v>40330</v>
      </c>
      <c r="D1342" s="5">
        <f>YEAR(C1342)</f>
        <v/>
      </c>
      <c r="E1342" s="5">
        <f>MONTH(C1342)</f>
        <v/>
      </c>
      <c r="F1342" s="38" t="inlineStr">
        <is>
          <t>NFV  :TENDA ATACADO LTDA</t>
        </is>
      </c>
      <c r="G1342" s="38" t="inlineStr">
        <is>
          <t>MARIO FRUGIS (01.04.01)</t>
        </is>
      </c>
      <c r="H1342" s="38" t="inlineStr">
        <is>
          <t>NFV</t>
        </is>
      </c>
      <c r="I1342" s="40" t="n">
        <v>22.56</v>
      </c>
      <c r="J1342" s="40" t="n">
        <v>0</v>
      </c>
      <c r="K1342" s="6">
        <f>I1342-J1342</f>
        <v/>
      </c>
      <c r="L1342" s="6">
        <f>IF(H1342="DISTRATO",0,I1342)</f>
        <v/>
      </c>
    </row>
    <row r="1343">
      <c r="A1343" s="38" t="inlineStr">
        <is>
          <t>Conta corrente MFRUGIS10.XLS</t>
        </is>
      </c>
      <c r="B1343" s="39" t="n">
        <v>40340</v>
      </c>
      <c r="C1343" s="4" t="n">
        <v>40330</v>
      </c>
      <c r="D1343" s="5">
        <f>YEAR(C1343)</f>
        <v/>
      </c>
      <c r="E1343" s="5">
        <f>MONTH(C1343)</f>
        <v/>
      </c>
      <c r="F1343" s="38" t="inlineStr">
        <is>
          <t>NFV  :TENDA ATACADO LTDA</t>
        </is>
      </c>
      <c r="G1343" s="38" t="inlineStr">
        <is>
          <t>MARIO FRUGIS (01.04.01)</t>
        </is>
      </c>
      <c r="H1343" s="38" t="inlineStr">
        <is>
          <t>NFV</t>
        </is>
      </c>
      <c r="I1343" s="40" t="n">
        <v>51.93</v>
      </c>
      <c r="J1343" s="40" t="n">
        <v>0</v>
      </c>
      <c r="K1343" s="6">
        <f>I1343-J1343</f>
        <v/>
      </c>
      <c r="L1343" s="6">
        <f>IF(H1343="DISTRATO",0,I1343)</f>
        <v/>
      </c>
    </row>
    <row r="1344">
      <c r="A1344" s="38" t="inlineStr">
        <is>
          <t>Conta corrente MFRUGIS10.XLS</t>
        </is>
      </c>
      <c r="B1344" s="39" t="n">
        <v>40340</v>
      </c>
      <c r="C1344" s="4" t="n">
        <v>40330</v>
      </c>
      <c r="D1344" s="5">
        <f>YEAR(C1344)</f>
        <v/>
      </c>
      <c r="E1344" s="5">
        <f>MONTH(C1344)</f>
        <v/>
      </c>
      <c r="F1344" s="38" t="inlineStr">
        <is>
          <t>NFV  :TENDA ATACADO LTDA</t>
        </is>
      </c>
      <c r="G1344" s="38" t="inlineStr">
        <is>
          <t>MARIO FRUGIS (01.04.01)</t>
        </is>
      </c>
      <c r="H1344" s="38" t="inlineStr">
        <is>
          <t>NFV</t>
        </is>
      </c>
      <c r="I1344" s="40" t="n">
        <v>52.96</v>
      </c>
      <c r="J1344" s="40" t="n">
        <v>0</v>
      </c>
      <c r="K1344" s="6">
        <f>I1344-J1344</f>
        <v/>
      </c>
      <c r="L1344" s="6">
        <f>IF(H1344="DISTRATO",0,I1344)</f>
        <v/>
      </c>
    </row>
    <row r="1345">
      <c r="A1345" s="38" t="inlineStr">
        <is>
          <t>Conta corrente MFRUGIS10.XLS</t>
        </is>
      </c>
      <c r="B1345" s="39" t="n">
        <v>40340</v>
      </c>
      <c r="C1345" s="4" t="n">
        <v>40330</v>
      </c>
      <c r="D1345" s="5">
        <f>YEAR(C1345)</f>
        <v/>
      </c>
      <c r="E1345" s="5">
        <f>MONTH(C1345)</f>
        <v/>
      </c>
      <c r="F1345" s="38" t="inlineStr">
        <is>
          <t>NFV  :TENDA ATACADO LTDA</t>
        </is>
      </c>
      <c r="G1345" s="38" t="inlineStr">
        <is>
          <t>MARIO FRUGIS (01.04.01)</t>
        </is>
      </c>
      <c r="H1345" s="38" t="inlineStr">
        <is>
          <t>NFV</t>
        </is>
      </c>
      <c r="I1345" s="40" t="n">
        <v>21.37</v>
      </c>
      <c r="J1345" s="40" t="n">
        <v>0</v>
      </c>
      <c r="K1345" s="6">
        <f>I1345-J1345</f>
        <v/>
      </c>
      <c r="L1345" s="6">
        <f>IF(H1345="DISTRATO",0,I1345)</f>
        <v/>
      </c>
    </row>
    <row r="1346">
      <c r="A1346" s="38" t="inlineStr">
        <is>
          <t>Conta corrente MFRUGIS10.XLS</t>
        </is>
      </c>
      <c r="B1346" s="39" t="n">
        <v>40340</v>
      </c>
      <c r="C1346" s="4" t="n">
        <v>40330</v>
      </c>
      <c r="D1346" s="5">
        <f>YEAR(C1346)</f>
        <v/>
      </c>
      <c r="E1346" s="5">
        <f>MONTH(C1346)</f>
        <v/>
      </c>
      <c r="F1346" s="38" t="inlineStr">
        <is>
          <t>NFV  :TENDA ATACADO LTDA</t>
        </is>
      </c>
      <c r="G1346" s="38" t="inlineStr">
        <is>
          <t>MARIO FRUGIS (01.04.01)</t>
        </is>
      </c>
      <c r="H1346" s="38" t="inlineStr">
        <is>
          <t>NFV</t>
        </is>
      </c>
      <c r="I1346" s="40" t="n">
        <v>29.82</v>
      </c>
      <c r="J1346" s="40" t="n">
        <v>0</v>
      </c>
      <c r="K1346" s="6">
        <f>I1346-J1346</f>
        <v/>
      </c>
      <c r="L1346" s="6">
        <f>IF(H1346="DISTRATO",0,I1346)</f>
        <v/>
      </c>
    </row>
    <row r="1347">
      <c r="A1347" s="38" t="inlineStr">
        <is>
          <t>Conta corrente MFRUGIS10.XLS</t>
        </is>
      </c>
      <c r="B1347" s="39" t="n">
        <v>40340</v>
      </c>
      <c r="C1347" s="4" t="n">
        <v>40330</v>
      </c>
      <c r="D1347" s="5">
        <f>YEAR(C1347)</f>
        <v/>
      </c>
      <c r="E1347" s="5">
        <f>MONTH(C1347)</f>
        <v/>
      </c>
      <c r="F1347" s="38" t="inlineStr">
        <is>
          <t>NFV  :TENDA ATACADO LTDA</t>
        </is>
      </c>
      <c r="G1347" s="38" t="inlineStr">
        <is>
          <t>MARIO FRUGIS (01.04.01)</t>
        </is>
      </c>
      <c r="H1347" s="38" t="inlineStr">
        <is>
          <t>NFV</t>
        </is>
      </c>
      <c r="I1347" s="40" t="n">
        <v>39.63</v>
      </c>
      <c r="J1347" s="40" t="n">
        <v>0</v>
      </c>
      <c r="K1347" s="6">
        <f>I1347-J1347</f>
        <v/>
      </c>
      <c r="L1347" s="6">
        <f>IF(H1347="DISTRATO",0,I1347)</f>
        <v/>
      </c>
    </row>
    <row r="1348">
      <c r="A1348" s="38" t="inlineStr">
        <is>
          <t>Conta corrente MFRUGIS10.XLS</t>
        </is>
      </c>
      <c r="B1348" s="39" t="n">
        <v>40340</v>
      </c>
      <c r="C1348" s="4" t="n">
        <v>40330</v>
      </c>
      <c r="D1348" s="5">
        <f>YEAR(C1348)</f>
        <v/>
      </c>
      <c r="E1348" s="5">
        <f>MONTH(C1348)</f>
        <v/>
      </c>
      <c r="F1348" s="38" t="inlineStr">
        <is>
          <t>NFV  :TENDA ATACADO LTDA</t>
        </is>
      </c>
      <c r="G1348" s="38" t="inlineStr">
        <is>
          <t>MARIO FRUGIS (01.04.01)</t>
        </is>
      </c>
      <c r="H1348" s="38" t="inlineStr">
        <is>
          <t>NFV</t>
        </is>
      </c>
      <c r="I1348" s="40" t="n">
        <v>25.83</v>
      </c>
      <c r="J1348" s="40" t="n">
        <v>0</v>
      </c>
      <c r="K1348" s="6">
        <f>I1348-J1348</f>
        <v/>
      </c>
      <c r="L1348" s="6">
        <f>IF(H1348="DISTRATO",0,I1348)</f>
        <v/>
      </c>
    </row>
    <row r="1349">
      <c r="A1349" s="38" t="inlineStr">
        <is>
          <t>Conta corrente MFRUGIS10.XLS</t>
        </is>
      </c>
      <c r="B1349" s="39" t="n">
        <v>40340</v>
      </c>
      <c r="C1349" s="4" t="n">
        <v>40330</v>
      </c>
      <c r="D1349" s="5">
        <f>YEAR(C1349)</f>
        <v/>
      </c>
      <c r="E1349" s="5">
        <f>MONTH(C1349)</f>
        <v/>
      </c>
      <c r="F1349" s="38" t="inlineStr">
        <is>
          <t>NFV  :TENDA ATACADO LTDA</t>
        </is>
      </c>
      <c r="G1349" s="38" t="inlineStr">
        <is>
          <t>MARIO FRUGIS (01.04.01)</t>
        </is>
      </c>
      <c r="H1349" s="38" t="inlineStr">
        <is>
          <t>NFV</t>
        </is>
      </c>
      <c r="I1349" s="40" t="n">
        <v>34.94</v>
      </c>
      <c r="J1349" s="40" t="n">
        <v>0</v>
      </c>
      <c r="K1349" s="6">
        <f>I1349-J1349</f>
        <v/>
      </c>
      <c r="L1349" s="6">
        <f>IF(H1349="DISTRATO",0,I1349)</f>
        <v/>
      </c>
    </row>
    <row r="1350">
      <c r="A1350" s="38" t="inlineStr">
        <is>
          <t>Conta corrente MFRUGIS10.XLS</t>
        </is>
      </c>
      <c r="B1350" s="39" t="n">
        <v>40357</v>
      </c>
      <c r="C1350" s="4" t="n">
        <v>40330</v>
      </c>
      <c r="D1350" s="5">
        <f>YEAR(C1350)</f>
        <v/>
      </c>
      <c r="E1350" s="5">
        <f>MONTH(C1350)</f>
        <v/>
      </c>
      <c r="F1350" s="38" t="inlineStr">
        <is>
          <t>BONIF:TENDA ATACADO LTDA</t>
        </is>
      </c>
      <c r="G1350" s="38" t="inlineStr">
        <is>
          <t>MARIO FRUGIS (01.04.01)</t>
        </is>
      </c>
      <c r="H1350" s="38" t="inlineStr">
        <is>
          <t>BONIFICACAO</t>
        </is>
      </c>
      <c r="I1350" s="40" t="n">
        <v>-35.17</v>
      </c>
      <c r="J1350" s="40" t="n">
        <v>0</v>
      </c>
      <c r="K1350" s="6">
        <f>I1350-J1350</f>
        <v/>
      </c>
      <c r="L1350" s="6">
        <f>IF(H1350="DISTRATO",0,I1350)</f>
        <v/>
      </c>
    </row>
    <row r="1351">
      <c r="A1351" s="38" t="inlineStr">
        <is>
          <t>Conta corrente MFRUGIS10.XLS</t>
        </is>
      </c>
      <c r="B1351" s="39" t="n">
        <v>40357</v>
      </c>
      <c r="C1351" s="4" t="n">
        <v>40330</v>
      </c>
      <c r="D1351" s="5">
        <f>YEAR(C1351)</f>
        <v/>
      </c>
      <c r="E1351" s="5">
        <f>MONTH(C1351)</f>
        <v/>
      </c>
      <c r="F1351" s="38" t="inlineStr">
        <is>
          <t>BONIF:TENDA ATACADO LTDA</t>
        </is>
      </c>
      <c r="G1351" s="38" t="inlineStr">
        <is>
          <t>MARIO FRUGIS (01.04.01)</t>
        </is>
      </c>
      <c r="H1351" s="38" t="inlineStr">
        <is>
          <t>BONIFICACAO</t>
        </is>
      </c>
      <c r="I1351" s="40" t="n">
        <v>-35.17</v>
      </c>
      <c r="J1351" s="40" t="n">
        <v>0</v>
      </c>
      <c r="K1351" s="6">
        <f>I1351-J1351</f>
        <v/>
      </c>
      <c r="L1351" s="6">
        <f>IF(H1351="DISTRATO",0,I1351)</f>
        <v/>
      </c>
    </row>
    <row r="1352">
      <c r="A1352" s="38" t="inlineStr">
        <is>
          <t>Conta corrente MFRUGIS10.XLS</t>
        </is>
      </c>
      <c r="B1352" s="39" t="n">
        <v>40357</v>
      </c>
      <c r="C1352" s="4" t="n">
        <v>40330</v>
      </c>
      <c r="D1352" s="5">
        <f>YEAR(C1352)</f>
        <v/>
      </c>
      <c r="E1352" s="5">
        <f>MONTH(C1352)</f>
        <v/>
      </c>
      <c r="F1352" s="38" t="inlineStr">
        <is>
          <t>BONIF:TENDA ATACADO LTDA</t>
        </is>
      </c>
      <c r="G1352" s="38" t="inlineStr">
        <is>
          <t>MARIO FRUGIS (01.04.01)</t>
        </is>
      </c>
      <c r="H1352" s="38" t="inlineStr">
        <is>
          <t>BONIFICACAO</t>
        </is>
      </c>
      <c r="I1352" s="40" t="n">
        <v>-35.17</v>
      </c>
      <c r="J1352" s="40" t="n">
        <v>0</v>
      </c>
      <c r="K1352" s="6">
        <f>I1352-J1352</f>
        <v/>
      </c>
      <c r="L1352" s="6">
        <f>IF(H1352="DISTRATO",0,I1352)</f>
        <v/>
      </c>
    </row>
    <row r="1353">
      <c r="A1353" s="38" t="inlineStr">
        <is>
          <t>Conta corrente MFRUGIS10.XLS</t>
        </is>
      </c>
      <c r="B1353" s="39" t="n">
        <v>40357</v>
      </c>
      <c r="C1353" s="4" t="n">
        <v>40330</v>
      </c>
      <c r="D1353" s="5">
        <f>YEAR(C1353)</f>
        <v/>
      </c>
      <c r="E1353" s="5">
        <f>MONTH(C1353)</f>
        <v/>
      </c>
      <c r="F1353" s="38" t="inlineStr">
        <is>
          <t>BONIF:TENDA ATACADO LTDA</t>
        </is>
      </c>
      <c r="G1353" s="38" t="inlineStr">
        <is>
          <t>MARIO FRUGIS (01.04.01)</t>
        </is>
      </c>
      <c r="H1353" s="38" t="inlineStr">
        <is>
          <t>BONIFICACAO</t>
        </is>
      </c>
      <c r="I1353" s="40" t="n">
        <v>-35.17</v>
      </c>
      <c r="J1353" s="40" t="n">
        <v>0</v>
      </c>
      <c r="K1353" s="6">
        <f>I1353-J1353</f>
        <v/>
      </c>
      <c r="L1353" s="6">
        <f>IF(H1353="DISTRATO",0,I1353)</f>
        <v/>
      </c>
    </row>
    <row r="1354">
      <c r="A1354" s="38" t="inlineStr">
        <is>
          <t>Conta corrente MFRUGIS10.XLS</t>
        </is>
      </c>
      <c r="B1354" s="39" t="n">
        <v>40357</v>
      </c>
      <c r="C1354" s="4" t="n">
        <v>40330</v>
      </c>
      <c r="D1354" s="5">
        <f>YEAR(C1354)</f>
        <v/>
      </c>
      <c r="E1354" s="5">
        <f>MONTH(C1354)</f>
        <v/>
      </c>
      <c r="F1354" s="38" t="inlineStr">
        <is>
          <t>NFV  :TENDA ATACADO LTDA</t>
        </is>
      </c>
      <c r="G1354" s="38" t="inlineStr">
        <is>
          <t>MARIO FRUGIS (01.04.01)</t>
        </is>
      </c>
      <c r="H1354" s="38" t="inlineStr">
        <is>
          <t>NFV</t>
        </is>
      </c>
      <c r="I1354" s="40" t="n">
        <v>24.84</v>
      </c>
      <c r="J1354" s="40" t="n">
        <v>0</v>
      </c>
      <c r="K1354" s="6">
        <f>I1354-J1354</f>
        <v/>
      </c>
      <c r="L1354" s="6">
        <f>IF(H1354="DISTRATO",0,I1354)</f>
        <v/>
      </c>
    </row>
    <row r="1355">
      <c r="A1355" s="38" t="inlineStr">
        <is>
          <t>Conta corrente MFRUGIS10.XLS</t>
        </is>
      </c>
      <c r="B1355" s="39" t="n">
        <v>40357</v>
      </c>
      <c r="C1355" s="4" t="n">
        <v>40330</v>
      </c>
      <c r="D1355" s="5">
        <f>YEAR(C1355)</f>
        <v/>
      </c>
      <c r="E1355" s="5">
        <f>MONTH(C1355)</f>
        <v/>
      </c>
      <c r="F1355" s="38" t="inlineStr">
        <is>
          <t>NFV  :TENDA ATACADO LTDA</t>
        </is>
      </c>
      <c r="G1355" s="38" t="inlineStr">
        <is>
          <t>MARIO FRUGIS (01.04.01)</t>
        </is>
      </c>
      <c r="H1355" s="38" t="inlineStr">
        <is>
          <t>NFV</t>
        </is>
      </c>
      <c r="I1355" s="40" t="n">
        <v>40.68</v>
      </c>
      <c r="J1355" s="40" t="n">
        <v>0</v>
      </c>
      <c r="K1355" s="6">
        <f>I1355-J1355</f>
        <v/>
      </c>
      <c r="L1355" s="6">
        <f>IF(H1355="DISTRATO",0,I1355)</f>
        <v/>
      </c>
    </row>
    <row r="1356">
      <c r="A1356" s="38" t="inlineStr">
        <is>
          <t>Conta corrente MFRUGIS10.XLS</t>
        </is>
      </c>
      <c r="B1356" s="39" t="n">
        <v>40357</v>
      </c>
      <c r="C1356" s="4" t="n">
        <v>40330</v>
      </c>
      <c r="D1356" s="5">
        <f>YEAR(C1356)</f>
        <v/>
      </c>
      <c r="E1356" s="5">
        <f>MONTH(C1356)</f>
        <v/>
      </c>
      <c r="F1356" s="38" t="inlineStr">
        <is>
          <t>NFV  :TENDA ATACADO LTDA</t>
        </is>
      </c>
      <c r="G1356" s="38" t="inlineStr">
        <is>
          <t>MARIO FRUGIS (01.04.01)</t>
        </is>
      </c>
      <c r="H1356" s="38" t="inlineStr">
        <is>
          <t>NFV</t>
        </is>
      </c>
      <c r="I1356" s="40" t="n">
        <v>206.09</v>
      </c>
      <c r="J1356" s="40" t="n">
        <v>0</v>
      </c>
      <c r="K1356" s="6">
        <f>I1356-J1356</f>
        <v/>
      </c>
      <c r="L1356" s="6">
        <f>IF(H1356="DISTRATO",0,I1356)</f>
        <v/>
      </c>
    </row>
    <row r="1357">
      <c r="A1357" s="38" t="inlineStr">
        <is>
          <t>Conta corrente MFRUGIS10.XLS</t>
        </is>
      </c>
      <c r="B1357" s="39" t="n">
        <v>40357</v>
      </c>
      <c r="C1357" s="4" t="n">
        <v>40330</v>
      </c>
      <c r="D1357" s="5">
        <f>YEAR(C1357)</f>
        <v/>
      </c>
      <c r="E1357" s="5">
        <f>MONTH(C1357)</f>
        <v/>
      </c>
      <c r="F1357" s="38" t="inlineStr">
        <is>
          <t>NFV  :TENDA ATACADO LTDA</t>
        </is>
      </c>
      <c r="G1357" s="38" t="inlineStr">
        <is>
          <t>MARIO FRUGIS (01.04.01)</t>
        </is>
      </c>
      <c r="H1357" s="38" t="inlineStr">
        <is>
          <t>NFV</t>
        </is>
      </c>
      <c r="I1357" s="40" t="n">
        <v>27.12</v>
      </c>
      <c r="J1357" s="40" t="n">
        <v>0</v>
      </c>
      <c r="K1357" s="6">
        <f>I1357-J1357</f>
        <v/>
      </c>
      <c r="L1357" s="6">
        <f>IF(H1357="DISTRATO",0,I1357)</f>
        <v/>
      </c>
    </row>
    <row r="1358">
      <c r="A1358" s="38" t="inlineStr">
        <is>
          <t>Conta corrente MFRUGIS10.XLS</t>
        </is>
      </c>
      <c r="B1358" s="39" t="n">
        <v>40357</v>
      </c>
      <c r="C1358" s="4" t="n">
        <v>40330</v>
      </c>
      <c r="D1358" s="5">
        <f>YEAR(C1358)</f>
        <v/>
      </c>
      <c r="E1358" s="5">
        <f>MONTH(C1358)</f>
        <v/>
      </c>
      <c r="F1358" s="38" t="inlineStr">
        <is>
          <t>NFV  :TENDA ATACADO LTDA</t>
        </is>
      </c>
      <c r="G1358" s="38" t="inlineStr">
        <is>
          <t>MARIO FRUGIS (01.04.01)</t>
        </is>
      </c>
      <c r="H1358" s="38" t="inlineStr">
        <is>
          <t>NFV</t>
        </is>
      </c>
      <c r="I1358" s="40" t="n">
        <v>171.83</v>
      </c>
      <c r="J1358" s="40" t="n">
        <v>0</v>
      </c>
      <c r="K1358" s="6">
        <f>I1358-J1358</f>
        <v/>
      </c>
      <c r="L1358" s="6">
        <f>IF(H1358="DISTRATO",0,I1358)</f>
        <v/>
      </c>
    </row>
    <row r="1359">
      <c r="A1359" s="38" t="inlineStr">
        <is>
          <t>Conta corrente MFRUGIS10.XLS</t>
        </is>
      </c>
      <c r="B1359" s="39" t="n">
        <v>40357</v>
      </c>
      <c r="C1359" s="4" t="n">
        <v>40330</v>
      </c>
      <c r="D1359" s="5">
        <f>YEAR(C1359)</f>
        <v/>
      </c>
      <c r="E1359" s="5">
        <f>MONTH(C1359)</f>
        <v/>
      </c>
      <c r="F1359" s="38" t="inlineStr">
        <is>
          <t>NFV  :TENDA ATACADO LTDA</t>
        </is>
      </c>
      <c r="G1359" s="38" t="inlineStr">
        <is>
          <t>MARIO FRUGIS (01.04.01)</t>
        </is>
      </c>
      <c r="H1359" s="38" t="inlineStr">
        <is>
          <t>NFV</t>
        </is>
      </c>
      <c r="I1359" s="40" t="n">
        <v>188.44</v>
      </c>
      <c r="J1359" s="40" t="n">
        <v>0</v>
      </c>
      <c r="K1359" s="6">
        <f>I1359-J1359</f>
        <v/>
      </c>
      <c r="L1359" s="6">
        <f>IF(H1359="DISTRATO",0,I1359)</f>
        <v/>
      </c>
    </row>
    <row r="1360">
      <c r="A1360" s="38" t="inlineStr">
        <is>
          <t>Conta corrente MFRUGIS10.XLS</t>
        </is>
      </c>
      <c r="B1360" s="39" t="n">
        <v>40357</v>
      </c>
      <c r="C1360" s="4" t="n">
        <v>40330</v>
      </c>
      <c r="D1360" s="5">
        <f>YEAR(C1360)</f>
        <v/>
      </c>
      <c r="E1360" s="5">
        <f>MONTH(C1360)</f>
        <v/>
      </c>
      <c r="F1360" s="38" t="inlineStr">
        <is>
          <t>NFV  :TENDA ATACADO LTDA</t>
        </is>
      </c>
      <c r="G1360" s="38" t="inlineStr">
        <is>
          <t>MARIO FRUGIS (01.04.01)</t>
        </is>
      </c>
      <c r="H1360" s="38" t="inlineStr">
        <is>
          <t>NFV</t>
        </is>
      </c>
      <c r="I1360" s="40" t="n">
        <v>212.19</v>
      </c>
      <c r="J1360" s="40" t="n">
        <v>0</v>
      </c>
      <c r="K1360" s="6">
        <f>I1360-J1360</f>
        <v/>
      </c>
      <c r="L1360" s="6">
        <f>IF(H1360="DISTRATO",0,I1360)</f>
        <v/>
      </c>
    </row>
    <row r="1361">
      <c r="A1361" s="38" t="inlineStr">
        <is>
          <t>Conta corrente MFRUGIS10.XLS</t>
        </is>
      </c>
      <c r="B1361" s="39" t="n">
        <v>40357</v>
      </c>
      <c r="C1361" s="4" t="n">
        <v>40330</v>
      </c>
      <c r="D1361" s="5">
        <f>YEAR(C1361)</f>
        <v/>
      </c>
      <c r="E1361" s="5">
        <f>MONTH(C1361)</f>
        <v/>
      </c>
      <c r="F1361" s="38" t="inlineStr">
        <is>
          <t>NFV  :TENDA ATACADO LTDA</t>
        </is>
      </c>
      <c r="G1361" s="38" t="inlineStr">
        <is>
          <t>MARIO FRUGIS (01.04.01)</t>
        </is>
      </c>
      <c r="H1361" s="38" t="inlineStr">
        <is>
          <t>NFV</t>
        </is>
      </c>
      <c r="I1361" s="40" t="n">
        <v>38.95</v>
      </c>
      <c r="J1361" s="40" t="n">
        <v>0</v>
      </c>
      <c r="K1361" s="6">
        <f>I1361-J1361</f>
        <v/>
      </c>
      <c r="L1361" s="6">
        <f>IF(H1361="DISTRATO",0,I1361)</f>
        <v/>
      </c>
    </row>
    <row r="1362">
      <c r="A1362" s="38" t="inlineStr">
        <is>
          <t>Conta corrente MFRUGIS10.XLS</t>
        </is>
      </c>
      <c r="B1362" s="39" t="n">
        <v>40357</v>
      </c>
      <c r="C1362" s="4" t="n">
        <v>40330</v>
      </c>
      <c r="D1362" s="5">
        <f>YEAR(C1362)</f>
        <v/>
      </c>
      <c r="E1362" s="5">
        <f>MONTH(C1362)</f>
        <v/>
      </c>
      <c r="F1362" s="38" t="inlineStr">
        <is>
          <t>NFV  :TENDA ATACADO LTDA</t>
        </is>
      </c>
      <c r="G1362" s="38" t="inlineStr">
        <is>
          <t>MARIO FRUGIS (01.04.01)</t>
        </is>
      </c>
      <c r="H1362" s="38" t="inlineStr">
        <is>
          <t>NFV</t>
        </is>
      </c>
      <c r="I1362" s="40" t="n">
        <v>38.95</v>
      </c>
      <c r="J1362" s="40" t="n">
        <v>0</v>
      </c>
      <c r="K1362" s="6">
        <f>I1362-J1362</f>
        <v/>
      </c>
      <c r="L1362" s="6">
        <f>IF(H1362="DISTRATO",0,I1362)</f>
        <v/>
      </c>
    </row>
    <row r="1363">
      <c r="A1363" s="38" t="inlineStr">
        <is>
          <t>Conta corrente MFRUGIS10.XLS</t>
        </is>
      </c>
      <c r="B1363" s="39" t="n">
        <v>40357</v>
      </c>
      <c r="C1363" s="4" t="n">
        <v>40330</v>
      </c>
      <c r="D1363" s="5">
        <f>YEAR(C1363)</f>
        <v/>
      </c>
      <c r="E1363" s="5">
        <f>MONTH(C1363)</f>
        <v/>
      </c>
      <c r="F1363" s="38" t="inlineStr">
        <is>
          <t>NFV  :TENDA ATACADO LTDA</t>
        </is>
      </c>
      <c r="G1363" s="38" t="inlineStr">
        <is>
          <t>MARIO FRUGIS (01.04.01)</t>
        </is>
      </c>
      <c r="H1363" s="38" t="inlineStr">
        <is>
          <t>NFV</t>
        </is>
      </c>
      <c r="I1363" s="40" t="n">
        <v>195.92</v>
      </c>
      <c r="J1363" s="40" t="n">
        <v>0</v>
      </c>
      <c r="K1363" s="6">
        <f>I1363-J1363</f>
        <v/>
      </c>
      <c r="L1363" s="6">
        <f>IF(H1363="DISTRATO",0,I1363)</f>
        <v/>
      </c>
    </row>
    <row r="1364">
      <c r="A1364" s="38" t="inlineStr">
        <is>
          <t>Conta corrente MFRUGIS10.XLS</t>
        </is>
      </c>
      <c r="B1364" s="39" t="n">
        <v>40357</v>
      </c>
      <c r="C1364" s="4" t="n">
        <v>40330</v>
      </c>
      <c r="D1364" s="5">
        <f>YEAR(C1364)</f>
        <v/>
      </c>
      <c r="E1364" s="5">
        <f>MONTH(C1364)</f>
        <v/>
      </c>
      <c r="F1364" s="38" t="inlineStr">
        <is>
          <t>NFV  :TENDA ATACADO LTDA</t>
        </is>
      </c>
      <c r="G1364" s="38" t="inlineStr">
        <is>
          <t>MARIO FRUGIS (01.04.01)</t>
        </is>
      </c>
      <c r="H1364" s="38" t="inlineStr">
        <is>
          <t>NFV</t>
        </is>
      </c>
      <c r="I1364" s="40" t="n">
        <v>221.17</v>
      </c>
      <c r="J1364" s="40" t="n">
        <v>0</v>
      </c>
      <c r="K1364" s="6">
        <f>I1364-J1364</f>
        <v/>
      </c>
      <c r="L1364" s="6">
        <f>IF(H1364="DISTRATO",0,I1364)</f>
        <v/>
      </c>
    </row>
    <row r="1365">
      <c r="A1365" s="38" t="inlineStr">
        <is>
          <t>Conta corrente MFRUGIS10.XLS</t>
        </is>
      </c>
      <c r="B1365" s="39" t="n">
        <v>40357</v>
      </c>
      <c r="C1365" s="4" t="n">
        <v>40330</v>
      </c>
      <c r="D1365" s="5">
        <f>YEAR(C1365)</f>
        <v/>
      </c>
      <c r="E1365" s="5">
        <f>MONTH(C1365)</f>
        <v/>
      </c>
      <c r="F1365" s="38" t="inlineStr">
        <is>
          <t>NFV  :TENDA ATACADO LTDA</t>
        </is>
      </c>
      <c r="G1365" s="38" t="inlineStr">
        <is>
          <t>MARIO FRUGIS (01.04.01)</t>
        </is>
      </c>
      <c r="H1365" s="38" t="inlineStr">
        <is>
          <t>NFV</t>
        </is>
      </c>
      <c r="I1365" s="40" t="n">
        <v>201.54</v>
      </c>
      <c r="J1365" s="40" t="n">
        <v>0</v>
      </c>
      <c r="K1365" s="6">
        <f>I1365-J1365</f>
        <v/>
      </c>
      <c r="L1365" s="6">
        <f>IF(H1365="DISTRATO",0,I1365)</f>
        <v/>
      </c>
    </row>
    <row r="1366">
      <c r="A1366" s="38" t="inlineStr">
        <is>
          <t>Conta corrente MFRUGIS10.XLS</t>
        </is>
      </c>
      <c r="B1366" s="39" t="n">
        <v>40357</v>
      </c>
      <c r="C1366" s="4" t="n">
        <v>40330</v>
      </c>
      <c r="D1366" s="5">
        <f>YEAR(C1366)</f>
        <v/>
      </c>
      <c r="E1366" s="5">
        <f>MONTH(C1366)</f>
        <v/>
      </c>
      <c r="F1366" s="38" t="inlineStr">
        <is>
          <t>NFV  :TENDA ATACADO LTDA</t>
        </is>
      </c>
      <c r="G1366" s="38" t="inlineStr">
        <is>
          <t>MARIO FRUGIS (01.04.01)</t>
        </is>
      </c>
      <c r="H1366" s="38" t="inlineStr">
        <is>
          <t>NFV</t>
        </is>
      </c>
      <c r="I1366" s="40" t="n">
        <v>216.79</v>
      </c>
      <c r="J1366" s="40" t="n">
        <v>0</v>
      </c>
      <c r="K1366" s="6">
        <f>I1366-J1366</f>
        <v/>
      </c>
      <c r="L1366" s="6">
        <f>IF(H1366="DISTRATO",0,I1366)</f>
        <v/>
      </c>
    </row>
    <row r="1367">
      <c r="A1367" s="38" t="inlineStr">
        <is>
          <t>Conta corrente MFRUGIS10.XLS</t>
        </is>
      </c>
      <c r="B1367" s="39" t="n">
        <v>40357</v>
      </c>
      <c r="C1367" s="4" t="n">
        <v>40330</v>
      </c>
      <c r="D1367" s="5">
        <f>YEAR(C1367)</f>
        <v/>
      </c>
      <c r="E1367" s="5">
        <f>MONTH(C1367)</f>
        <v/>
      </c>
      <c r="F1367" s="38" t="inlineStr">
        <is>
          <t>NFV  :TENDA ATACADO LTDA</t>
        </is>
      </c>
      <c r="G1367" s="38" t="inlineStr">
        <is>
          <t>MARIO FRUGIS (01.04.01)</t>
        </is>
      </c>
      <c r="H1367" s="38" t="inlineStr">
        <is>
          <t>NFV</t>
        </is>
      </c>
      <c r="I1367" s="40" t="n">
        <v>194.16</v>
      </c>
      <c r="J1367" s="40" t="n">
        <v>0</v>
      </c>
      <c r="K1367" s="6">
        <f>I1367-J1367</f>
        <v/>
      </c>
      <c r="L1367" s="6">
        <f>IF(H1367="DISTRATO",0,I1367)</f>
        <v/>
      </c>
    </row>
    <row r="1368">
      <c r="A1368" s="38" t="inlineStr">
        <is>
          <t>Conta corrente MFRUGIS10.XLS</t>
        </is>
      </c>
      <c r="B1368" s="39" t="n">
        <v>40357</v>
      </c>
      <c r="C1368" s="4" t="n">
        <v>40330</v>
      </c>
      <c r="D1368" s="5">
        <f>YEAR(C1368)</f>
        <v/>
      </c>
      <c r="E1368" s="5">
        <f>MONTH(C1368)</f>
        <v/>
      </c>
      <c r="F1368" s="38" t="inlineStr">
        <is>
          <t>NFV  :TENDA ATACADO LTDA</t>
        </is>
      </c>
      <c r="G1368" s="38" t="inlineStr">
        <is>
          <t>MARIO FRUGIS (01.04.01)</t>
        </is>
      </c>
      <c r="H1368" s="38" t="inlineStr">
        <is>
          <t>NFV</t>
        </is>
      </c>
      <c r="I1368" s="40" t="n">
        <v>182.9</v>
      </c>
      <c r="J1368" s="40" t="n">
        <v>0</v>
      </c>
      <c r="K1368" s="6">
        <f>I1368-J1368</f>
        <v/>
      </c>
      <c r="L1368" s="6">
        <f>IF(H1368="DISTRATO",0,I1368)</f>
        <v/>
      </c>
    </row>
    <row r="1369">
      <c r="A1369" s="38" t="inlineStr">
        <is>
          <t>Conta corrente MFRUGIS10.XLS</t>
        </is>
      </c>
      <c r="B1369" s="39" t="n">
        <v>40357</v>
      </c>
      <c r="C1369" s="4" t="n">
        <v>40330</v>
      </c>
      <c r="D1369" s="5">
        <f>YEAR(C1369)</f>
        <v/>
      </c>
      <c r="E1369" s="5">
        <f>MONTH(C1369)</f>
        <v/>
      </c>
      <c r="F1369" s="38" t="inlineStr">
        <is>
          <t>NFV  :TENDA ATACADO LTDA</t>
        </is>
      </c>
      <c r="G1369" s="38" t="inlineStr">
        <is>
          <t>MARIO FRUGIS (01.04.01)</t>
        </is>
      </c>
      <c r="H1369" s="38" t="inlineStr">
        <is>
          <t>NFV</t>
        </is>
      </c>
      <c r="I1369" s="40" t="n">
        <v>181.26</v>
      </c>
      <c r="J1369" s="40" t="n">
        <v>0</v>
      </c>
      <c r="K1369" s="6">
        <f>I1369-J1369</f>
        <v/>
      </c>
      <c r="L1369" s="6">
        <f>IF(H1369="DISTRATO",0,I1369)</f>
        <v/>
      </c>
    </row>
    <row r="1370">
      <c r="A1370" s="38" t="inlineStr">
        <is>
          <t>Conta corrente MFRUGIS10.XLS</t>
        </is>
      </c>
      <c r="B1370" s="39" t="n">
        <v>40357</v>
      </c>
      <c r="C1370" s="4" t="n">
        <v>40330</v>
      </c>
      <c r="D1370" s="5">
        <f>YEAR(C1370)</f>
        <v/>
      </c>
      <c r="E1370" s="5">
        <f>MONTH(C1370)</f>
        <v/>
      </c>
      <c r="F1370" s="38" t="inlineStr">
        <is>
          <t>NFV  :TENDA ATACADO LTDA</t>
        </is>
      </c>
      <c r="G1370" s="38" t="inlineStr">
        <is>
          <t>MARIO FRUGIS (01.04.01)</t>
        </is>
      </c>
      <c r="H1370" s="38" t="inlineStr">
        <is>
          <t>NFV</t>
        </is>
      </c>
      <c r="I1370" s="40" t="n">
        <v>199.38</v>
      </c>
      <c r="J1370" s="40" t="n">
        <v>0</v>
      </c>
      <c r="K1370" s="6">
        <f>I1370-J1370</f>
        <v/>
      </c>
      <c r="L1370" s="6">
        <f>IF(H1370="DISTRATO",0,I1370)</f>
        <v/>
      </c>
    </row>
    <row r="1371">
      <c r="A1371" s="38" t="inlineStr">
        <is>
          <t>Conta corrente MFRUGIS10.XLS</t>
        </is>
      </c>
      <c r="B1371" s="39" t="n">
        <v>40359</v>
      </c>
      <c r="C1371" s="4" t="n">
        <v>40330</v>
      </c>
      <c r="D1371" s="5">
        <f>YEAR(C1371)</f>
        <v/>
      </c>
      <c r="E1371" s="5">
        <f>MONTH(C1371)</f>
        <v/>
      </c>
      <c r="F1371" s="38" t="inlineStr">
        <is>
          <t>NFV  :TENDA ATACADO LTDA</t>
        </is>
      </c>
      <c r="G1371" s="38" t="inlineStr">
        <is>
          <t>MARIO FRUGIS (01.04.01)</t>
        </is>
      </c>
      <c r="H1371" s="38" t="inlineStr">
        <is>
          <t>NFV</t>
        </is>
      </c>
      <c r="I1371" s="40" t="n">
        <v>171.83</v>
      </c>
      <c r="J1371" s="40" t="n">
        <v>0</v>
      </c>
      <c r="K1371" s="6">
        <f>I1371-J1371</f>
        <v/>
      </c>
      <c r="L1371" s="6">
        <f>IF(H1371="DISTRATO",0,I1371)</f>
        <v/>
      </c>
    </row>
    <row r="1372">
      <c r="A1372" s="38" t="inlineStr">
        <is>
          <t>Conta corrente MFRUGIS10.XLS</t>
        </is>
      </c>
      <c r="B1372" s="39" t="n">
        <v>40359</v>
      </c>
      <c r="C1372" s="4" t="n">
        <v>40330</v>
      </c>
      <c r="D1372" s="5">
        <f>YEAR(C1372)</f>
        <v/>
      </c>
      <c r="E1372" s="5">
        <f>MONTH(C1372)</f>
        <v/>
      </c>
      <c r="F1372" s="38" t="inlineStr">
        <is>
          <t>NFV  :TENDA ATACADO LTDA</t>
        </is>
      </c>
      <c r="G1372" s="38" t="inlineStr">
        <is>
          <t>MARIO FRUGIS (01.04.01)</t>
        </is>
      </c>
      <c r="H1372" s="38" t="inlineStr">
        <is>
          <t>NFV</t>
        </is>
      </c>
      <c r="I1372" s="40" t="n">
        <v>181.26</v>
      </c>
      <c r="J1372" s="40" t="n">
        <v>0</v>
      </c>
      <c r="K1372" s="6">
        <f>I1372-J1372</f>
        <v/>
      </c>
      <c r="L1372" s="6">
        <f>IF(H1372="DISTRATO",0,I1372)</f>
        <v/>
      </c>
    </row>
    <row r="1373">
      <c r="A1373" s="38" t="inlineStr">
        <is>
          <t>Conta corrente MFRUGIS10.XLS</t>
        </is>
      </c>
      <c r="B1373" s="39" t="n">
        <v>40375</v>
      </c>
      <c r="C1373" s="4" t="n">
        <v>40360</v>
      </c>
      <c r="D1373" s="5">
        <f>YEAR(C1373)</f>
        <v/>
      </c>
      <c r="E1373" s="5">
        <f>MONTH(C1373)</f>
        <v/>
      </c>
      <c r="F1373" s="38" t="inlineStr">
        <is>
          <t>DEV  :TENDA ATACADO LTDA</t>
        </is>
      </c>
      <c r="G1373" s="38" t="inlineStr">
        <is>
          <t>MARIO FRUGIS (01.04.01)</t>
        </is>
      </c>
      <c r="H1373" s="38" t="inlineStr">
        <is>
          <t>DEVOLUCAO</t>
        </is>
      </c>
      <c r="I1373" s="40" t="n">
        <v>-0.78</v>
      </c>
      <c r="J1373" s="40" t="n">
        <v>0</v>
      </c>
      <c r="K1373" s="6">
        <f>I1373-J1373</f>
        <v/>
      </c>
      <c r="L1373" s="6">
        <f>IF(H1373="DISTRATO",0,I1373)</f>
        <v/>
      </c>
    </row>
    <row r="1374">
      <c r="A1374" s="38" t="inlineStr">
        <is>
          <t>Conta corrente MFRUGIS10.XLS</t>
        </is>
      </c>
      <c r="B1374" s="39" t="n">
        <v>40375</v>
      </c>
      <c r="C1374" s="4" t="n">
        <v>40360</v>
      </c>
      <c r="D1374" s="5">
        <f>YEAR(C1374)</f>
        <v/>
      </c>
      <c r="E1374" s="5">
        <f>MONTH(C1374)</f>
        <v/>
      </c>
      <c r="F1374" s="38" t="inlineStr">
        <is>
          <t>NFV  :TENDA ATACADO LTDA</t>
        </is>
      </c>
      <c r="G1374" s="38" t="inlineStr">
        <is>
          <t>MARIO FRUGIS (01.04.01)</t>
        </is>
      </c>
      <c r="H1374" s="38" t="inlineStr">
        <is>
          <t>NFV</t>
        </is>
      </c>
      <c r="I1374" s="40" t="n">
        <v>26.14</v>
      </c>
      <c r="J1374" s="40" t="n">
        <v>0</v>
      </c>
      <c r="K1374" s="6">
        <f>I1374-J1374</f>
        <v/>
      </c>
      <c r="L1374" s="6">
        <f>IF(H1374="DISTRATO",0,I1374)</f>
        <v/>
      </c>
    </row>
    <row r="1375">
      <c r="A1375" s="38" t="inlineStr">
        <is>
          <t>Conta corrente MFRUGIS10.XLS</t>
        </is>
      </c>
      <c r="B1375" s="39" t="n">
        <v>40375</v>
      </c>
      <c r="C1375" s="4" t="n">
        <v>40360</v>
      </c>
      <c r="D1375" s="5">
        <f>YEAR(C1375)</f>
        <v/>
      </c>
      <c r="E1375" s="5">
        <f>MONTH(C1375)</f>
        <v/>
      </c>
      <c r="F1375" s="38" t="inlineStr">
        <is>
          <t>NFV  :TENDA ATACADO LTDA</t>
        </is>
      </c>
      <c r="G1375" s="38" t="inlineStr">
        <is>
          <t>MARIO FRUGIS (01.04.01)</t>
        </is>
      </c>
      <c r="H1375" s="38" t="inlineStr">
        <is>
          <t>NFV</t>
        </is>
      </c>
      <c r="I1375" s="40" t="n">
        <v>30.39</v>
      </c>
      <c r="J1375" s="40" t="n">
        <v>0</v>
      </c>
      <c r="K1375" s="6">
        <f>I1375-J1375</f>
        <v/>
      </c>
      <c r="L1375" s="6">
        <f>IF(H1375="DISTRATO",0,I1375)</f>
        <v/>
      </c>
    </row>
    <row r="1376">
      <c r="A1376" s="38" t="inlineStr">
        <is>
          <t>Conta corrente MFRUGIS10.XLS</t>
        </is>
      </c>
      <c r="B1376" s="39" t="n">
        <v>40375</v>
      </c>
      <c r="C1376" s="4" t="n">
        <v>40360</v>
      </c>
      <c r="D1376" s="5">
        <f>YEAR(C1376)</f>
        <v/>
      </c>
      <c r="E1376" s="5">
        <f>MONTH(C1376)</f>
        <v/>
      </c>
      <c r="F1376" s="38" t="inlineStr">
        <is>
          <t>NFV  :TENDA ATACADO LTDA</t>
        </is>
      </c>
      <c r="G1376" s="38" t="inlineStr">
        <is>
          <t>MARIO FRUGIS (01.04.01)</t>
        </is>
      </c>
      <c r="H1376" s="38" t="inlineStr">
        <is>
          <t>NFV</t>
        </is>
      </c>
      <c r="I1376" s="40" t="n">
        <v>42.37</v>
      </c>
      <c r="J1376" s="40" t="n">
        <v>0</v>
      </c>
      <c r="K1376" s="6">
        <f>I1376-J1376</f>
        <v/>
      </c>
      <c r="L1376" s="6">
        <f>IF(H1376="DISTRATO",0,I1376)</f>
        <v/>
      </c>
    </row>
    <row r="1377">
      <c r="A1377" s="38" t="inlineStr">
        <is>
          <t>Conta corrente MFRUGIS10.XLS</t>
        </is>
      </c>
      <c r="B1377" s="39" t="n">
        <v>40375</v>
      </c>
      <c r="C1377" s="4" t="n">
        <v>40360</v>
      </c>
      <c r="D1377" s="5">
        <f>YEAR(C1377)</f>
        <v/>
      </c>
      <c r="E1377" s="5">
        <f>MONTH(C1377)</f>
        <v/>
      </c>
      <c r="F1377" s="38" t="inlineStr">
        <is>
          <t>NFV  :TENDA ATACADO LTDA</t>
        </is>
      </c>
      <c r="G1377" s="38" t="inlineStr">
        <is>
          <t>MARIO FRUGIS (01.04.01)</t>
        </is>
      </c>
      <c r="H1377" s="38" t="inlineStr">
        <is>
          <t>NFV</t>
        </is>
      </c>
      <c r="I1377" s="40" t="n">
        <v>22.2</v>
      </c>
      <c r="J1377" s="40" t="n">
        <v>0</v>
      </c>
      <c r="K1377" s="6">
        <f>I1377-J1377</f>
        <v/>
      </c>
      <c r="L1377" s="6">
        <f>IF(H1377="DISTRATO",0,I1377)</f>
        <v/>
      </c>
    </row>
    <row r="1378">
      <c r="A1378" s="38" t="inlineStr">
        <is>
          <t>Conta corrente MFRUGIS10.XLS</t>
        </is>
      </c>
      <c r="B1378" s="39" t="n">
        <v>40375</v>
      </c>
      <c r="C1378" s="4" t="n">
        <v>40360</v>
      </c>
      <c r="D1378" s="5">
        <f>YEAR(C1378)</f>
        <v/>
      </c>
      <c r="E1378" s="5">
        <f>MONTH(C1378)</f>
        <v/>
      </c>
      <c r="F1378" s="38" t="inlineStr">
        <is>
          <t>NFV  :TENDA ATACADO LTDA</t>
        </is>
      </c>
      <c r="G1378" s="38" t="inlineStr">
        <is>
          <t>MARIO FRUGIS (01.04.01)</t>
        </is>
      </c>
      <c r="H1378" s="38" t="inlineStr">
        <is>
          <t>NFV</t>
        </is>
      </c>
      <c r="I1378" s="40" t="n">
        <v>44.08</v>
      </c>
      <c r="J1378" s="40" t="n">
        <v>0</v>
      </c>
      <c r="K1378" s="6">
        <f>I1378-J1378</f>
        <v/>
      </c>
      <c r="L1378" s="6">
        <f>IF(H1378="DISTRATO",0,I1378)</f>
        <v/>
      </c>
    </row>
    <row r="1379">
      <c r="A1379" s="38" t="inlineStr">
        <is>
          <t>Conta corrente MFRUGIS10.XLS</t>
        </is>
      </c>
      <c r="B1379" s="39" t="n">
        <v>40375</v>
      </c>
      <c r="C1379" s="4" t="n">
        <v>40360</v>
      </c>
      <c r="D1379" s="5">
        <f>YEAR(C1379)</f>
        <v/>
      </c>
      <c r="E1379" s="5">
        <f>MONTH(C1379)</f>
        <v/>
      </c>
      <c r="F1379" s="38" t="inlineStr">
        <is>
          <t>NFV  :TENDA ATACADO LTDA</t>
        </is>
      </c>
      <c r="G1379" s="38" t="inlineStr">
        <is>
          <t>MARIO FRUGIS (01.04.01)</t>
        </is>
      </c>
      <c r="H1379" s="38" t="inlineStr">
        <is>
          <t>NFV</t>
        </is>
      </c>
      <c r="I1379" s="40" t="n">
        <v>35.89</v>
      </c>
      <c r="J1379" s="40" t="n">
        <v>0</v>
      </c>
      <c r="K1379" s="6">
        <f>I1379-J1379</f>
        <v/>
      </c>
      <c r="L1379" s="6">
        <f>IF(H1379="DISTRATO",0,I1379)</f>
        <v/>
      </c>
    </row>
    <row r="1380">
      <c r="A1380" s="38" t="inlineStr">
        <is>
          <t>Conta corrente MFRUGIS10.XLS</t>
        </is>
      </c>
      <c r="B1380" s="39" t="n">
        <v>40375</v>
      </c>
      <c r="C1380" s="4" t="n">
        <v>40360</v>
      </c>
      <c r="D1380" s="5">
        <f>YEAR(C1380)</f>
        <v/>
      </c>
      <c r="E1380" s="5">
        <f>MONTH(C1380)</f>
        <v/>
      </c>
      <c r="F1380" s="38" t="inlineStr">
        <is>
          <t>NFV  :TENDA ATACADO LTDA</t>
        </is>
      </c>
      <c r="G1380" s="38" t="inlineStr">
        <is>
          <t>MARIO FRUGIS (01.04.01)</t>
        </is>
      </c>
      <c r="H1380" s="38" t="inlineStr">
        <is>
          <t>NFV</t>
        </is>
      </c>
      <c r="I1380" s="40" t="n">
        <v>35.89</v>
      </c>
      <c r="J1380" s="40" t="n">
        <v>0</v>
      </c>
      <c r="K1380" s="6">
        <f>I1380-J1380</f>
        <v/>
      </c>
      <c r="L1380" s="6">
        <f>IF(H1380="DISTRATO",0,I1380)</f>
        <v/>
      </c>
    </row>
    <row r="1381">
      <c r="A1381" s="38" t="inlineStr">
        <is>
          <t>Conta corrente MFRUGIS10.XLS</t>
        </is>
      </c>
      <c r="B1381" s="39" t="n">
        <v>40375</v>
      </c>
      <c r="C1381" s="4" t="n">
        <v>40360</v>
      </c>
      <c r="D1381" s="5">
        <f>YEAR(C1381)</f>
        <v/>
      </c>
      <c r="E1381" s="5">
        <f>MONTH(C1381)</f>
        <v/>
      </c>
      <c r="F1381" s="38" t="inlineStr">
        <is>
          <t>NFV  :TENDA ATACADO LTDA</t>
        </is>
      </c>
      <c r="G1381" s="38" t="inlineStr">
        <is>
          <t>MARIO FRUGIS (01.04.01)</t>
        </is>
      </c>
      <c r="H1381" s="38" t="inlineStr">
        <is>
          <t>NFV</t>
        </is>
      </c>
      <c r="I1381" s="40" t="n">
        <v>40.14</v>
      </c>
      <c r="J1381" s="40" t="n">
        <v>0</v>
      </c>
      <c r="K1381" s="6">
        <f>I1381-J1381</f>
        <v/>
      </c>
      <c r="L1381" s="6">
        <f>IF(H1381="DISTRATO",0,I1381)</f>
        <v/>
      </c>
    </row>
    <row r="1382">
      <c r="A1382" s="38" t="inlineStr">
        <is>
          <t>Conta corrente MFRUGIS10.XLS</t>
        </is>
      </c>
      <c r="B1382" s="39" t="n">
        <v>40375</v>
      </c>
      <c r="C1382" s="4" t="n">
        <v>40360</v>
      </c>
      <c r="D1382" s="5">
        <f>YEAR(C1382)</f>
        <v/>
      </c>
      <c r="E1382" s="5">
        <f>MONTH(C1382)</f>
        <v/>
      </c>
      <c r="F1382" s="38" t="inlineStr">
        <is>
          <t>NFV  :TENDA ATACADO LTDA</t>
        </is>
      </c>
      <c r="G1382" s="38" t="inlineStr">
        <is>
          <t>MARIO FRUGIS (01.04.01)</t>
        </is>
      </c>
      <c r="H1382" s="38" t="inlineStr">
        <is>
          <t>NFV</t>
        </is>
      </c>
      <c r="I1382" s="40" t="n">
        <v>40.14</v>
      </c>
      <c r="J1382" s="40" t="n">
        <v>0</v>
      </c>
      <c r="K1382" s="6">
        <f>I1382-J1382</f>
        <v/>
      </c>
      <c r="L1382" s="6">
        <f>IF(H1382="DISTRATO",0,I1382)</f>
        <v/>
      </c>
    </row>
    <row r="1383">
      <c r="A1383" s="38" t="inlineStr">
        <is>
          <t>Conta corrente MFRUGIS10.XLS</t>
        </is>
      </c>
      <c r="B1383" s="39" t="n">
        <v>40375</v>
      </c>
      <c r="C1383" s="4" t="n">
        <v>40360</v>
      </c>
      <c r="D1383" s="5">
        <f>YEAR(C1383)</f>
        <v/>
      </c>
      <c r="E1383" s="5">
        <f>MONTH(C1383)</f>
        <v/>
      </c>
      <c r="F1383" s="38" t="inlineStr">
        <is>
          <t>NFV  :TENDA ATACADO LTDA</t>
        </is>
      </c>
      <c r="G1383" s="38" t="inlineStr">
        <is>
          <t>MARIO FRUGIS (01.04.01)</t>
        </is>
      </c>
      <c r="H1383" s="38" t="inlineStr">
        <is>
          <t>NFV</t>
        </is>
      </c>
      <c r="I1383" s="40" t="n">
        <v>46.73</v>
      </c>
      <c r="J1383" s="40" t="n">
        <v>0</v>
      </c>
      <c r="K1383" s="6">
        <f>I1383-J1383</f>
        <v/>
      </c>
      <c r="L1383" s="6">
        <f>IF(H1383="DISTRATO",0,I1383)</f>
        <v/>
      </c>
    </row>
    <row r="1384">
      <c r="A1384" s="38" t="inlineStr">
        <is>
          <t>Conta corrente MFRUGIS10.XLS</t>
        </is>
      </c>
      <c r="B1384" s="39" t="n">
        <v>40375</v>
      </c>
      <c r="C1384" s="4" t="n">
        <v>40360</v>
      </c>
      <c r="D1384" s="5">
        <f>YEAR(C1384)</f>
        <v/>
      </c>
      <c r="E1384" s="5">
        <f>MONTH(C1384)</f>
        <v/>
      </c>
      <c r="F1384" s="38" t="inlineStr">
        <is>
          <t>NFV  :TENDA ATACADO LTDA</t>
        </is>
      </c>
      <c r="G1384" s="38" t="inlineStr">
        <is>
          <t>MARIO FRUGIS (01.04.01)</t>
        </is>
      </c>
      <c r="H1384" s="38" t="inlineStr">
        <is>
          <t>NFV</t>
        </is>
      </c>
      <c r="I1384" s="40" t="n">
        <v>47.73</v>
      </c>
      <c r="J1384" s="40" t="n">
        <v>0</v>
      </c>
      <c r="K1384" s="6">
        <f>I1384-J1384</f>
        <v/>
      </c>
      <c r="L1384" s="6">
        <f>IF(H1384="DISTRATO",0,I1384)</f>
        <v/>
      </c>
    </row>
    <row r="1385">
      <c r="A1385" s="38" t="inlineStr">
        <is>
          <t>Conta corrente MFRUGIS10.XLS</t>
        </is>
      </c>
      <c r="B1385" s="39" t="n">
        <v>40375</v>
      </c>
      <c r="C1385" s="4" t="n">
        <v>40360</v>
      </c>
      <c r="D1385" s="5">
        <f>YEAR(C1385)</f>
        <v/>
      </c>
      <c r="E1385" s="5">
        <f>MONTH(C1385)</f>
        <v/>
      </c>
      <c r="F1385" s="38" t="inlineStr">
        <is>
          <t>NFV  :TENDA ATACADO LTDA</t>
        </is>
      </c>
      <c r="G1385" s="38" t="inlineStr">
        <is>
          <t>MARIO FRUGIS (01.04.01)</t>
        </is>
      </c>
      <c r="H1385" s="38" t="inlineStr">
        <is>
          <t>NFV</t>
        </is>
      </c>
      <c r="I1385" s="40" t="n">
        <v>41.35</v>
      </c>
      <c r="J1385" s="40" t="n">
        <v>0</v>
      </c>
      <c r="K1385" s="6">
        <f>I1385-J1385</f>
        <v/>
      </c>
      <c r="L1385" s="6">
        <f>IF(H1385="DISTRATO",0,I1385)</f>
        <v/>
      </c>
    </row>
    <row r="1386">
      <c r="A1386" s="38" t="inlineStr">
        <is>
          <t>Conta corrente MFRUGIS10.XLS</t>
        </is>
      </c>
      <c r="B1386" s="39" t="n">
        <v>40389</v>
      </c>
      <c r="C1386" s="4" t="n">
        <v>40360</v>
      </c>
      <c r="D1386" s="5">
        <f>YEAR(C1386)</f>
        <v/>
      </c>
      <c r="E1386" s="5">
        <f>MONTH(C1386)</f>
        <v/>
      </c>
      <c r="F1386" s="38" t="inlineStr">
        <is>
          <t>BONIF:TENDA ATACADO LTDA</t>
        </is>
      </c>
      <c r="G1386" s="38" t="inlineStr">
        <is>
          <t>MARIO FRUGIS (01.04.01)</t>
        </is>
      </c>
      <c r="H1386" s="38" t="inlineStr">
        <is>
          <t>BONIFICACAO</t>
        </is>
      </c>
      <c r="I1386" s="40" t="n">
        <v>-53.53</v>
      </c>
      <c r="J1386" s="40" t="n">
        <v>0</v>
      </c>
      <c r="K1386" s="6">
        <f>I1386-J1386</f>
        <v/>
      </c>
      <c r="L1386" s="6">
        <f>IF(H1386="DISTRATO",0,I1386)</f>
        <v/>
      </c>
    </row>
    <row r="1387">
      <c r="A1387" s="38" t="inlineStr">
        <is>
          <t>Conta corrente MFRUGIS10.XLS</t>
        </is>
      </c>
      <c r="B1387" s="39" t="n">
        <v>40389</v>
      </c>
      <c r="C1387" s="4" t="n">
        <v>40360</v>
      </c>
      <c r="D1387" s="5">
        <f>YEAR(C1387)</f>
        <v/>
      </c>
      <c r="E1387" s="5">
        <f>MONTH(C1387)</f>
        <v/>
      </c>
      <c r="F1387" s="38" t="inlineStr">
        <is>
          <t>NFV  :TENDA ATACADO LTDA</t>
        </is>
      </c>
      <c r="G1387" s="38" t="inlineStr">
        <is>
          <t>MARIO FRUGIS (01.04.01)</t>
        </is>
      </c>
      <c r="H1387" s="38" t="inlineStr">
        <is>
          <t>NFV</t>
        </is>
      </c>
      <c r="I1387" s="40" t="n">
        <v>38.65</v>
      </c>
      <c r="J1387" s="40" t="n">
        <v>0</v>
      </c>
      <c r="K1387" s="6">
        <f>I1387-J1387</f>
        <v/>
      </c>
      <c r="L1387" s="6">
        <f>IF(H1387="DISTRATO",0,I1387)</f>
        <v/>
      </c>
    </row>
    <row r="1388">
      <c r="A1388" s="38" t="inlineStr">
        <is>
          <t>Conta corrente MFRUGIS10.XLS</t>
        </is>
      </c>
      <c r="B1388" s="39" t="n">
        <v>40389</v>
      </c>
      <c r="C1388" s="4" t="n">
        <v>40360</v>
      </c>
      <c r="D1388" s="5">
        <f>YEAR(C1388)</f>
        <v/>
      </c>
      <c r="E1388" s="5">
        <f>MONTH(C1388)</f>
        <v/>
      </c>
      <c r="F1388" s="38" t="inlineStr">
        <is>
          <t>NFV  :TENDA ATACADO LTDA</t>
        </is>
      </c>
      <c r="G1388" s="38" t="inlineStr">
        <is>
          <t>MARIO FRUGIS (01.04.01)</t>
        </is>
      </c>
      <c r="H1388" s="38" t="inlineStr">
        <is>
          <t>NFV</t>
        </is>
      </c>
      <c r="I1388" s="40" t="n">
        <v>28.51</v>
      </c>
      <c r="J1388" s="40" t="n">
        <v>0</v>
      </c>
      <c r="K1388" s="6">
        <f>I1388-J1388</f>
        <v/>
      </c>
      <c r="L1388" s="6">
        <f>IF(H1388="DISTRATO",0,I1388)</f>
        <v/>
      </c>
    </row>
    <row r="1389">
      <c r="A1389" s="38" t="inlineStr">
        <is>
          <t>Conta corrente MFRUGIS10.XLS</t>
        </is>
      </c>
      <c r="B1389" s="39" t="n">
        <v>40389</v>
      </c>
      <c r="C1389" s="4" t="n">
        <v>40360</v>
      </c>
      <c r="D1389" s="5">
        <f>YEAR(C1389)</f>
        <v/>
      </c>
      <c r="E1389" s="5">
        <f>MONTH(C1389)</f>
        <v/>
      </c>
      <c r="F1389" s="38" t="inlineStr">
        <is>
          <t>NFV  :TENDA ATACADO LTDA</t>
        </is>
      </c>
      <c r="G1389" s="38" t="inlineStr">
        <is>
          <t>MARIO FRUGIS (01.04.01)</t>
        </is>
      </c>
      <c r="H1389" s="38" t="inlineStr">
        <is>
          <t>NFV</t>
        </is>
      </c>
      <c r="I1389" s="40" t="n">
        <v>62.3</v>
      </c>
      <c r="J1389" s="40" t="n">
        <v>0</v>
      </c>
      <c r="K1389" s="6">
        <f>I1389-J1389</f>
        <v/>
      </c>
      <c r="L1389" s="6">
        <f>IF(H1389="DISTRATO",0,I1389)</f>
        <v/>
      </c>
    </row>
    <row r="1390">
      <c r="A1390" s="38" t="inlineStr">
        <is>
          <t>Conta corrente MFRUGIS10.XLS</t>
        </is>
      </c>
      <c r="B1390" s="39" t="n">
        <v>40389</v>
      </c>
      <c r="C1390" s="4" t="n">
        <v>40360</v>
      </c>
      <c r="D1390" s="5">
        <f>YEAR(C1390)</f>
        <v/>
      </c>
      <c r="E1390" s="5">
        <f>MONTH(C1390)</f>
        <v/>
      </c>
      <c r="F1390" s="38" t="inlineStr">
        <is>
          <t>NFV  :TENDA ATACADO LTDA</t>
        </is>
      </c>
      <c r="G1390" s="38" t="inlineStr">
        <is>
          <t>MARIO FRUGIS (01.04.01)</t>
        </is>
      </c>
      <c r="H1390" s="38" t="inlineStr">
        <is>
          <t>NFV</t>
        </is>
      </c>
      <c r="I1390" s="40" t="n">
        <v>14.27</v>
      </c>
      <c r="J1390" s="40" t="n">
        <v>0</v>
      </c>
      <c r="K1390" s="6">
        <f>I1390-J1390</f>
        <v/>
      </c>
      <c r="L1390" s="6">
        <f>IF(H1390="DISTRATO",0,I1390)</f>
        <v/>
      </c>
    </row>
    <row r="1391">
      <c r="A1391" s="38" t="inlineStr">
        <is>
          <t>Conta corrente MFRUGIS10.XLS</t>
        </is>
      </c>
      <c r="B1391" s="39" t="n">
        <v>40389</v>
      </c>
      <c r="C1391" s="4" t="n">
        <v>40360</v>
      </c>
      <c r="D1391" s="5">
        <f>YEAR(C1391)</f>
        <v/>
      </c>
      <c r="E1391" s="5">
        <f>MONTH(C1391)</f>
        <v/>
      </c>
      <c r="F1391" s="38" t="inlineStr">
        <is>
          <t>NFV  :TENDA ATACADO LTDA</t>
        </is>
      </c>
      <c r="G1391" s="38" t="inlineStr">
        <is>
          <t>MARIO FRUGIS (01.04.01)</t>
        </is>
      </c>
      <c r="H1391" s="38" t="inlineStr">
        <is>
          <t>NFV</t>
        </is>
      </c>
      <c r="I1391" s="40" t="n">
        <v>31.32</v>
      </c>
      <c r="J1391" s="40" t="n">
        <v>0</v>
      </c>
      <c r="K1391" s="6">
        <f>I1391-J1391</f>
        <v/>
      </c>
      <c r="L1391" s="6">
        <f>IF(H1391="DISTRATO",0,I1391)</f>
        <v/>
      </c>
    </row>
    <row r="1392">
      <c r="A1392" s="38" t="inlineStr">
        <is>
          <t>Conta corrente MFRUGIS10.XLS</t>
        </is>
      </c>
      <c r="B1392" s="39" t="n">
        <v>40389</v>
      </c>
      <c r="C1392" s="4" t="n">
        <v>40360</v>
      </c>
      <c r="D1392" s="5">
        <f>YEAR(C1392)</f>
        <v/>
      </c>
      <c r="E1392" s="5">
        <f>MONTH(C1392)</f>
        <v/>
      </c>
      <c r="F1392" s="38" t="inlineStr">
        <is>
          <t>NFV  :TENDA ATACADO LTDA</t>
        </is>
      </c>
      <c r="G1392" s="38" t="inlineStr">
        <is>
          <t>MARIO FRUGIS (01.04.01)</t>
        </is>
      </c>
      <c r="H1392" s="38" t="inlineStr">
        <is>
          <t>NFV</t>
        </is>
      </c>
      <c r="I1392" s="40" t="n">
        <v>19.71</v>
      </c>
      <c r="J1392" s="40" t="n">
        <v>0</v>
      </c>
      <c r="K1392" s="6">
        <f>I1392-J1392</f>
        <v/>
      </c>
      <c r="L1392" s="6">
        <f>IF(H1392="DISTRATO",0,I1392)</f>
        <v/>
      </c>
    </row>
    <row r="1393">
      <c r="A1393" s="38" t="inlineStr">
        <is>
          <t>Conta corrente MFRUGIS10.XLS</t>
        </is>
      </c>
      <c r="B1393" s="39" t="n">
        <v>40389</v>
      </c>
      <c r="C1393" s="4" t="n">
        <v>40360</v>
      </c>
      <c r="D1393" s="5">
        <f>YEAR(C1393)</f>
        <v/>
      </c>
      <c r="E1393" s="5">
        <f>MONTH(C1393)</f>
        <v/>
      </c>
      <c r="F1393" s="38" t="inlineStr">
        <is>
          <t>NFV  :TENDA ATACADO LTDA</t>
        </is>
      </c>
      <c r="G1393" s="38" t="inlineStr">
        <is>
          <t>MARIO FRUGIS (01.04.01)</t>
        </is>
      </c>
      <c r="H1393" s="38" t="inlineStr">
        <is>
          <t>NFV</t>
        </is>
      </c>
      <c r="I1393" s="40" t="n">
        <v>62.01</v>
      </c>
      <c r="J1393" s="40" t="n">
        <v>0</v>
      </c>
      <c r="K1393" s="6">
        <f>I1393-J1393</f>
        <v/>
      </c>
      <c r="L1393" s="6">
        <f>IF(H1393="DISTRATO",0,I1393)</f>
        <v/>
      </c>
    </row>
    <row r="1394">
      <c r="A1394" s="38" t="inlineStr">
        <is>
          <t>Conta corrente MFRUGIS10.XLS</t>
        </is>
      </c>
      <c r="B1394" s="39" t="n">
        <v>40389</v>
      </c>
      <c r="C1394" s="4" t="n">
        <v>40360</v>
      </c>
      <c r="D1394" s="5">
        <f>YEAR(C1394)</f>
        <v/>
      </c>
      <c r="E1394" s="5">
        <f>MONTH(C1394)</f>
        <v/>
      </c>
      <c r="F1394" s="38" t="inlineStr">
        <is>
          <t>NFV  :TENDA ATACADO LTDA</t>
        </is>
      </c>
      <c r="G1394" s="38" t="inlineStr">
        <is>
          <t>MARIO FRUGIS (01.04.01)</t>
        </is>
      </c>
      <c r="H1394" s="38" t="inlineStr">
        <is>
          <t>NFV</t>
        </is>
      </c>
      <c r="I1394" s="40" t="n">
        <v>122.77</v>
      </c>
      <c r="J1394" s="40" t="n">
        <v>0</v>
      </c>
      <c r="K1394" s="6">
        <f>I1394-J1394</f>
        <v/>
      </c>
      <c r="L1394" s="6">
        <f>IF(H1394="DISTRATO",0,I1394)</f>
        <v/>
      </c>
    </row>
    <row r="1395">
      <c r="A1395" s="38" t="inlineStr">
        <is>
          <t>Conta corrente MFRUGIS10.XLS</t>
        </is>
      </c>
      <c r="B1395" s="39" t="n">
        <v>40390</v>
      </c>
      <c r="C1395" s="4" t="n">
        <v>40360</v>
      </c>
      <c r="D1395" s="5">
        <f>YEAR(C1395)</f>
        <v/>
      </c>
      <c r="E1395" s="5">
        <f>MONTH(C1395)</f>
        <v/>
      </c>
      <c r="F1395" s="38" t="inlineStr">
        <is>
          <t>BONIF:TENDA ATACADO LTDA</t>
        </is>
      </c>
      <c r="G1395" s="38" t="inlineStr">
        <is>
          <t>MARIO FRUGIS (01.04.01)</t>
        </is>
      </c>
      <c r="H1395" s="38" t="inlineStr">
        <is>
          <t>BONIFICACAO</t>
        </is>
      </c>
      <c r="I1395" s="40" t="n">
        <v>-53.53</v>
      </c>
      <c r="J1395" s="40" t="n">
        <v>0</v>
      </c>
      <c r="K1395" s="6">
        <f>I1395-J1395</f>
        <v/>
      </c>
      <c r="L1395" s="6">
        <f>IF(H1395="DISTRATO",0,I1395)</f>
        <v/>
      </c>
    </row>
    <row r="1396">
      <c r="A1396" s="38" t="inlineStr">
        <is>
          <t>Conta corrente MFRUGIS10.XLS</t>
        </is>
      </c>
      <c r="B1396" s="39" t="n">
        <v>40390</v>
      </c>
      <c r="C1396" s="4" t="n">
        <v>40360</v>
      </c>
      <c r="D1396" s="5">
        <f>YEAR(C1396)</f>
        <v/>
      </c>
      <c r="E1396" s="5">
        <f>MONTH(C1396)</f>
        <v/>
      </c>
      <c r="F1396" s="38" t="inlineStr">
        <is>
          <t>NFV  :TENDA ATACADO LTDA</t>
        </is>
      </c>
      <c r="G1396" s="38" t="inlineStr">
        <is>
          <t>MARIO FRUGIS (01.04.01)</t>
        </is>
      </c>
      <c r="H1396" s="38" t="inlineStr">
        <is>
          <t>NFV</t>
        </is>
      </c>
      <c r="I1396" s="40" t="n">
        <v>33.4</v>
      </c>
      <c r="J1396" s="40" t="n">
        <v>0</v>
      </c>
      <c r="K1396" s="6">
        <f>I1396-J1396</f>
        <v/>
      </c>
      <c r="L1396" s="6">
        <f>IF(H1396="DISTRATO",0,I1396)</f>
        <v/>
      </c>
    </row>
    <row r="1397">
      <c r="A1397" s="38" t="inlineStr">
        <is>
          <t>Conta corrente MFRUGIS10.XLS</t>
        </is>
      </c>
      <c r="B1397" s="39" t="n">
        <v>40390</v>
      </c>
      <c r="C1397" s="4" t="n">
        <v>40360</v>
      </c>
      <c r="D1397" s="5">
        <f>YEAR(C1397)</f>
        <v/>
      </c>
      <c r="E1397" s="5">
        <f>MONTH(C1397)</f>
        <v/>
      </c>
      <c r="F1397" s="38" t="inlineStr">
        <is>
          <t>NFV  :TENDA ATACADO LTDA</t>
        </is>
      </c>
      <c r="G1397" s="38" t="inlineStr">
        <is>
          <t>MARIO FRUGIS (01.04.01)</t>
        </is>
      </c>
      <c r="H1397" s="38" t="inlineStr">
        <is>
          <t>NFV</t>
        </is>
      </c>
      <c r="I1397" s="40" t="n">
        <v>91.05</v>
      </c>
      <c r="J1397" s="40" t="n">
        <v>0</v>
      </c>
      <c r="K1397" s="6">
        <f>I1397-J1397</f>
        <v/>
      </c>
      <c r="L1397" s="6">
        <f>IF(H1397="DISTRATO",0,I1397)</f>
        <v/>
      </c>
    </row>
    <row r="1398">
      <c r="A1398" s="38" t="inlineStr">
        <is>
          <t>Conta corrente MFRUGIS10.XLS</t>
        </is>
      </c>
      <c r="B1398" s="39" t="n">
        <v>40390</v>
      </c>
      <c r="C1398" s="4" t="n">
        <v>40360</v>
      </c>
      <c r="D1398" s="5">
        <f>YEAR(C1398)</f>
        <v/>
      </c>
      <c r="E1398" s="5">
        <f>MONTH(C1398)</f>
        <v/>
      </c>
      <c r="F1398" s="38" t="inlineStr">
        <is>
          <t>NFV  :TENDA ATACADO LTDA</t>
        </is>
      </c>
      <c r="G1398" s="38" t="inlineStr">
        <is>
          <t>MARIO FRUGIS (01.04.01)</t>
        </is>
      </c>
      <c r="H1398" s="38" t="inlineStr">
        <is>
          <t>NFV</t>
        </is>
      </c>
      <c r="I1398" s="40" t="n">
        <v>45.43</v>
      </c>
      <c r="J1398" s="40" t="n">
        <v>0</v>
      </c>
      <c r="K1398" s="6">
        <f>I1398-J1398</f>
        <v/>
      </c>
      <c r="L1398" s="6">
        <f>IF(H1398="DISTRATO",0,I1398)</f>
        <v/>
      </c>
    </row>
    <row r="1399">
      <c r="A1399" s="38" t="inlineStr">
        <is>
          <t>Conta corrente MFRUGIS10.XLS</t>
        </is>
      </c>
      <c r="B1399" s="39" t="n">
        <v>40390</v>
      </c>
      <c r="C1399" s="4" t="n">
        <v>40360</v>
      </c>
      <c r="D1399" s="5">
        <f>YEAR(C1399)</f>
        <v/>
      </c>
      <c r="E1399" s="5">
        <f>MONTH(C1399)</f>
        <v/>
      </c>
      <c r="F1399" s="38" t="inlineStr">
        <is>
          <t>NFV  :TENDA ATACADO LTDA</t>
        </is>
      </c>
      <c r="G1399" s="38" t="inlineStr">
        <is>
          <t>MARIO FRUGIS (01.04.01)</t>
        </is>
      </c>
      <c r="H1399" s="38" t="inlineStr">
        <is>
          <t>NFV</t>
        </is>
      </c>
      <c r="I1399" s="40" t="n">
        <v>18.73</v>
      </c>
      <c r="J1399" s="40" t="n">
        <v>0</v>
      </c>
      <c r="K1399" s="6">
        <f>I1399-J1399</f>
        <v/>
      </c>
      <c r="L1399" s="6">
        <f>IF(H1399="DISTRATO",0,I1399)</f>
        <v/>
      </c>
    </row>
    <row r="1400">
      <c r="A1400" s="38" t="inlineStr">
        <is>
          <t>Conta corrente MFRUGIS10.XLS</t>
        </is>
      </c>
      <c r="B1400" s="39" t="n">
        <v>40390</v>
      </c>
      <c r="C1400" s="4" t="n">
        <v>40360</v>
      </c>
      <c r="D1400" s="5">
        <f>YEAR(C1400)</f>
        <v/>
      </c>
      <c r="E1400" s="5">
        <f>MONTH(C1400)</f>
        <v/>
      </c>
      <c r="F1400" s="38" t="inlineStr">
        <is>
          <t>NFV  :TENDA ATACADO LTDA</t>
        </is>
      </c>
      <c r="G1400" s="38" t="inlineStr">
        <is>
          <t>MARIO FRUGIS (01.04.01)</t>
        </is>
      </c>
      <c r="H1400" s="38" t="inlineStr">
        <is>
          <t>NFV</t>
        </is>
      </c>
      <c r="I1400" s="40" t="n">
        <v>21.26</v>
      </c>
      <c r="J1400" s="40" t="n">
        <v>0</v>
      </c>
      <c r="K1400" s="6">
        <f>I1400-J1400</f>
        <v/>
      </c>
      <c r="L1400" s="6">
        <f>IF(H1400="DISTRATO",0,I1400)</f>
        <v/>
      </c>
    </row>
    <row r="1401">
      <c r="A1401" s="38" t="inlineStr">
        <is>
          <t>Conta corrente MFRUGIS10.XLS</t>
        </is>
      </c>
      <c r="B1401" s="39" t="n">
        <v>40390</v>
      </c>
      <c r="C1401" s="4" t="n">
        <v>40360</v>
      </c>
      <c r="D1401" s="5">
        <f>YEAR(C1401)</f>
        <v/>
      </c>
      <c r="E1401" s="5">
        <f>MONTH(C1401)</f>
        <v/>
      </c>
      <c r="F1401" s="38" t="inlineStr">
        <is>
          <t>NFV  :TENDA ATACADO LTDA</t>
        </is>
      </c>
      <c r="G1401" s="38" t="inlineStr">
        <is>
          <t>MARIO FRUGIS (01.04.01)</t>
        </is>
      </c>
      <c r="H1401" s="38" t="inlineStr">
        <is>
          <t>NFV</t>
        </is>
      </c>
      <c r="I1401" s="40" t="n">
        <v>43.52</v>
      </c>
      <c r="J1401" s="40" t="n">
        <v>0</v>
      </c>
      <c r="K1401" s="6">
        <f>I1401-J1401</f>
        <v/>
      </c>
      <c r="L1401" s="6">
        <f>IF(H1401="DISTRATO",0,I1401)</f>
        <v/>
      </c>
    </row>
    <row r="1402">
      <c r="A1402" s="38" t="inlineStr">
        <is>
          <t>Conta corrente MFRUGIS10.XLS</t>
        </is>
      </c>
      <c r="B1402" s="39" t="n">
        <v>40390</v>
      </c>
      <c r="C1402" s="4" t="n">
        <v>40360</v>
      </c>
      <c r="D1402" s="5">
        <f>YEAR(C1402)</f>
        <v/>
      </c>
      <c r="E1402" s="5">
        <f>MONTH(C1402)</f>
        <v/>
      </c>
      <c r="F1402" s="38" t="inlineStr">
        <is>
          <t>NFV  :TENDA ATACADO LTDA</t>
        </is>
      </c>
      <c r="G1402" s="38" t="inlineStr">
        <is>
          <t>MARIO FRUGIS (01.04.01)</t>
        </is>
      </c>
      <c r="H1402" s="38" t="inlineStr">
        <is>
          <t>NFV</t>
        </is>
      </c>
      <c r="I1402" s="40" t="n">
        <v>48.05</v>
      </c>
      <c r="J1402" s="40" t="n">
        <v>0</v>
      </c>
      <c r="K1402" s="6">
        <f>I1402-J1402</f>
        <v/>
      </c>
      <c r="L1402" s="6">
        <f>IF(H1402="DISTRATO",0,I1402)</f>
        <v/>
      </c>
    </row>
    <row r="1403">
      <c r="A1403" s="38" t="inlineStr">
        <is>
          <t>Conta corrente MFRUGIS10.XLS</t>
        </is>
      </c>
      <c r="B1403" s="39" t="n">
        <v>40390</v>
      </c>
      <c r="C1403" s="4" t="n">
        <v>40360</v>
      </c>
      <c r="D1403" s="5">
        <f>YEAR(C1403)</f>
        <v/>
      </c>
      <c r="E1403" s="5">
        <f>MONTH(C1403)</f>
        <v/>
      </c>
      <c r="F1403" s="38" t="inlineStr">
        <is>
          <t>NFV  :TENDA ATACADO LTDA</t>
        </is>
      </c>
      <c r="G1403" s="38" t="inlineStr">
        <is>
          <t>MARIO FRUGIS (01.04.01)</t>
        </is>
      </c>
      <c r="H1403" s="38" t="inlineStr">
        <is>
          <t>NFV</t>
        </is>
      </c>
      <c r="I1403" s="40" t="n">
        <v>89.09999999999999</v>
      </c>
      <c r="J1403" s="40" t="n">
        <v>0</v>
      </c>
      <c r="K1403" s="6">
        <f>I1403-J1403</f>
        <v/>
      </c>
      <c r="L1403" s="6">
        <f>IF(H1403="DISTRATO",0,I1403)</f>
        <v/>
      </c>
    </row>
    <row r="1404">
      <c r="A1404" s="38" t="inlineStr">
        <is>
          <t>Conta corrente MFRUGIS10.XLS</t>
        </is>
      </c>
      <c r="B1404" s="39" t="n">
        <v>40390</v>
      </c>
      <c r="C1404" s="4" t="n">
        <v>40360</v>
      </c>
      <c r="D1404" s="5">
        <f>YEAR(C1404)</f>
        <v/>
      </c>
      <c r="E1404" s="5">
        <f>MONTH(C1404)</f>
        <v/>
      </c>
      <c r="F1404" s="38" t="inlineStr">
        <is>
          <t>NFV  :TENDA ATACADO LTDA</t>
        </is>
      </c>
      <c r="G1404" s="38" t="inlineStr">
        <is>
          <t>MARIO FRUGIS (01.04.01)</t>
        </is>
      </c>
      <c r="H1404" s="38" t="inlineStr">
        <is>
          <t>NFV</t>
        </is>
      </c>
      <c r="I1404" s="40" t="n">
        <v>102.66</v>
      </c>
      <c r="J1404" s="40" t="n">
        <v>0</v>
      </c>
      <c r="K1404" s="6">
        <f>I1404-J1404</f>
        <v/>
      </c>
      <c r="L1404" s="6">
        <f>IF(H1404="DISTRATO",0,I1404)</f>
        <v/>
      </c>
    </row>
    <row r="1405">
      <c r="A1405" s="38" t="inlineStr">
        <is>
          <t>Conta corrente MFRUGIS10.XLS</t>
        </is>
      </c>
      <c r="B1405" s="39" t="n">
        <v>40390</v>
      </c>
      <c r="C1405" s="4" t="n">
        <v>40360</v>
      </c>
      <c r="D1405" s="5">
        <f>YEAR(C1405)</f>
        <v/>
      </c>
      <c r="E1405" s="5">
        <f>MONTH(C1405)</f>
        <v/>
      </c>
      <c r="F1405" s="38" t="inlineStr">
        <is>
          <t>NFV  :TENDA ATACADO LTDA</t>
        </is>
      </c>
      <c r="G1405" s="38" t="inlineStr">
        <is>
          <t>MARIO FRUGIS (01.04.01)</t>
        </is>
      </c>
      <c r="H1405" s="38" t="inlineStr">
        <is>
          <t>NFV</t>
        </is>
      </c>
      <c r="I1405" s="40" t="n">
        <v>27.43</v>
      </c>
      <c r="J1405" s="40" t="n">
        <v>0</v>
      </c>
      <c r="K1405" s="6">
        <f>I1405-J1405</f>
        <v/>
      </c>
      <c r="L1405" s="6">
        <f>IF(H1405="DISTRATO",0,I1405)</f>
        <v/>
      </c>
    </row>
    <row r="1406">
      <c r="A1406" s="38" t="inlineStr">
        <is>
          <t>Conta corrente MFRUGIS10.XLS</t>
        </is>
      </c>
      <c r="B1406" s="39" t="n">
        <v>40390</v>
      </c>
      <c r="C1406" s="4" t="n">
        <v>40360</v>
      </c>
      <c r="D1406" s="5">
        <f>YEAR(C1406)</f>
        <v/>
      </c>
      <c r="E1406" s="5">
        <f>MONTH(C1406)</f>
        <v/>
      </c>
      <c r="F1406" s="38" t="inlineStr">
        <is>
          <t>NFV  :TENDA ATACADO LTDA</t>
        </is>
      </c>
      <c r="G1406" s="38" t="inlineStr">
        <is>
          <t>MARIO FRUGIS (01.04.01)</t>
        </is>
      </c>
      <c r="H1406" s="38" t="inlineStr">
        <is>
          <t>NFV</t>
        </is>
      </c>
      <c r="I1406" s="40" t="n">
        <v>25.21</v>
      </c>
      <c r="J1406" s="40" t="n">
        <v>0</v>
      </c>
      <c r="K1406" s="6">
        <f>I1406-J1406</f>
        <v/>
      </c>
      <c r="L1406" s="6">
        <f>IF(H1406="DISTRATO",0,I1406)</f>
        <v/>
      </c>
    </row>
    <row r="1407">
      <c r="A1407" s="38" t="inlineStr">
        <is>
          <t>Conta corrente MFRUGIS10.XLS</t>
        </is>
      </c>
      <c r="B1407" s="39" t="n">
        <v>40390</v>
      </c>
      <c r="C1407" s="4" t="n">
        <v>40360</v>
      </c>
      <c r="D1407" s="5">
        <f>YEAR(C1407)</f>
        <v/>
      </c>
      <c r="E1407" s="5">
        <f>MONTH(C1407)</f>
        <v/>
      </c>
      <c r="F1407" s="38" t="inlineStr">
        <is>
          <t>NFV  :TENDA ATACADO LTDA</t>
        </is>
      </c>
      <c r="G1407" s="38" t="inlineStr">
        <is>
          <t>MARIO FRUGIS (01.04.01)</t>
        </is>
      </c>
      <c r="H1407" s="38" t="inlineStr">
        <is>
          <t>NFV</t>
        </is>
      </c>
      <c r="I1407" s="40" t="n">
        <v>34.01</v>
      </c>
      <c r="J1407" s="40" t="n">
        <v>0</v>
      </c>
      <c r="K1407" s="6">
        <f>I1407-J1407</f>
        <v/>
      </c>
      <c r="L1407" s="6">
        <f>IF(H1407="DISTRATO",0,I1407)</f>
        <v/>
      </c>
    </row>
    <row r="1408">
      <c r="A1408" s="38" t="inlineStr">
        <is>
          <t>Conta corrente MFRUGIS10.XLS</t>
        </is>
      </c>
      <c r="B1408" s="39" t="n">
        <v>40390</v>
      </c>
      <c r="C1408" s="4" t="n">
        <v>40360</v>
      </c>
      <c r="D1408" s="5">
        <f>YEAR(C1408)</f>
        <v/>
      </c>
      <c r="E1408" s="5">
        <f>MONTH(C1408)</f>
        <v/>
      </c>
      <c r="F1408" s="38" t="inlineStr">
        <is>
          <t>NFV  :TENDA ATACADO LTDA</t>
        </is>
      </c>
      <c r="G1408" s="38" t="inlineStr">
        <is>
          <t>MARIO FRUGIS (01.04.01)</t>
        </is>
      </c>
      <c r="H1408" s="38" t="inlineStr">
        <is>
          <t>NFV</t>
        </is>
      </c>
      <c r="I1408" s="40" t="n">
        <v>40.29</v>
      </c>
      <c r="J1408" s="40" t="n">
        <v>0</v>
      </c>
      <c r="K1408" s="6">
        <f>I1408-J1408</f>
        <v/>
      </c>
      <c r="L1408" s="6">
        <f>IF(H1408="DISTRATO",0,I1408)</f>
        <v/>
      </c>
    </row>
    <row r="1409">
      <c r="A1409" s="38" t="inlineStr">
        <is>
          <t>Conta corrente MFRUGIS10.XLS</t>
        </is>
      </c>
      <c r="B1409" s="39" t="n">
        <v>40390</v>
      </c>
      <c r="C1409" s="4" t="n">
        <v>40360</v>
      </c>
      <c r="D1409" s="5">
        <f>YEAR(C1409)</f>
        <v/>
      </c>
      <c r="E1409" s="5">
        <f>MONTH(C1409)</f>
        <v/>
      </c>
      <c r="F1409" s="38" t="inlineStr">
        <is>
          <t>NFV  :TENDA ATACADO LTDA</t>
        </is>
      </c>
      <c r="G1409" s="38" t="inlineStr">
        <is>
          <t>MARIO FRUGIS (01.04.01)</t>
        </is>
      </c>
      <c r="H1409" s="38" t="inlineStr">
        <is>
          <t>NFV</t>
        </is>
      </c>
      <c r="I1409" s="40" t="n">
        <v>135.53</v>
      </c>
      <c r="J1409" s="40" t="n">
        <v>0</v>
      </c>
      <c r="K1409" s="6">
        <f>I1409-J1409</f>
        <v/>
      </c>
      <c r="L1409" s="6">
        <f>IF(H1409="DISTRATO",0,I1409)</f>
        <v/>
      </c>
    </row>
    <row r="1410">
      <c r="A1410" s="38" t="inlineStr">
        <is>
          <t>Conta corrente MFRUGIS10.XLS</t>
        </is>
      </c>
      <c r="B1410" s="39" t="n">
        <v>40390</v>
      </c>
      <c r="C1410" s="4" t="n">
        <v>40360</v>
      </c>
      <c r="D1410" s="5">
        <f>YEAR(C1410)</f>
        <v/>
      </c>
      <c r="E1410" s="5">
        <f>MONTH(C1410)</f>
        <v/>
      </c>
      <c r="F1410" s="38" t="inlineStr">
        <is>
          <t>NFV  :TENDA ATACADO LTDA</t>
        </is>
      </c>
      <c r="G1410" s="38" t="inlineStr">
        <is>
          <t>MARIO FRUGIS (01.04.01)</t>
        </is>
      </c>
      <c r="H1410" s="38" t="inlineStr">
        <is>
          <t>NFV</t>
        </is>
      </c>
      <c r="I1410" s="40" t="n">
        <v>54.66</v>
      </c>
      <c r="J1410" s="40" t="n">
        <v>0</v>
      </c>
      <c r="K1410" s="6">
        <f>I1410-J1410</f>
        <v/>
      </c>
      <c r="L1410" s="6">
        <f>IF(H1410="DISTRATO",0,I1410)</f>
        <v/>
      </c>
    </row>
    <row r="1411">
      <c r="A1411" s="38" t="inlineStr">
        <is>
          <t>Conta corrente MFRUGIS10.XLS</t>
        </is>
      </c>
      <c r="B1411" s="39" t="n">
        <v>40390</v>
      </c>
      <c r="C1411" s="4" t="n">
        <v>40360</v>
      </c>
      <c r="D1411" s="5">
        <f>YEAR(C1411)</f>
        <v/>
      </c>
      <c r="E1411" s="5">
        <f>MONTH(C1411)</f>
        <v/>
      </c>
      <c r="F1411" s="38" t="inlineStr">
        <is>
          <t>NFV  :TENDA ATACADO LTDA</t>
        </is>
      </c>
      <c r="G1411" s="38" t="inlineStr">
        <is>
          <t>MARIO FRUGIS (01.04.01)</t>
        </is>
      </c>
      <c r="H1411" s="38" t="inlineStr">
        <is>
          <t>NFV</t>
        </is>
      </c>
      <c r="I1411" s="40" t="n">
        <v>58.19</v>
      </c>
      <c r="J1411" s="40" t="n">
        <v>0</v>
      </c>
      <c r="K1411" s="6">
        <f>I1411-J1411</f>
        <v/>
      </c>
      <c r="L1411" s="6">
        <f>IF(H1411="DISTRATO",0,I1411)</f>
        <v/>
      </c>
    </row>
    <row r="1412">
      <c r="A1412" s="38" t="inlineStr">
        <is>
          <t>Conta corrente MFRUGIS10.XLS</t>
        </is>
      </c>
      <c r="B1412" s="39" t="n">
        <v>40402</v>
      </c>
      <c r="C1412" s="4" t="n">
        <v>40391</v>
      </c>
      <c r="D1412" s="5">
        <f>YEAR(C1412)</f>
        <v/>
      </c>
      <c r="E1412" s="5">
        <f>MONTH(C1412)</f>
        <v/>
      </c>
      <c r="F1412" s="38" t="inlineStr">
        <is>
          <t>NFV  :TENDA ATACADO LTDA</t>
        </is>
      </c>
      <c r="G1412" s="38" t="inlineStr">
        <is>
          <t>MARIO FRUGIS (01.04.01)</t>
        </is>
      </c>
      <c r="H1412" s="38" t="inlineStr">
        <is>
          <t>NFV</t>
        </is>
      </c>
      <c r="I1412" s="40" t="n">
        <v>35.84</v>
      </c>
      <c r="J1412" s="40" t="n">
        <v>0</v>
      </c>
      <c r="K1412" s="6">
        <f>I1412-J1412</f>
        <v/>
      </c>
      <c r="L1412" s="6">
        <f>IF(H1412="DISTRATO",0,I1412)</f>
        <v/>
      </c>
    </row>
    <row r="1413">
      <c r="A1413" s="38" t="inlineStr">
        <is>
          <t>Conta corrente MFRUGIS10.XLS</t>
        </is>
      </c>
      <c r="B1413" s="39" t="n">
        <v>40402</v>
      </c>
      <c r="C1413" s="4" t="n">
        <v>40391</v>
      </c>
      <c r="D1413" s="5">
        <f>YEAR(C1413)</f>
        <v/>
      </c>
      <c r="E1413" s="5">
        <f>MONTH(C1413)</f>
        <v/>
      </c>
      <c r="F1413" s="38" t="inlineStr">
        <is>
          <t>NFV  :TENDA ATACADO LTDA</t>
        </is>
      </c>
      <c r="G1413" s="38" t="inlineStr">
        <is>
          <t>MARIO FRUGIS (01.04.01)</t>
        </is>
      </c>
      <c r="H1413" s="38" t="inlineStr">
        <is>
          <t>NFV</t>
        </is>
      </c>
      <c r="I1413" s="40" t="n">
        <v>142.73</v>
      </c>
      <c r="J1413" s="40" t="n">
        <v>0</v>
      </c>
      <c r="K1413" s="6">
        <f>I1413-J1413</f>
        <v/>
      </c>
      <c r="L1413" s="6">
        <f>IF(H1413="DISTRATO",0,I1413)</f>
        <v/>
      </c>
    </row>
    <row r="1414">
      <c r="A1414" s="38" t="inlineStr">
        <is>
          <t>Conta corrente MFRUGIS10.XLS</t>
        </is>
      </c>
      <c r="B1414" s="39" t="n">
        <v>40402</v>
      </c>
      <c r="C1414" s="4" t="n">
        <v>40391</v>
      </c>
      <c r="D1414" s="5">
        <f>YEAR(C1414)</f>
        <v/>
      </c>
      <c r="E1414" s="5">
        <f>MONTH(C1414)</f>
        <v/>
      </c>
      <c r="F1414" s="38" t="inlineStr">
        <is>
          <t>NFV  :TENDA ATACADO LTDA</t>
        </is>
      </c>
      <c r="G1414" s="38" t="inlineStr">
        <is>
          <t>MARIO FRUGIS (01.04.01)</t>
        </is>
      </c>
      <c r="H1414" s="38" t="inlineStr">
        <is>
          <t>NFV</t>
        </is>
      </c>
      <c r="I1414" s="40" t="n">
        <v>77.67</v>
      </c>
      <c r="J1414" s="40" t="n">
        <v>0</v>
      </c>
      <c r="K1414" s="6">
        <f>I1414-J1414</f>
        <v/>
      </c>
      <c r="L1414" s="6">
        <f>IF(H1414="DISTRATO",0,I1414)</f>
        <v/>
      </c>
    </row>
    <row r="1415">
      <c r="A1415" s="38" t="inlineStr">
        <is>
          <t>Conta corrente MFRUGIS10.XLS</t>
        </is>
      </c>
      <c r="B1415" s="39" t="n">
        <v>40402</v>
      </c>
      <c r="C1415" s="4" t="n">
        <v>40391</v>
      </c>
      <c r="D1415" s="5">
        <f>YEAR(C1415)</f>
        <v/>
      </c>
      <c r="E1415" s="5">
        <f>MONTH(C1415)</f>
        <v/>
      </c>
      <c r="F1415" s="38" t="inlineStr">
        <is>
          <t>NFV  :TENDA ATACADO LTDA</t>
        </is>
      </c>
      <c r="G1415" s="38" t="inlineStr">
        <is>
          <t>MARIO FRUGIS (01.04.01)</t>
        </is>
      </c>
      <c r="H1415" s="38" t="inlineStr">
        <is>
          <t>NFV</t>
        </is>
      </c>
      <c r="I1415" s="40" t="n">
        <v>45.39</v>
      </c>
      <c r="J1415" s="40" t="n">
        <v>0</v>
      </c>
      <c r="K1415" s="6">
        <f>I1415-J1415</f>
        <v/>
      </c>
      <c r="L1415" s="6">
        <f>IF(H1415="DISTRATO",0,I1415)</f>
        <v/>
      </c>
    </row>
    <row r="1416">
      <c r="A1416" s="38" t="inlineStr">
        <is>
          <t>Conta corrente MFRUGIS10.XLS</t>
        </is>
      </c>
      <c r="B1416" s="39" t="n">
        <v>40402</v>
      </c>
      <c r="C1416" s="4" t="n">
        <v>40391</v>
      </c>
      <c r="D1416" s="5">
        <f>YEAR(C1416)</f>
        <v/>
      </c>
      <c r="E1416" s="5">
        <f>MONTH(C1416)</f>
        <v/>
      </c>
      <c r="F1416" s="38" t="inlineStr">
        <is>
          <t>NFV  :TENDA ATACADO LTDA</t>
        </is>
      </c>
      <c r="G1416" s="38" t="inlineStr">
        <is>
          <t>MARIO FRUGIS (01.04.01)</t>
        </is>
      </c>
      <c r="H1416" s="38" t="inlineStr">
        <is>
          <t>NFV</t>
        </is>
      </c>
      <c r="I1416" s="40" t="n">
        <v>67.78</v>
      </c>
      <c r="J1416" s="40" t="n">
        <v>0</v>
      </c>
      <c r="K1416" s="6">
        <f>I1416-J1416</f>
        <v/>
      </c>
      <c r="L1416" s="6">
        <f>IF(H1416="DISTRATO",0,I1416)</f>
        <v/>
      </c>
    </row>
    <row r="1417">
      <c r="A1417" s="38" t="inlineStr">
        <is>
          <t>Conta corrente MFRUGIS10.XLS</t>
        </is>
      </c>
      <c r="B1417" s="39" t="n">
        <v>40402</v>
      </c>
      <c r="C1417" s="4" t="n">
        <v>40391</v>
      </c>
      <c r="D1417" s="5">
        <f>YEAR(C1417)</f>
        <v/>
      </c>
      <c r="E1417" s="5">
        <f>MONTH(C1417)</f>
        <v/>
      </c>
      <c r="F1417" s="38" t="inlineStr">
        <is>
          <t>NFV  :TENDA ATACADO LTDA</t>
        </is>
      </c>
      <c r="G1417" s="38" t="inlineStr">
        <is>
          <t>MARIO FRUGIS (01.04.01)</t>
        </is>
      </c>
      <c r="H1417" s="38" t="inlineStr">
        <is>
          <t>NFV</t>
        </is>
      </c>
      <c r="I1417" s="40" t="n">
        <v>68.53</v>
      </c>
      <c r="J1417" s="40" t="n">
        <v>0</v>
      </c>
      <c r="K1417" s="6">
        <f>I1417-J1417</f>
        <v/>
      </c>
      <c r="L1417" s="6">
        <f>IF(H1417="DISTRATO",0,I1417)</f>
        <v/>
      </c>
    </row>
    <row r="1418">
      <c r="A1418" s="38" t="inlineStr">
        <is>
          <t>Conta corrente MFRUGIS10.XLS</t>
        </is>
      </c>
      <c r="B1418" s="39" t="n">
        <v>40402</v>
      </c>
      <c r="C1418" s="4" t="n">
        <v>40391</v>
      </c>
      <c r="D1418" s="5">
        <f>YEAR(C1418)</f>
        <v/>
      </c>
      <c r="E1418" s="5">
        <f>MONTH(C1418)</f>
        <v/>
      </c>
      <c r="F1418" s="38" t="inlineStr">
        <is>
          <t>NFV  :TENDA ATACADO LTDA</t>
        </is>
      </c>
      <c r="G1418" s="38" t="inlineStr">
        <is>
          <t>MARIO FRUGIS (01.04.01)</t>
        </is>
      </c>
      <c r="H1418" s="38" t="inlineStr">
        <is>
          <t>NFV</t>
        </is>
      </c>
      <c r="I1418" s="40" t="n">
        <v>110.53</v>
      </c>
      <c r="J1418" s="40" t="n">
        <v>0</v>
      </c>
      <c r="K1418" s="6">
        <f>I1418-J1418</f>
        <v/>
      </c>
      <c r="L1418" s="6">
        <f>IF(H1418="DISTRATO",0,I1418)</f>
        <v/>
      </c>
    </row>
    <row r="1419">
      <c r="A1419" s="38" t="inlineStr">
        <is>
          <t>Conta corrente MFRUGIS10.XLS</t>
        </is>
      </c>
      <c r="B1419" s="39" t="n">
        <v>40402</v>
      </c>
      <c r="C1419" s="4" t="n">
        <v>40391</v>
      </c>
      <c r="D1419" s="5">
        <f>YEAR(C1419)</f>
        <v/>
      </c>
      <c r="E1419" s="5">
        <f>MONTH(C1419)</f>
        <v/>
      </c>
      <c r="F1419" s="38" t="inlineStr">
        <is>
          <t>NFV  :TENDA ATACADO LTDA</t>
        </is>
      </c>
      <c r="G1419" s="38" t="inlineStr">
        <is>
          <t>MARIO FRUGIS (01.04.01)</t>
        </is>
      </c>
      <c r="H1419" s="38" t="inlineStr">
        <is>
          <t>NFV</t>
        </is>
      </c>
      <c r="I1419" s="40" t="n">
        <v>135.68</v>
      </c>
      <c r="J1419" s="40" t="n">
        <v>0</v>
      </c>
      <c r="K1419" s="6">
        <f>I1419-J1419</f>
        <v/>
      </c>
      <c r="L1419" s="6">
        <f>IF(H1419="DISTRATO",0,I1419)</f>
        <v/>
      </c>
    </row>
    <row r="1420">
      <c r="A1420" s="38" t="inlineStr">
        <is>
          <t>Conta corrente MFRUGIS10.XLS</t>
        </is>
      </c>
      <c r="B1420" s="39" t="n">
        <v>40402</v>
      </c>
      <c r="C1420" s="4" t="n">
        <v>40391</v>
      </c>
      <c r="D1420" s="5">
        <f>YEAR(C1420)</f>
        <v/>
      </c>
      <c r="E1420" s="5">
        <f>MONTH(C1420)</f>
        <v/>
      </c>
      <c r="F1420" s="38" t="inlineStr">
        <is>
          <t>NFV  :TENDA ATACADO LTDA</t>
        </is>
      </c>
      <c r="G1420" s="38" t="inlineStr">
        <is>
          <t>MARIO FRUGIS (01.04.01)</t>
        </is>
      </c>
      <c r="H1420" s="38" t="inlineStr">
        <is>
          <t>NFV</t>
        </is>
      </c>
      <c r="I1420" s="40" t="n">
        <v>62.95</v>
      </c>
      <c r="J1420" s="40" t="n">
        <v>0</v>
      </c>
      <c r="K1420" s="6">
        <f>I1420-J1420</f>
        <v/>
      </c>
      <c r="L1420" s="6">
        <f>IF(H1420="DISTRATO",0,I1420)</f>
        <v/>
      </c>
    </row>
    <row r="1421">
      <c r="A1421" s="38" t="inlineStr">
        <is>
          <t>Conta corrente MFRUGIS10.XLS</t>
        </is>
      </c>
      <c r="B1421" s="39" t="n">
        <v>40402</v>
      </c>
      <c r="C1421" s="4" t="n">
        <v>40391</v>
      </c>
      <c r="D1421" s="5">
        <f>YEAR(C1421)</f>
        <v/>
      </c>
      <c r="E1421" s="5">
        <f>MONTH(C1421)</f>
        <v/>
      </c>
      <c r="F1421" s="38" t="inlineStr">
        <is>
          <t>NFV  :TENDA ATACADO LTDA</t>
        </is>
      </c>
      <c r="G1421" s="38" t="inlineStr">
        <is>
          <t>MARIO FRUGIS (01.04.01)</t>
        </is>
      </c>
      <c r="H1421" s="38" t="inlineStr">
        <is>
          <t>NFV</t>
        </is>
      </c>
      <c r="I1421" s="40" t="n">
        <v>29.99</v>
      </c>
      <c r="J1421" s="40" t="n">
        <v>0</v>
      </c>
      <c r="K1421" s="6">
        <f>I1421-J1421</f>
        <v/>
      </c>
      <c r="L1421" s="6">
        <f>IF(H1421="DISTRATO",0,I1421)</f>
        <v/>
      </c>
    </row>
    <row r="1422">
      <c r="A1422" s="38" t="inlineStr">
        <is>
          <t>Conta corrente MFRUGIS10.XLS</t>
        </is>
      </c>
      <c r="B1422" s="39" t="n">
        <v>40402</v>
      </c>
      <c r="C1422" s="4" t="n">
        <v>40391</v>
      </c>
      <c r="D1422" s="5">
        <f>YEAR(C1422)</f>
        <v/>
      </c>
      <c r="E1422" s="5">
        <f>MONTH(C1422)</f>
        <v/>
      </c>
      <c r="F1422" s="38" t="inlineStr">
        <is>
          <t>NFV  :TENDA ATACADO LTDA</t>
        </is>
      </c>
      <c r="G1422" s="38" t="inlineStr">
        <is>
          <t>MARIO FRUGIS (01.04.01)</t>
        </is>
      </c>
      <c r="H1422" s="38" t="inlineStr">
        <is>
          <t>NFV</t>
        </is>
      </c>
      <c r="I1422" s="40" t="n">
        <v>25.27</v>
      </c>
      <c r="J1422" s="40" t="n">
        <v>0</v>
      </c>
      <c r="K1422" s="6">
        <f>I1422-J1422</f>
        <v/>
      </c>
      <c r="L1422" s="6">
        <f>IF(H1422="DISTRATO",0,I1422)</f>
        <v/>
      </c>
    </row>
    <row r="1423">
      <c r="A1423" s="38" t="inlineStr">
        <is>
          <t>Conta corrente MFRUGIS10.XLS</t>
        </is>
      </c>
      <c r="B1423" s="39" t="n">
        <v>40402</v>
      </c>
      <c r="C1423" s="4" t="n">
        <v>40391</v>
      </c>
      <c r="D1423" s="5">
        <f>YEAR(C1423)</f>
        <v/>
      </c>
      <c r="E1423" s="5">
        <f>MONTH(C1423)</f>
        <v/>
      </c>
      <c r="F1423" s="38" t="inlineStr">
        <is>
          <t>NFV  :TENDA ATACADO LTDA</t>
        </is>
      </c>
      <c r="G1423" s="38" t="inlineStr">
        <is>
          <t>MARIO FRUGIS (01.04.01)</t>
        </is>
      </c>
      <c r="H1423" s="38" t="inlineStr">
        <is>
          <t>NFV</t>
        </is>
      </c>
      <c r="I1423" s="40" t="n">
        <v>144.28</v>
      </c>
      <c r="J1423" s="40" t="n">
        <v>0</v>
      </c>
      <c r="K1423" s="6">
        <f>I1423-J1423</f>
        <v/>
      </c>
      <c r="L1423" s="6">
        <f>IF(H1423="DISTRATO",0,I1423)</f>
        <v/>
      </c>
    </row>
    <row r="1424">
      <c r="A1424" s="38" t="inlineStr">
        <is>
          <t>Conta corrente MFRUGIS10.XLS</t>
        </is>
      </c>
      <c r="B1424" s="39" t="n">
        <v>40402</v>
      </c>
      <c r="C1424" s="4" t="n">
        <v>40391</v>
      </c>
      <c r="D1424" s="5">
        <f>YEAR(C1424)</f>
        <v/>
      </c>
      <c r="E1424" s="5">
        <f>MONTH(C1424)</f>
        <v/>
      </c>
      <c r="F1424" s="38" t="inlineStr">
        <is>
          <t>NFV  :TENDA ATACADO LTDA</t>
        </is>
      </c>
      <c r="G1424" s="38" t="inlineStr">
        <is>
          <t>MARIO FRUGIS (01.04.01)</t>
        </is>
      </c>
      <c r="H1424" s="38" t="inlineStr">
        <is>
          <t>NFV</t>
        </is>
      </c>
      <c r="I1424" s="40" t="n">
        <v>8.970000000000001</v>
      </c>
      <c r="J1424" s="40" t="n">
        <v>0</v>
      </c>
      <c r="K1424" s="6">
        <f>I1424-J1424</f>
        <v/>
      </c>
      <c r="L1424" s="6">
        <f>IF(H1424="DISTRATO",0,I1424)</f>
        <v/>
      </c>
    </row>
    <row r="1425">
      <c r="A1425" s="38" t="inlineStr">
        <is>
          <t>Conta corrente MFRUGIS10.XLS</t>
        </is>
      </c>
      <c r="B1425" s="39" t="n">
        <v>40402</v>
      </c>
      <c r="C1425" s="4" t="n">
        <v>40391</v>
      </c>
      <c r="D1425" s="5">
        <f>YEAR(C1425)</f>
        <v/>
      </c>
      <c r="E1425" s="5">
        <f>MONTH(C1425)</f>
        <v/>
      </c>
      <c r="F1425" s="38" t="inlineStr">
        <is>
          <t>NFV  :TENDA ATACADO LTDA</t>
        </is>
      </c>
      <c r="G1425" s="38" t="inlineStr">
        <is>
          <t>MARIO FRUGIS (01.04.01)</t>
        </is>
      </c>
      <c r="H1425" s="38" t="inlineStr">
        <is>
          <t>NFV</t>
        </is>
      </c>
      <c r="I1425" s="40" t="n">
        <v>124.26</v>
      </c>
      <c r="J1425" s="40" t="n">
        <v>0</v>
      </c>
      <c r="K1425" s="6">
        <f>I1425-J1425</f>
        <v/>
      </c>
      <c r="L1425" s="6">
        <f>IF(H1425="DISTRATO",0,I1425)</f>
        <v/>
      </c>
    </row>
    <row r="1426">
      <c r="A1426" s="38" t="inlineStr">
        <is>
          <t>Conta corrente MFRUGIS10.XLS</t>
        </is>
      </c>
      <c r="B1426" s="39" t="n">
        <v>40402</v>
      </c>
      <c r="C1426" s="4" t="n">
        <v>40391</v>
      </c>
      <c r="D1426" s="5">
        <f>YEAR(C1426)</f>
        <v/>
      </c>
      <c r="E1426" s="5">
        <f>MONTH(C1426)</f>
        <v/>
      </c>
      <c r="F1426" s="38" t="inlineStr">
        <is>
          <t>NFV  :TENDA ATACADO LTDA</t>
        </is>
      </c>
      <c r="G1426" s="38" t="inlineStr">
        <is>
          <t>MARIO FRUGIS (01.04.01)</t>
        </is>
      </c>
      <c r="H1426" s="38" t="inlineStr">
        <is>
          <t>NFV</t>
        </is>
      </c>
      <c r="I1426" s="40" t="n">
        <v>166.89</v>
      </c>
      <c r="J1426" s="40" t="n">
        <v>0</v>
      </c>
      <c r="K1426" s="6">
        <f>I1426-J1426</f>
        <v/>
      </c>
      <c r="L1426" s="6">
        <f>IF(H1426="DISTRATO",0,I1426)</f>
        <v/>
      </c>
    </row>
    <row r="1427">
      <c r="A1427" s="38" t="inlineStr">
        <is>
          <t>Conta corrente MFRUGIS10.XLS</t>
        </is>
      </c>
      <c r="B1427" s="39" t="n">
        <v>40402</v>
      </c>
      <c r="C1427" s="4" t="n">
        <v>40391</v>
      </c>
      <c r="D1427" s="5">
        <f>YEAR(C1427)</f>
        <v/>
      </c>
      <c r="E1427" s="5">
        <f>MONTH(C1427)</f>
        <v/>
      </c>
      <c r="F1427" s="38" t="inlineStr">
        <is>
          <t>NFV  :TENDA ATACADO LTDA</t>
        </is>
      </c>
      <c r="G1427" s="38" t="inlineStr">
        <is>
          <t>MARIO FRUGIS (01.04.01)</t>
        </is>
      </c>
      <c r="H1427" s="38" t="inlineStr">
        <is>
          <t>NFV</t>
        </is>
      </c>
      <c r="I1427" s="40" t="n">
        <v>40.72</v>
      </c>
      <c r="J1427" s="40" t="n">
        <v>0</v>
      </c>
      <c r="K1427" s="6">
        <f>I1427-J1427</f>
        <v/>
      </c>
      <c r="L1427" s="6">
        <f>IF(H1427="DISTRATO",0,I1427)</f>
        <v/>
      </c>
    </row>
    <row r="1428">
      <c r="A1428" s="38" t="inlineStr">
        <is>
          <t>Conta corrente MFRUGIS10.XLS</t>
        </is>
      </c>
      <c r="B1428" s="39" t="n">
        <v>40417</v>
      </c>
      <c r="C1428" s="4" t="n">
        <v>40391</v>
      </c>
      <c r="D1428" s="5">
        <f>YEAR(C1428)</f>
        <v/>
      </c>
      <c r="E1428" s="5">
        <f>MONTH(C1428)</f>
        <v/>
      </c>
      <c r="F1428" s="38" t="inlineStr">
        <is>
          <t>NFV  :TENDA ATACADO LTDA</t>
        </is>
      </c>
      <c r="G1428" s="38" t="inlineStr">
        <is>
          <t>MARIO FRUGIS (01.04.01)</t>
        </is>
      </c>
      <c r="H1428" s="38" t="inlineStr">
        <is>
          <t>NFV</t>
        </is>
      </c>
      <c r="I1428" s="40" t="n">
        <v>71.73999999999999</v>
      </c>
      <c r="J1428" s="40" t="n">
        <v>0</v>
      </c>
      <c r="K1428" s="6">
        <f>I1428-J1428</f>
        <v/>
      </c>
      <c r="L1428" s="6">
        <f>IF(H1428="DISTRATO",0,I1428)</f>
        <v/>
      </c>
    </row>
    <row r="1429">
      <c r="A1429" s="38" t="inlineStr">
        <is>
          <t>Conta corrente MFRUGIS10.XLS</t>
        </is>
      </c>
      <c r="B1429" s="39" t="n">
        <v>40417</v>
      </c>
      <c r="C1429" s="4" t="n">
        <v>40391</v>
      </c>
      <c r="D1429" s="5">
        <f>YEAR(C1429)</f>
        <v/>
      </c>
      <c r="E1429" s="5">
        <f>MONTH(C1429)</f>
        <v/>
      </c>
      <c r="F1429" s="38" t="inlineStr">
        <is>
          <t>NFV  :TENDA ATACADO LTDA</t>
        </is>
      </c>
      <c r="G1429" s="38" t="inlineStr">
        <is>
          <t>MARIO FRUGIS (01.04.01)</t>
        </is>
      </c>
      <c r="H1429" s="38" t="inlineStr">
        <is>
          <t>NFV</t>
        </is>
      </c>
      <c r="I1429" s="40" t="n">
        <v>148.73</v>
      </c>
      <c r="J1429" s="40" t="n">
        <v>0</v>
      </c>
      <c r="K1429" s="6">
        <f>I1429-J1429</f>
        <v/>
      </c>
      <c r="L1429" s="6">
        <f>IF(H1429="DISTRATO",0,I1429)</f>
        <v/>
      </c>
    </row>
    <row r="1430">
      <c r="A1430" s="38" t="inlineStr">
        <is>
          <t>Conta corrente MFRUGIS10.XLS</t>
        </is>
      </c>
      <c r="B1430" s="39" t="n">
        <v>40417</v>
      </c>
      <c r="C1430" s="4" t="n">
        <v>40391</v>
      </c>
      <c r="D1430" s="5">
        <f>YEAR(C1430)</f>
        <v/>
      </c>
      <c r="E1430" s="5">
        <f>MONTH(C1430)</f>
        <v/>
      </c>
      <c r="F1430" s="38" t="inlineStr">
        <is>
          <t>NFV  :TENDA ATACADO LTDA</t>
        </is>
      </c>
      <c r="G1430" s="38" t="inlineStr">
        <is>
          <t>MARIO FRUGIS (01.04.01)</t>
        </is>
      </c>
      <c r="H1430" s="38" t="inlineStr">
        <is>
          <t>NFV</t>
        </is>
      </c>
      <c r="I1430" s="40" t="n">
        <v>68.91</v>
      </c>
      <c r="J1430" s="40" t="n">
        <v>0</v>
      </c>
      <c r="K1430" s="6">
        <f>I1430-J1430</f>
        <v/>
      </c>
      <c r="L1430" s="6">
        <f>IF(H1430="DISTRATO",0,I1430)</f>
        <v/>
      </c>
    </row>
    <row r="1431">
      <c r="A1431" s="38" t="inlineStr">
        <is>
          <t>Conta corrente MFRUGIS10.XLS</t>
        </is>
      </c>
      <c r="B1431" s="39" t="n">
        <v>40417</v>
      </c>
      <c r="C1431" s="4" t="n">
        <v>40391</v>
      </c>
      <c r="D1431" s="5">
        <f>YEAR(C1431)</f>
        <v/>
      </c>
      <c r="E1431" s="5">
        <f>MONTH(C1431)</f>
        <v/>
      </c>
      <c r="F1431" s="38" t="inlineStr">
        <is>
          <t>NFV  :TENDA ATACADO LTDA</t>
        </is>
      </c>
      <c r="G1431" s="38" t="inlineStr">
        <is>
          <t>MARIO FRUGIS (01.04.01)</t>
        </is>
      </c>
      <c r="H1431" s="38" t="inlineStr">
        <is>
          <t>NFV</t>
        </is>
      </c>
      <c r="I1431" s="40" t="n">
        <v>98.97</v>
      </c>
      <c r="J1431" s="40" t="n">
        <v>0</v>
      </c>
      <c r="K1431" s="6">
        <f>I1431-J1431</f>
        <v/>
      </c>
      <c r="L1431" s="6">
        <f>IF(H1431="DISTRATO",0,I1431)</f>
        <v/>
      </c>
    </row>
    <row r="1432">
      <c r="A1432" s="38" t="inlineStr">
        <is>
          <t>Conta corrente MFRUGIS10.XLS</t>
        </is>
      </c>
      <c r="B1432" s="39" t="n">
        <v>40417</v>
      </c>
      <c r="C1432" s="4" t="n">
        <v>40391</v>
      </c>
      <c r="D1432" s="5">
        <f>YEAR(C1432)</f>
        <v/>
      </c>
      <c r="E1432" s="5">
        <f>MONTH(C1432)</f>
        <v/>
      </c>
      <c r="F1432" s="38" t="inlineStr">
        <is>
          <t>NFV  :TENDA ATACADO LTDA</t>
        </is>
      </c>
      <c r="G1432" s="38" t="inlineStr">
        <is>
          <t>MARIO FRUGIS (01.04.01)</t>
        </is>
      </c>
      <c r="H1432" s="38" t="inlineStr">
        <is>
          <t>NFV</t>
        </is>
      </c>
      <c r="I1432" s="40" t="n">
        <v>107.39</v>
      </c>
      <c r="J1432" s="40" t="n">
        <v>0</v>
      </c>
      <c r="K1432" s="6">
        <f>I1432-J1432</f>
        <v/>
      </c>
      <c r="L1432" s="6">
        <f>IF(H1432="DISTRATO",0,I1432)</f>
        <v/>
      </c>
    </row>
    <row r="1433">
      <c r="A1433" s="38" t="inlineStr">
        <is>
          <t>Conta corrente MFRUGIS10.XLS</t>
        </is>
      </c>
      <c r="B1433" s="39" t="n">
        <v>40417</v>
      </c>
      <c r="C1433" s="4" t="n">
        <v>40391</v>
      </c>
      <c r="D1433" s="5">
        <f>YEAR(C1433)</f>
        <v/>
      </c>
      <c r="E1433" s="5">
        <f>MONTH(C1433)</f>
        <v/>
      </c>
      <c r="F1433" s="38" t="inlineStr">
        <is>
          <t>NFV  :TENDA ATACADO LTDA</t>
        </is>
      </c>
      <c r="G1433" s="38" t="inlineStr">
        <is>
          <t>MARIO FRUGIS (01.04.01)</t>
        </is>
      </c>
      <c r="H1433" s="38" t="inlineStr">
        <is>
          <t>NFV</t>
        </is>
      </c>
      <c r="I1433" s="40" t="n">
        <v>109.76</v>
      </c>
      <c r="J1433" s="40" t="n">
        <v>0</v>
      </c>
      <c r="K1433" s="6">
        <f>I1433-J1433</f>
        <v/>
      </c>
      <c r="L1433" s="6">
        <f>IF(H1433="DISTRATO",0,I1433)</f>
        <v/>
      </c>
    </row>
    <row r="1434">
      <c r="A1434" s="38" t="inlineStr">
        <is>
          <t>Conta corrente MFRUGIS10.XLS</t>
        </is>
      </c>
      <c r="B1434" s="39" t="n">
        <v>40420</v>
      </c>
      <c r="C1434" s="4" t="n">
        <v>40391</v>
      </c>
      <c r="D1434" s="5">
        <f>YEAR(C1434)</f>
        <v/>
      </c>
      <c r="E1434" s="5">
        <f>MONTH(C1434)</f>
        <v/>
      </c>
      <c r="F1434" s="38" t="inlineStr">
        <is>
          <t>BONIF:TENDA ATACADO LTDA</t>
        </is>
      </c>
      <c r="G1434" s="38" t="inlineStr">
        <is>
          <t>MARIO FRUGIS (01.04.01)</t>
        </is>
      </c>
      <c r="H1434" s="38" t="inlineStr">
        <is>
          <t>BONIFICACAO</t>
        </is>
      </c>
      <c r="I1434" s="40" t="n">
        <v>-70.93000000000001</v>
      </c>
      <c r="J1434" s="40" t="n">
        <v>0</v>
      </c>
      <c r="K1434" s="6">
        <f>I1434-J1434</f>
        <v/>
      </c>
      <c r="L1434" s="6">
        <f>IF(H1434="DISTRATO",0,I1434)</f>
        <v/>
      </c>
    </row>
    <row r="1435">
      <c r="A1435" s="38" t="inlineStr">
        <is>
          <t>Conta corrente MFRUGIS10.XLS</t>
        </is>
      </c>
      <c r="B1435" s="39" t="n">
        <v>40420</v>
      </c>
      <c r="C1435" s="4" t="n">
        <v>40391</v>
      </c>
      <c r="D1435" s="5">
        <f>YEAR(C1435)</f>
        <v/>
      </c>
      <c r="E1435" s="5">
        <f>MONTH(C1435)</f>
        <v/>
      </c>
      <c r="F1435" s="38" t="inlineStr">
        <is>
          <t>BONIF:TENDA ATACADO LTDA</t>
        </is>
      </c>
      <c r="G1435" s="38" t="inlineStr">
        <is>
          <t>MARIO FRUGIS (01.04.01)</t>
        </is>
      </c>
      <c r="H1435" s="38" t="inlineStr">
        <is>
          <t>BONIFICACAO</t>
        </is>
      </c>
      <c r="I1435" s="40" t="n">
        <v>-70.93000000000001</v>
      </c>
      <c r="J1435" s="40" t="n">
        <v>0</v>
      </c>
      <c r="K1435" s="6">
        <f>I1435-J1435</f>
        <v/>
      </c>
      <c r="L1435" s="6">
        <f>IF(H1435="DISTRATO",0,I1435)</f>
        <v/>
      </c>
    </row>
    <row r="1436">
      <c r="A1436" s="38" t="inlineStr">
        <is>
          <t>Conta corrente MFRUGIS10.XLS</t>
        </is>
      </c>
      <c r="B1436" s="39" t="n">
        <v>40420</v>
      </c>
      <c r="C1436" s="4" t="n">
        <v>40391</v>
      </c>
      <c r="D1436" s="5">
        <f>YEAR(C1436)</f>
        <v/>
      </c>
      <c r="E1436" s="5">
        <f>MONTH(C1436)</f>
        <v/>
      </c>
      <c r="F1436" s="38" t="inlineStr">
        <is>
          <t>NFV  :TENDA ATACADO LTDA</t>
        </is>
      </c>
      <c r="G1436" s="38" t="inlineStr">
        <is>
          <t>MARIO FRUGIS (01.04.01)</t>
        </is>
      </c>
      <c r="H1436" s="38" t="inlineStr">
        <is>
          <t>NFV</t>
        </is>
      </c>
      <c r="I1436" s="40" t="n">
        <v>152.61</v>
      </c>
      <c r="J1436" s="40" t="n">
        <v>0</v>
      </c>
      <c r="K1436" s="6">
        <f>I1436-J1436</f>
        <v/>
      </c>
      <c r="L1436" s="6">
        <f>IF(H1436="DISTRATO",0,I1436)</f>
        <v/>
      </c>
    </row>
    <row r="1437">
      <c r="A1437" s="38" t="inlineStr">
        <is>
          <t>Conta corrente MFRUGIS10.XLS</t>
        </is>
      </c>
      <c r="B1437" s="39" t="n">
        <v>40420</v>
      </c>
      <c r="C1437" s="4" t="n">
        <v>40391</v>
      </c>
      <c r="D1437" s="5">
        <f>YEAR(C1437)</f>
        <v/>
      </c>
      <c r="E1437" s="5">
        <f>MONTH(C1437)</f>
        <v/>
      </c>
      <c r="F1437" s="38" t="inlineStr">
        <is>
          <t>NFV  :TENDA ATACADO LTDA</t>
        </is>
      </c>
      <c r="G1437" s="38" t="inlineStr">
        <is>
          <t>MARIO FRUGIS (01.04.01)</t>
        </is>
      </c>
      <c r="H1437" s="38" t="inlineStr">
        <is>
          <t>NFV</t>
        </is>
      </c>
      <c r="I1437" s="40" t="n">
        <v>88.36</v>
      </c>
      <c r="J1437" s="40" t="n">
        <v>0</v>
      </c>
      <c r="K1437" s="6">
        <f>I1437-J1437</f>
        <v/>
      </c>
      <c r="L1437" s="6">
        <f>IF(H1437="DISTRATO",0,I1437)</f>
        <v/>
      </c>
    </row>
    <row r="1438">
      <c r="A1438" s="38" t="inlineStr">
        <is>
          <t>Conta corrente MFRUGIS10.XLS</t>
        </is>
      </c>
      <c r="B1438" s="39" t="n">
        <v>40420</v>
      </c>
      <c r="C1438" s="4" t="n">
        <v>40391</v>
      </c>
      <c r="D1438" s="5">
        <f>YEAR(C1438)</f>
        <v/>
      </c>
      <c r="E1438" s="5">
        <f>MONTH(C1438)</f>
        <v/>
      </c>
      <c r="F1438" s="38" t="inlineStr">
        <is>
          <t>NFV  :TENDA ATACADO LTDA</t>
        </is>
      </c>
      <c r="G1438" s="38" t="inlineStr">
        <is>
          <t>MARIO FRUGIS (01.04.01)</t>
        </is>
      </c>
      <c r="H1438" s="38" t="inlineStr">
        <is>
          <t>NFV</t>
        </is>
      </c>
      <c r="I1438" s="40" t="n">
        <v>127.29</v>
      </c>
      <c r="J1438" s="40" t="n">
        <v>0</v>
      </c>
      <c r="K1438" s="6">
        <f>I1438-J1438</f>
        <v/>
      </c>
      <c r="L1438" s="6">
        <f>IF(H1438="DISTRATO",0,I1438)</f>
        <v/>
      </c>
    </row>
    <row r="1439">
      <c r="A1439" s="38" t="inlineStr">
        <is>
          <t>Conta corrente MFRUGIS10.XLS</t>
        </is>
      </c>
      <c r="B1439" s="39" t="n">
        <v>40421</v>
      </c>
      <c r="C1439" s="4" t="n">
        <v>40391</v>
      </c>
      <c r="D1439" s="5">
        <f>YEAR(C1439)</f>
        <v/>
      </c>
      <c r="E1439" s="5">
        <f>MONTH(C1439)</f>
        <v/>
      </c>
      <c r="F1439" s="38" t="inlineStr">
        <is>
          <t>NFV  :TENDA ATACADO LTDA</t>
        </is>
      </c>
      <c r="G1439" s="38" t="inlineStr">
        <is>
          <t>MARIO FRUGIS (01.04.01)</t>
        </is>
      </c>
      <c r="H1439" s="38" t="inlineStr">
        <is>
          <t>NFV</t>
        </is>
      </c>
      <c r="I1439" s="40" t="n">
        <v>111.62</v>
      </c>
      <c r="J1439" s="40" t="n">
        <v>0</v>
      </c>
      <c r="K1439" s="6">
        <f>I1439-J1439</f>
        <v/>
      </c>
      <c r="L1439" s="6">
        <f>IF(H1439="DISTRATO",0,I1439)</f>
        <v/>
      </c>
    </row>
    <row r="1440">
      <c r="A1440" s="38" t="inlineStr">
        <is>
          <t>Conta corrente MFRUGIS10.XLS</t>
        </is>
      </c>
      <c r="B1440" s="39" t="n">
        <v>40421</v>
      </c>
      <c r="C1440" s="4" t="n">
        <v>40391</v>
      </c>
      <c r="D1440" s="5">
        <f>YEAR(C1440)</f>
        <v/>
      </c>
      <c r="E1440" s="5">
        <f>MONTH(C1440)</f>
        <v/>
      </c>
      <c r="F1440" s="38" t="inlineStr">
        <is>
          <t>NFV  :TENDA ATACADO LTDA</t>
        </is>
      </c>
      <c r="G1440" s="38" t="inlineStr">
        <is>
          <t>MARIO FRUGIS (01.04.01)</t>
        </is>
      </c>
      <c r="H1440" s="38" t="inlineStr">
        <is>
          <t>NFV</t>
        </is>
      </c>
      <c r="I1440" s="40" t="n">
        <v>55.58</v>
      </c>
      <c r="J1440" s="40" t="n">
        <v>0</v>
      </c>
      <c r="K1440" s="6">
        <f>I1440-J1440</f>
        <v/>
      </c>
      <c r="L1440" s="6">
        <f>IF(H1440="DISTRATO",0,I1440)</f>
        <v/>
      </c>
    </row>
    <row r="1441">
      <c r="A1441" s="38" t="inlineStr">
        <is>
          <t>Conta corrente MFRUGIS10.XLS</t>
        </is>
      </c>
      <c r="B1441" s="39" t="n">
        <v>40421</v>
      </c>
      <c r="C1441" s="4" t="n">
        <v>40391</v>
      </c>
      <c r="D1441" s="5">
        <f>YEAR(C1441)</f>
        <v/>
      </c>
      <c r="E1441" s="5">
        <f>MONTH(C1441)</f>
        <v/>
      </c>
      <c r="F1441" s="38" t="inlineStr">
        <is>
          <t>NFV  :TENDA ATACADO LTDA</t>
        </is>
      </c>
      <c r="G1441" s="38" t="inlineStr">
        <is>
          <t>MARIO FRUGIS (01.04.01)</t>
        </is>
      </c>
      <c r="H1441" s="38" t="inlineStr">
        <is>
          <t>NFV</t>
        </is>
      </c>
      <c r="I1441" s="40" t="n">
        <v>68.69</v>
      </c>
      <c r="J1441" s="40" t="n">
        <v>0</v>
      </c>
      <c r="K1441" s="6">
        <f>I1441-J1441</f>
        <v/>
      </c>
      <c r="L1441" s="6">
        <f>IF(H1441="DISTRATO",0,I1441)</f>
        <v/>
      </c>
    </row>
    <row r="1442">
      <c r="A1442" s="38" t="inlineStr">
        <is>
          <t>Conta corrente MFRUGIS10.XLS</t>
        </is>
      </c>
      <c r="B1442" s="39" t="n">
        <v>40437</v>
      </c>
      <c r="C1442" s="4" t="n">
        <v>40422</v>
      </c>
      <c r="D1442" s="5">
        <f>YEAR(C1442)</f>
        <v/>
      </c>
      <c r="E1442" s="5">
        <f>MONTH(C1442)</f>
        <v/>
      </c>
      <c r="F1442" s="38" t="inlineStr">
        <is>
          <t>BONIF:TENDA ATACADO LTDA</t>
        </is>
      </c>
      <c r="G1442" s="38" t="inlineStr">
        <is>
          <t>MARIO FRUGIS (01.04.01)</t>
        </is>
      </c>
      <c r="H1442" s="38" t="inlineStr">
        <is>
          <t>BONIFICACAO</t>
        </is>
      </c>
      <c r="I1442" s="40" t="n">
        <v>-33</v>
      </c>
      <c r="J1442" s="40" t="n">
        <v>0</v>
      </c>
      <c r="K1442" s="6">
        <f>I1442-J1442</f>
        <v/>
      </c>
      <c r="L1442" s="6">
        <f>IF(H1442="DISTRATO",0,I1442)</f>
        <v/>
      </c>
    </row>
    <row r="1443">
      <c r="A1443" s="38" t="inlineStr">
        <is>
          <t>Conta corrente MFRUGIS10.XLS</t>
        </is>
      </c>
      <c r="B1443" s="39" t="n">
        <v>40437</v>
      </c>
      <c r="C1443" s="4" t="n">
        <v>40422</v>
      </c>
      <c r="D1443" s="5">
        <f>YEAR(C1443)</f>
        <v/>
      </c>
      <c r="E1443" s="5">
        <f>MONTH(C1443)</f>
        <v/>
      </c>
      <c r="F1443" s="38" t="inlineStr">
        <is>
          <t>BONIF:TENDA ATACADO LTDA</t>
        </is>
      </c>
      <c r="G1443" s="38" t="inlineStr">
        <is>
          <t>MARIO FRUGIS (01.04.01)</t>
        </is>
      </c>
      <c r="H1443" s="38" t="inlineStr">
        <is>
          <t>BONIFICACAO</t>
        </is>
      </c>
      <c r="I1443" s="40" t="n">
        <v>-54.04</v>
      </c>
      <c r="J1443" s="40" t="n">
        <v>0</v>
      </c>
      <c r="K1443" s="6">
        <f>I1443-J1443</f>
        <v/>
      </c>
      <c r="L1443" s="6">
        <f>IF(H1443="DISTRATO",0,I1443)</f>
        <v/>
      </c>
    </row>
    <row r="1444">
      <c r="A1444" s="38" t="inlineStr">
        <is>
          <t>Conta corrente MFRUGIS10.XLS</t>
        </is>
      </c>
      <c r="B1444" s="39" t="n">
        <v>40437</v>
      </c>
      <c r="C1444" s="4" t="n">
        <v>40422</v>
      </c>
      <c r="D1444" s="5">
        <f>YEAR(C1444)</f>
        <v/>
      </c>
      <c r="E1444" s="5">
        <f>MONTH(C1444)</f>
        <v/>
      </c>
      <c r="F1444" s="38" t="inlineStr">
        <is>
          <t>BONIF:TENDA ATACADO LTDA</t>
        </is>
      </c>
      <c r="G1444" s="38" t="inlineStr">
        <is>
          <t>MARIO FRUGIS (01.04.01)</t>
        </is>
      </c>
      <c r="H1444" s="38" t="inlineStr">
        <is>
          <t>BONIFICACAO</t>
        </is>
      </c>
      <c r="I1444" s="40" t="n">
        <v>-54.04</v>
      </c>
      <c r="J1444" s="40" t="n">
        <v>0</v>
      </c>
      <c r="K1444" s="6">
        <f>I1444-J1444</f>
        <v/>
      </c>
      <c r="L1444" s="6">
        <f>IF(H1444="DISTRATO",0,I1444)</f>
        <v/>
      </c>
    </row>
    <row r="1445">
      <c r="A1445" s="38" t="inlineStr">
        <is>
          <t>Conta corrente MFRUGIS10.XLS</t>
        </is>
      </c>
      <c r="B1445" s="39" t="n">
        <v>40437</v>
      </c>
      <c r="C1445" s="4" t="n">
        <v>40422</v>
      </c>
      <c r="D1445" s="5">
        <f>YEAR(C1445)</f>
        <v/>
      </c>
      <c r="E1445" s="5">
        <f>MONTH(C1445)</f>
        <v/>
      </c>
      <c r="F1445" s="38" t="inlineStr">
        <is>
          <t>NFV  :TENDA ATACADO LTDA</t>
        </is>
      </c>
      <c r="G1445" s="38" t="inlineStr">
        <is>
          <t>MARIO FRUGIS (01.04.01)</t>
        </is>
      </c>
      <c r="H1445" s="38" t="inlineStr">
        <is>
          <t>NFV</t>
        </is>
      </c>
      <c r="I1445" s="40" t="n">
        <v>83.75</v>
      </c>
      <c r="J1445" s="40" t="n">
        <v>0</v>
      </c>
      <c r="K1445" s="6">
        <f>I1445-J1445</f>
        <v/>
      </c>
      <c r="L1445" s="6">
        <f>IF(H1445="DISTRATO",0,I1445)</f>
        <v/>
      </c>
    </row>
    <row r="1446">
      <c r="A1446" s="38" t="inlineStr">
        <is>
          <t>Conta corrente MFRUGIS10.XLS</t>
        </is>
      </c>
      <c r="B1446" s="39" t="n">
        <v>40437</v>
      </c>
      <c r="C1446" s="4" t="n">
        <v>40422</v>
      </c>
      <c r="D1446" s="5">
        <f>YEAR(C1446)</f>
        <v/>
      </c>
      <c r="E1446" s="5">
        <f>MONTH(C1446)</f>
        <v/>
      </c>
      <c r="F1446" s="38" t="inlineStr">
        <is>
          <t>NFV  :TENDA ATACADO LTDA</t>
        </is>
      </c>
      <c r="G1446" s="38" t="inlineStr">
        <is>
          <t>MARIO FRUGIS (01.04.01)</t>
        </is>
      </c>
      <c r="H1446" s="38" t="inlineStr">
        <is>
          <t>NFV</t>
        </is>
      </c>
      <c r="I1446" s="40" t="n">
        <v>40.28</v>
      </c>
      <c r="J1446" s="40" t="n">
        <v>0</v>
      </c>
      <c r="K1446" s="6">
        <f>I1446-J1446</f>
        <v/>
      </c>
      <c r="L1446" s="6">
        <f>IF(H1446="DISTRATO",0,I1446)</f>
        <v/>
      </c>
    </row>
    <row r="1447">
      <c r="A1447" s="38" t="inlineStr">
        <is>
          <t>Conta corrente MFRUGIS10.XLS</t>
        </is>
      </c>
      <c r="B1447" s="39" t="n">
        <v>40437</v>
      </c>
      <c r="C1447" s="4" t="n">
        <v>40422</v>
      </c>
      <c r="D1447" s="5">
        <f>YEAR(C1447)</f>
        <v/>
      </c>
      <c r="E1447" s="5">
        <f>MONTH(C1447)</f>
        <v/>
      </c>
      <c r="F1447" s="38" t="inlineStr">
        <is>
          <t>NFV  :TENDA ATACADO LTDA</t>
        </is>
      </c>
      <c r="G1447" s="38" t="inlineStr">
        <is>
          <t>MARIO FRUGIS (01.04.01)</t>
        </is>
      </c>
      <c r="H1447" s="38" t="inlineStr">
        <is>
          <t>NFV</t>
        </is>
      </c>
      <c r="I1447" s="40" t="n">
        <v>32.4</v>
      </c>
      <c r="J1447" s="40" t="n">
        <v>0</v>
      </c>
      <c r="K1447" s="6">
        <f>I1447-J1447</f>
        <v/>
      </c>
      <c r="L1447" s="6">
        <f>IF(H1447="DISTRATO",0,I1447)</f>
        <v/>
      </c>
    </row>
    <row r="1448">
      <c r="A1448" s="38" t="inlineStr">
        <is>
          <t>Conta corrente MFRUGIS10.XLS</t>
        </is>
      </c>
      <c r="B1448" s="39" t="n">
        <v>40437</v>
      </c>
      <c r="C1448" s="4" t="n">
        <v>40422</v>
      </c>
      <c r="D1448" s="5">
        <f>YEAR(C1448)</f>
        <v/>
      </c>
      <c r="E1448" s="5">
        <f>MONTH(C1448)</f>
        <v/>
      </c>
      <c r="F1448" s="38" t="inlineStr">
        <is>
          <t>NFV  :TENDA ATACADO LTDA</t>
        </is>
      </c>
      <c r="G1448" s="38" t="inlineStr">
        <is>
          <t>MARIO FRUGIS (01.04.01)</t>
        </is>
      </c>
      <c r="H1448" s="38" t="inlineStr">
        <is>
          <t>NFV</t>
        </is>
      </c>
      <c r="I1448" s="40" t="n">
        <v>110.73</v>
      </c>
      <c r="J1448" s="40" t="n">
        <v>0</v>
      </c>
      <c r="K1448" s="6">
        <f>I1448-J1448</f>
        <v/>
      </c>
      <c r="L1448" s="6">
        <f>IF(H1448="DISTRATO",0,I1448)</f>
        <v/>
      </c>
    </row>
    <row r="1449">
      <c r="A1449" s="38" t="inlineStr">
        <is>
          <t>Conta corrente MFRUGIS10.XLS</t>
        </is>
      </c>
      <c r="B1449" s="39" t="n">
        <v>40437</v>
      </c>
      <c r="C1449" s="4" t="n">
        <v>40422</v>
      </c>
      <c r="D1449" s="5">
        <f>YEAR(C1449)</f>
        <v/>
      </c>
      <c r="E1449" s="5">
        <f>MONTH(C1449)</f>
        <v/>
      </c>
      <c r="F1449" s="38" t="inlineStr">
        <is>
          <t>NFV  :TENDA ATACADO LTDA</t>
        </is>
      </c>
      <c r="G1449" s="38" t="inlineStr">
        <is>
          <t>MARIO FRUGIS (01.04.01)</t>
        </is>
      </c>
      <c r="H1449" s="38" t="inlineStr">
        <is>
          <t>NFV</t>
        </is>
      </c>
      <c r="I1449" s="40" t="n">
        <v>149.7</v>
      </c>
      <c r="J1449" s="40" t="n">
        <v>0</v>
      </c>
      <c r="K1449" s="6">
        <f>I1449-J1449</f>
        <v/>
      </c>
      <c r="L1449" s="6">
        <f>IF(H1449="DISTRATO",0,I1449)</f>
        <v/>
      </c>
    </row>
    <row r="1450">
      <c r="A1450" s="38" t="inlineStr">
        <is>
          <t>Conta corrente MFRUGIS10.XLS</t>
        </is>
      </c>
      <c r="B1450" s="39" t="n">
        <v>40437</v>
      </c>
      <c r="C1450" s="4" t="n">
        <v>40422</v>
      </c>
      <c r="D1450" s="5">
        <f>YEAR(C1450)</f>
        <v/>
      </c>
      <c r="E1450" s="5">
        <f>MONTH(C1450)</f>
        <v/>
      </c>
      <c r="F1450" s="38" t="inlineStr">
        <is>
          <t>NFV  :TENDA ATACADO LTDA</t>
        </is>
      </c>
      <c r="G1450" s="38" t="inlineStr">
        <is>
          <t>MARIO FRUGIS (01.04.01)</t>
        </is>
      </c>
      <c r="H1450" s="38" t="inlineStr">
        <is>
          <t>NFV</t>
        </is>
      </c>
      <c r="I1450" s="40" t="n">
        <v>82.47</v>
      </c>
      <c r="J1450" s="40" t="n">
        <v>0</v>
      </c>
      <c r="K1450" s="6">
        <f>I1450-J1450</f>
        <v/>
      </c>
      <c r="L1450" s="6">
        <f>IF(H1450="DISTRATO",0,I1450)</f>
        <v/>
      </c>
    </row>
    <row r="1451">
      <c r="A1451" s="38" t="inlineStr">
        <is>
          <t>Conta corrente MFRUGIS10.XLS</t>
        </is>
      </c>
      <c r="B1451" s="39" t="n">
        <v>40437</v>
      </c>
      <c r="C1451" s="4" t="n">
        <v>40422</v>
      </c>
      <c r="D1451" s="5">
        <f>YEAR(C1451)</f>
        <v/>
      </c>
      <c r="E1451" s="5">
        <f>MONTH(C1451)</f>
        <v/>
      </c>
      <c r="F1451" s="38" t="inlineStr">
        <is>
          <t>NFV  :TENDA ATACADO LTDA</t>
        </is>
      </c>
      <c r="G1451" s="38" t="inlineStr">
        <is>
          <t>MARIO FRUGIS (01.04.01)</t>
        </is>
      </c>
      <c r="H1451" s="38" t="inlineStr">
        <is>
          <t>NFV</t>
        </is>
      </c>
      <c r="I1451" s="40" t="n">
        <v>96.72</v>
      </c>
      <c r="J1451" s="40" t="n">
        <v>0</v>
      </c>
      <c r="K1451" s="6">
        <f>I1451-J1451</f>
        <v/>
      </c>
      <c r="L1451" s="6">
        <f>IF(H1451="DISTRATO",0,I1451)</f>
        <v/>
      </c>
    </row>
    <row r="1452">
      <c r="A1452" s="38" t="inlineStr">
        <is>
          <t>Conta corrente MFRUGIS10.XLS</t>
        </is>
      </c>
      <c r="B1452" s="39" t="n">
        <v>40437</v>
      </c>
      <c r="C1452" s="4" t="n">
        <v>40422</v>
      </c>
      <c r="D1452" s="5">
        <f>YEAR(C1452)</f>
        <v/>
      </c>
      <c r="E1452" s="5">
        <f>MONTH(C1452)</f>
        <v/>
      </c>
      <c r="F1452" s="38" t="inlineStr">
        <is>
          <t>NFV  :TENDA ATACADO LTDA</t>
        </is>
      </c>
      <c r="G1452" s="38" t="inlineStr">
        <is>
          <t>MARIO FRUGIS (01.04.01)</t>
        </is>
      </c>
      <c r="H1452" s="38" t="inlineStr">
        <is>
          <t>NFV</t>
        </is>
      </c>
      <c r="I1452" s="40" t="n">
        <v>78.02</v>
      </c>
      <c r="J1452" s="40" t="n">
        <v>0</v>
      </c>
      <c r="K1452" s="6">
        <f>I1452-J1452</f>
        <v/>
      </c>
      <c r="L1452" s="6">
        <f>IF(H1452="DISTRATO",0,I1452)</f>
        <v/>
      </c>
    </row>
    <row r="1453">
      <c r="A1453" s="38" t="inlineStr">
        <is>
          <t>Conta corrente MFRUGIS10.XLS</t>
        </is>
      </c>
      <c r="B1453" s="39" t="n">
        <v>40437</v>
      </c>
      <c r="C1453" s="4" t="n">
        <v>40422</v>
      </c>
      <c r="D1453" s="5">
        <f>YEAR(C1453)</f>
        <v/>
      </c>
      <c r="E1453" s="5">
        <f>MONTH(C1453)</f>
        <v/>
      </c>
      <c r="F1453" s="38" t="inlineStr">
        <is>
          <t>NFV  :TENDA ATACADO LTDA</t>
        </is>
      </c>
      <c r="G1453" s="38" t="inlineStr">
        <is>
          <t>MARIO FRUGIS (01.04.01)</t>
        </is>
      </c>
      <c r="H1453" s="38" t="inlineStr">
        <is>
          <t>NFV</t>
        </is>
      </c>
      <c r="I1453" s="40" t="n">
        <v>141.54</v>
      </c>
      <c r="J1453" s="40" t="n">
        <v>0</v>
      </c>
      <c r="K1453" s="6">
        <f>I1453-J1453</f>
        <v/>
      </c>
      <c r="L1453" s="6">
        <f>IF(H1453="DISTRATO",0,I1453)</f>
        <v/>
      </c>
    </row>
    <row r="1454">
      <c r="A1454" s="38" t="inlineStr">
        <is>
          <t>Conta corrente MFRUGIS10.XLS</t>
        </is>
      </c>
      <c r="B1454" s="39" t="n">
        <v>40437</v>
      </c>
      <c r="C1454" s="4" t="n">
        <v>40422</v>
      </c>
      <c r="D1454" s="5">
        <f>YEAR(C1454)</f>
        <v/>
      </c>
      <c r="E1454" s="5">
        <f>MONTH(C1454)</f>
        <v/>
      </c>
      <c r="F1454" s="38" t="inlineStr">
        <is>
          <t>NFV  :TENDA ATACADO LTDA</t>
        </is>
      </c>
      <c r="G1454" s="38" t="inlineStr">
        <is>
          <t>MARIO FRUGIS (01.04.01)</t>
        </is>
      </c>
      <c r="H1454" s="38" t="inlineStr">
        <is>
          <t>NFV</t>
        </is>
      </c>
      <c r="I1454" s="40" t="n">
        <v>104.14</v>
      </c>
      <c r="J1454" s="40" t="n">
        <v>0</v>
      </c>
      <c r="K1454" s="6">
        <f>I1454-J1454</f>
        <v/>
      </c>
      <c r="L1454" s="6">
        <f>IF(H1454="DISTRATO",0,I1454)</f>
        <v/>
      </c>
    </row>
    <row r="1455">
      <c r="A1455" s="38" t="inlineStr">
        <is>
          <t>Conta corrente MFRUGIS10.XLS</t>
        </is>
      </c>
      <c r="B1455" s="39" t="n">
        <v>40437</v>
      </c>
      <c r="C1455" s="4" t="n">
        <v>40422</v>
      </c>
      <c r="D1455" s="5">
        <f>YEAR(C1455)</f>
        <v/>
      </c>
      <c r="E1455" s="5">
        <f>MONTH(C1455)</f>
        <v/>
      </c>
      <c r="F1455" s="38" t="inlineStr">
        <is>
          <t>NFV  :TENDA ATACADO LTDA</t>
        </is>
      </c>
      <c r="G1455" s="38" t="inlineStr">
        <is>
          <t>MARIO FRUGIS (01.04.01)</t>
        </is>
      </c>
      <c r="H1455" s="38" t="inlineStr">
        <is>
          <t>NFV</t>
        </is>
      </c>
      <c r="I1455" s="40" t="n">
        <v>226.78</v>
      </c>
      <c r="J1455" s="40" t="n">
        <v>0</v>
      </c>
      <c r="K1455" s="6">
        <f>I1455-J1455</f>
        <v/>
      </c>
      <c r="L1455" s="6">
        <f>IF(H1455="DISTRATO",0,I1455)</f>
        <v/>
      </c>
    </row>
    <row r="1456">
      <c r="A1456" s="38" t="inlineStr">
        <is>
          <t>Conta corrente MFRUGIS10.XLS</t>
        </is>
      </c>
      <c r="B1456" s="39" t="n">
        <v>40437</v>
      </c>
      <c r="C1456" s="4" t="n">
        <v>40422</v>
      </c>
      <c r="D1456" s="5">
        <f>YEAR(C1456)</f>
        <v/>
      </c>
      <c r="E1456" s="5">
        <f>MONTH(C1456)</f>
        <v/>
      </c>
      <c r="F1456" s="38" t="inlineStr">
        <is>
          <t>NFV  :TENDA ATACADO LTDA</t>
        </is>
      </c>
      <c r="G1456" s="38" t="inlineStr">
        <is>
          <t>MARIO FRUGIS (01.04.01)</t>
        </is>
      </c>
      <c r="H1456" s="38" t="inlineStr">
        <is>
          <t>NFV</t>
        </is>
      </c>
      <c r="I1456" s="40" t="n">
        <v>129.52</v>
      </c>
      <c r="J1456" s="40" t="n">
        <v>0</v>
      </c>
      <c r="K1456" s="6">
        <f>I1456-J1456</f>
        <v/>
      </c>
      <c r="L1456" s="6">
        <f>IF(H1456="DISTRATO",0,I1456)</f>
        <v/>
      </c>
    </row>
    <row r="1457">
      <c r="A1457" s="38" t="inlineStr">
        <is>
          <t>Conta corrente MFRUGIS10.XLS</t>
        </is>
      </c>
      <c r="B1457" s="39" t="n">
        <v>40437</v>
      </c>
      <c r="C1457" s="4" t="n">
        <v>40422</v>
      </c>
      <c r="D1457" s="5">
        <f>YEAR(C1457)</f>
        <v/>
      </c>
      <c r="E1457" s="5">
        <f>MONTH(C1457)</f>
        <v/>
      </c>
      <c r="F1457" s="38" t="inlineStr">
        <is>
          <t>NFV  :TENDA ATACADO LTDA</t>
        </is>
      </c>
      <c r="G1457" s="38" t="inlineStr">
        <is>
          <t>MARIO FRUGIS (01.04.01)</t>
        </is>
      </c>
      <c r="H1457" s="38" t="inlineStr">
        <is>
          <t>NFV</t>
        </is>
      </c>
      <c r="I1457" s="40" t="n">
        <v>94.63</v>
      </c>
      <c r="J1457" s="40" t="n">
        <v>0</v>
      </c>
      <c r="K1457" s="6">
        <f>I1457-J1457</f>
        <v/>
      </c>
      <c r="L1457" s="6">
        <f>IF(H1457="DISTRATO",0,I1457)</f>
        <v/>
      </c>
    </row>
    <row r="1458">
      <c r="A1458" s="38" t="inlineStr">
        <is>
          <t>Conta corrente MFRUGIS10.XLS</t>
        </is>
      </c>
      <c r="B1458" s="39" t="n">
        <v>40438</v>
      </c>
      <c r="C1458" s="4" t="n">
        <v>40422</v>
      </c>
      <c r="D1458" s="5">
        <f>YEAR(C1458)</f>
        <v/>
      </c>
      <c r="E1458" s="5">
        <f>MONTH(C1458)</f>
        <v/>
      </c>
      <c r="F1458" s="38" t="inlineStr">
        <is>
          <t>NFV  :TENDA ATACADO LTDA</t>
        </is>
      </c>
      <c r="G1458" s="38" t="inlineStr">
        <is>
          <t>MARIO FRUGIS (01.04.01)</t>
        </is>
      </c>
      <c r="H1458" s="38" t="inlineStr">
        <is>
          <t>NFV</t>
        </is>
      </c>
      <c r="I1458" s="40" t="n">
        <v>130.96</v>
      </c>
      <c r="J1458" s="40" t="n">
        <v>0</v>
      </c>
      <c r="K1458" s="6">
        <f>I1458-J1458</f>
        <v/>
      </c>
      <c r="L1458" s="6">
        <f>IF(H1458="DISTRATO",0,I1458)</f>
        <v/>
      </c>
    </row>
    <row r="1459">
      <c r="A1459" s="38" t="inlineStr">
        <is>
          <t>Conta corrente MFRUGIS10.XLS</t>
        </is>
      </c>
      <c r="B1459" s="39" t="n">
        <v>40451</v>
      </c>
      <c r="C1459" s="4" t="n">
        <v>40422</v>
      </c>
      <c r="D1459" s="5">
        <f>YEAR(C1459)</f>
        <v/>
      </c>
      <c r="E1459" s="5">
        <f>MONTH(C1459)</f>
        <v/>
      </c>
      <c r="F1459" s="38" t="inlineStr">
        <is>
          <t>NFV  :TENDA ATACADO LTDA</t>
        </is>
      </c>
      <c r="G1459" s="38" t="inlineStr">
        <is>
          <t>MARIO FRUGIS (01.04.01)</t>
        </is>
      </c>
      <c r="H1459" s="38" t="inlineStr">
        <is>
          <t>NFV</t>
        </is>
      </c>
      <c r="I1459" s="40" t="n">
        <v>48.31</v>
      </c>
      <c r="J1459" s="40" t="n">
        <v>0</v>
      </c>
      <c r="K1459" s="6">
        <f>I1459-J1459</f>
        <v/>
      </c>
      <c r="L1459" s="6">
        <f>IF(H1459="DISTRATO",0,I1459)</f>
        <v/>
      </c>
    </row>
    <row r="1460">
      <c r="A1460" s="38" t="inlineStr">
        <is>
          <t>Conta corrente MFRUGIS10.XLS</t>
        </is>
      </c>
      <c r="B1460" s="39" t="n">
        <v>40451</v>
      </c>
      <c r="C1460" s="4" t="n">
        <v>40422</v>
      </c>
      <c r="D1460" s="5">
        <f>YEAR(C1460)</f>
        <v/>
      </c>
      <c r="E1460" s="5">
        <f>MONTH(C1460)</f>
        <v/>
      </c>
      <c r="F1460" s="38" t="inlineStr">
        <is>
          <t>NFV  :TENDA ATACADO LTDA</t>
        </is>
      </c>
      <c r="G1460" s="38" t="inlineStr">
        <is>
          <t>MARIO FRUGIS (01.04.01)</t>
        </is>
      </c>
      <c r="H1460" s="38" t="inlineStr">
        <is>
          <t>NFV</t>
        </is>
      </c>
      <c r="I1460" s="40" t="n">
        <v>22.31</v>
      </c>
      <c r="J1460" s="40" t="n">
        <v>0</v>
      </c>
      <c r="K1460" s="6">
        <f>I1460-J1460</f>
        <v/>
      </c>
      <c r="L1460" s="6">
        <f>IF(H1460="DISTRATO",0,I1460)</f>
        <v/>
      </c>
    </row>
    <row r="1461">
      <c r="A1461" s="38" t="inlineStr">
        <is>
          <t>Conta corrente MFRUGIS10.XLS</t>
        </is>
      </c>
      <c r="B1461" s="39" t="n">
        <v>40451</v>
      </c>
      <c r="C1461" s="4" t="n">
        <v>40422</v>
      </c>
      <c r="D1461" s="5">
        <f>YEAR(C1461)</f>
        <v/>
      </c>
      <c r="E1461" s="5">
        <f>MONTH(C1461)</f>
        <v/>
      </c>
      <c r="F1461" s="38" t="inlineStr">
        <is>
          <t>NFV  :TENDA ATACADO LTDA</t>
        </is>
      </c>
      <c r="G1461" s="38" t="inlineStr">
        <is>
          <t>MARIO FRUGIS (01.04.01)</t>
        </is>
      </c>
      <c r="H1461" s="38" t="inlineStr">
        <is>
          <t>NFV</t>
        </is>
      </c>
      <c r="I1461" s="40" t="n">
        <v>26.2</v>
      </c>
      <c r="J1461" s="40" t="n">
        <v>0</v>
      </c>
      <c r="K1461" s="6">
        <f>I1461-J1461</f>
        <v/>
      </c>
      <c r="L1461" s="6">
        <f>IF(H1461="DISTRATO",0,I1461)</f>
        <v/>
      </c>
    </row>
    <row r="1462">
      <c r="A1462" s="38" t="inlineStr">
        <is>
          <t>Conta corrente MFRUGIS10.XLS</t>
        </is>
      </c>
      <c r="B1462" s="39" t="n">
        <v>40451</v>
      </c>
      <c r="C1462" s="4" t="n">
        <v>40422</v>
      </c>
      <c r="D1462" s="5">
        <f>YEAR(C1462)</f>
        <v/>
      </c>
      <c r="E1462" s="5">
        <f>MONTH(C1462)</f>
        <v/>
      </c>
      <c r="F1462" s="38" t="inlineStr">
        <is>
          <t>NFV  :TENDA ATACADO LTDA</t>
        </is>
      </c>
      <c r="G1462" s="38" t="inlineStr">
        <is>
          <t>MARIO FRUGIS (01.04.01)</t>
        </is>
      </c>
      <c r="H1462" s="38" t="inlineStr">
        <is>
          <t>NFV</t>
        </is>
      </c>
      <c r="I1462" s="40" t="n">
        <v>83.42</v>
      </c>
      <c r="J1462" s="40" t="n">
        <v>0</v>
      </c>
      <c r="K1462" s="6">
        <f>I1462-J1462</f>
        <v/>
      </c>
      <c r="L1462" s="6">
        <f>IF(H1462="DISTRATO",0,I1462)</f>
        <v/>
      </c>
    </row>
    <row r="1463">
      <c r="A1463" s="38" t="inlineStr">
        <is>
          <t>Conta corrente MFRUGIS10.XLS</t>
        </is>
      </c>
      <c r="B1463" s="39" t="n">
        <v>40451</v>
      </c>
      <c r="C1463" s="4" t="n">
        <v>40422</v>
      </c>
      <c r="D1463" s="5">
        <f>YEAR(C1463)</f>
        <v/>
      </c>
      <c r="E1463" s="5">
        <f>MONTH(C1463)</f>
        <v/>
      </c>
      <c r="F1463" s="38" t="inlineStr">
        <is>
          <t>NFV  :TENDA ATACADO LTDA</t>
        </is>
      </c>
      <c r="G1463" s="38" t="inlineStr">
        <is>
          <t>MARIO FRUGIS (01.04.01)</t>
        </is>
      </c>
      <c r="H1463" s="38" t="inlineStr">
        <is>
          <t>NFV</t>
        </is>
      </c>
      <c r="I1463" s="40" t="n">
        <v>39.27</v>
      </c>
      <c r="J1463" s="40" t="n">
        <v>0</v>
      </c>
      <c r="K1463" s="6">
        <f>I1463-J1463</f>
        <v/>
      </c>
      <c r="L1463" s="6">
        <f>IF(H1463="DISTRATO",0,I1463)</f>
        <v/>
      </c>
    </row>
    <row r="1464">
      <c r="A1464" s="38" t="inlineStr">
        <is>
          <t>Conta corrente MFRUGIS10.XLS</t>
        </is>
      </c>
      <c r="B1464" s="39" t="n">
        <v>40451</v>
      </c>
      <c r="C1464" s="4" t="n">
        <v>40422</v>
      </c>
      <c r="D1464" s="5">
        <f>YEAR(C1464)</f>
        <v/>
      </c>
      <c r="E1464" s="5">
        <f>MONTH(C1464)</f>
        <v/>
      </c>
      <c r="F1464" s="38" t="inlineStr">
        <is>
          <t>NFV  :TENDA ATACADO LTDA</t>
        </is>
      </c>
      <c r="G1464" s="38" t="inlineStr">
        <is>
          <t>MARIO FRUGIS (01.04.01)</t>
        </is>
      </c>
      <c r="H1464" s="38" t="inlineStr">
        <is>
          <t>NFV</t>
        </is>
      </c>
      <c r="I1464" s="40" t="n">
        <v>57.36</v>
      </c>
      <c r="J1464" s="40" t="n">
        <v>0</v>
      </c>
      <c r="K1464" s="6">
        <f>I1464-J1464</f>
        <v/>
      </c>
      <c r="L1464" s="6">
        <f>IF(H1464="DISTRATO",0,I1464)</f>
        <v/>
      </c>
    </row>
    <row r="1465">
      <c r="A1465" s="38" t="inlineStr">
        <is>
          <t>Conta corrente MFRUGIS10.XLS</t>
        </is>
      </c>
      <c r="B1465" s="39" t="n">
        <v>40451</v>
      </c>
      <c r="C1465" s="4" t="n">
        <v>40422</v>
      </c>
      <c r="D1465" s="5">
        <f>YEAR(C1465)</f>
        <v/>
      </c>
      <c r="E1465" s="5">
        <f>MONTH(C1465)</f>
        <v/>
      </c>
      <c r="F1465" s="38" t="inlineStr">
        <is>
          <t>NFV  :TENDA ATACADO LTDA</t>
        </is>
      </c>
      <c r="G1465" s="38" t="inlineStr">
        <is>
          <t>MARIO FRUGIS (01.04.01)</t>
        </is>
      </c>
      <c r="H1465" s="38" t="inlineStr">
        <is>
          <t>NFV</t>
        </is>
      </c>
      <c r="I1465" s="40" t="n">
        <v>59.95</v>
      </c>
      <c r="J1465" s="40" t="n">
        <v>0</v>
      </c>
      <c r="K1465" s="6">
        <f>I1465-J1465</f>
        <v/>
      </c>
      <c r="L1465" s="6">
        <f>IF(H1465="DISTRATO",0,I1465)</f>
        <v/>
      </c>
    </row>
    <row r="1466">
      <c r="A1466" s="38" t="inlineStr">
        <is>
          <t>Conta corrente MFRUGIS10.XLS</t>
        </is>
      </c>
      <c r="B1466" s="39" t="n">
        <v>40451</v>
      </c>
      <c r="C1466" s="4" t="n">
        <v>40422</v>
      </c>
      <c r="D1466" s="5">
        <f>YEAR(C1466)</f>
        <v/>
      </c>
      <c r="E1466" s="5">
        <f>MONTH(C1466)</f>
        <v/>
      </c>
      <c r="F1466" s="38" t="inlineStr">
        <is>
          <t>NFV  :TENDA ATACADO LTDA</t>
        </is>
      </c>
      <c r="G1466" s="38" t="inlineStr">
        <is>
          <t>MARIO FRUGIS (01.04.01)</t>
        </is>
      </c>
      <c r="H1466" s="38" t="inlineStr">
        <is>
          <t>NFV</t>
        </is>
      </c>
      <c r="I1466" s="40" t="n">
        <v>34.26</v>
      </c>
      <c r="J1466" s="40" t="n">
        <v>0</v>
      </c>
      <c r="K1466" s="6">
        <f>I1466-J1466</f>
        <v/>
      </c>
      <c r="L1466" s="6">
        <f>IF(H1466="DISTRATO",0,I1466)</f>
        <v/>
      </c>
    </row>
    <row r="1467">
      <c r="A1467" s="38" t="inlineStr">
        <is>
          <t>Conta corrente MFRUGIS10.XLS</t>
        </is>
      </c>
      <c r="B1467" s="39" t="n">
        <v>40451</v>
      </c>
      <c r="C1467" s="4" t="n">
        <v>40422</v>
      </c>
      <c r="D1467" s="5">
        <f>YEAR(C1467)</f>
        <v/>
      </c>
      <c r="E1467" s="5">
        <f>MONTH(C1467)</f>
        <v/>
      </c>
      <c r="F1467" s="38" t="inlineStr">
        <is>
          <t>NFV  :TENDA ATACADO LTDA</t>
        </is>
      </c>
      <c r="G1467" s="38" t="inlineStr">
        <is>
          <t>MARIO FRUGIS (01.04.01)</t>
        </is>
      </c>
      <c r="H1467" s="38" t="inlineStr">
        <is>
          <t>NFV</t>
        </is>
      </c>
      <c r="I1467" s="40" t="n">
        <v>24.52</v>
      </c>
      <c r="J1467" s="40" t="n">
        <v>0</v>
      </c>
      <c r="K1467" s="6">
        <f>I1467-J1467</f>
        <v/>
      </c>
      <c r="L1467" s="6">
        <f>IF(H1467="DISTRATO",0,I1467)</f>
        <v/>
      </c>
    </row>
    <row r="1468">
      <c r="A1468" s="38" t="inlineStr">
        <is>
          <t>Conta corrente MFRUGIS10.XLS</t>
        </is>
      </c>
      <c r="B1468" s="39" t="n">
        <v>40451</v>
      </c>
      <c r="C1468" s="4" t="n">
        <v>40422</v>
      </c>
      <c r="D1468" s="5">
        <f>YEAR(C1468)</f>
        <v/>
      </c>
      <c r="E1468" s="5">
        <f>MONTH(C1468)</f>
        <v/>
      </c>
      <c r="F1468" s="38" t="inlineStr">
        <is>
          <t>NFV  :TENDA ATACADO LTDA</t>
        </is>
      </c>
      <c r="G1468" s="38" t="inlineStr">
        <is>
          <t>MARIO FRUGIS (01.04.01)</t>
        </is>
      </c>
      <c r="H1468" s="38" t="inlineStr">
        <is>
          <t>NFV</t>
        </is>
      </c>
      <c r="I1468" s="40" t="n">
        <v>32.6</v>
      </c>
      <c r="J1468" s="40" t="n">
        <v>0</v>
      </c>
      <c r="K1468" s="6">
        <f>I1468-J1468</f>
        <v/>
      </c>
      <c r="L1468" s="6">
        <f>IF(H1468="DISTRATO",0,I1468)</f>
        <v/>
      </c>
    </row>
    <row r="1469">
      <c r="A1469" s="38" t="inlineStr">
        <is>
          <t>Conta corrente MFRUGIS10.XLS</t>
        </is>
      </c>
      <c r="B1469" s="39" t="n">
        <v>40451</v>
      </c>
      <c r="C1469" s="4" t="n">
        <v>40422</v>
      </c>
      <c r="D1469" s="5">
        <f>YEAR(C1469)</f>
        <v/>
      </c>
      <c r="E1469" s="5">
        <f>MONTH(C1469)</f>
        <v/>
      </c>
      <c r="F1469" s="38" t="inlineStr">
        <is>
          <t>NFV  :TENDA ATACADO LTDA</t>
        </is>
      </c>
      <c r="G1469" s="38" t="inlineStr">
        <is>
          <t>MARIO FRUGIS (01.04.01)</t>
        </is>
      </c>
      <c r="H1469" s="38" t="inlineStr">
        <is>
          <t>NFV</t>
        </is>
      </c>
      <c r="I1469" s="40" t="n">
        <v>44.19</v>
      </c>
      <c r="J1469" s="40" t="n">
        <v>0</v>
      </c>
      <c r="K1469" s="6">
        <f>I1469-J1469</f>
        <v/>
      </c>
      <c r="L1469" s="6">
        <f>IF(H1469="DISTRATO",0,I1469)</f>
        <v/>
      </c>
    </row>
    <row r="1470">
      <c r="A1470" s="38" t="inlineStr">
        <is>
          <t>Conta corrente FRUGIS5.XLS</t>
        </is>
      </c>
      <c r="B1470" s="39" t="n">
        <v>40912</v>
      </c>
      <c r="C1470" s="4" t="n">
        <v>40909</v>
      </c>
      <c r="D1470" s="5">
        <f>YEAR(C1470)</f>
        <v/>
      </c>
      <c r="E1470" s="5">
        <f>MONTH(C1470)</f>
        <v/>
      </c>
      <c r="F1470" s="38" t="inlineStr">
        <is>
          <t>DEV  :TENDA ATACADO LTDA</t>
        </is>
      </c>
      <c r="G1470" s="38" t="inlineStr">
        <is>
          <t>MARIO FRUGIS (01.04.01)</t>
        </is>
      </c>
      <c r="H1470" s="38" t="inlineStr">
        <is>
          <t>DEVOLUCAO</t>
        </is>
      </c>
      <c r="I1470" s="40" t="n">
        <v>-0.6</v>
      </c>
      <c r="J1470" s="40" t="n">
        <v>0</v>
      </c>
      <c r="K1470" s="6">
        <f>I1470-J1470</f>
        <v/>
      </c>
      <c r="L1470" s="6">
        <f>IF(H1470="DISTRATO",0,I1470)</f>
        <v/>
      </c>
    </row>
    <row r="1471">
      <c r="A1471" s="38" t="inlineStr">
        <is>
          <t>Conta corrente FRUGIS5.XLS</t>
        </is>
      </c>
      <c r="B1471" s="39" t="n">
        <v>40919</v>
      </c>
      <c r="C1471" s="4" t="n">
        <v>40909</v>
      </c>
      <c r="D1471" s="5">
        <f>YEAR(C1471)</f>
        <v/>
      </c>
      <c r="E1471" s="5">
        <f>MONTH(C1471)</f>
        <v/>
      </c>
      <c r="F1471" s="38" t="inlineStr">
        <is>
          <t>DEV  :TENDA ATACADO LTDA</t>
        </is>
      </c>
      <c r="G1471" s="38" t="inlineStr">
        <is>
          <t>MARIO FRUGIS (01.04.01)</t>
        </is>
      </c>
      <c r="H1471" s="38" t="inlineStr">
        <is>
          <t>DEVOLUCAO</t>
        </is>
      </c>
      <c r="I1471" s="40" t="n">
        <v>-3.15</v>
      </c>
      <c r="J1471" s="40" t="n">
        <v>0</v>
      </c>
      <c r="K1471" s="6">
        <f>I1471-J1471</f>
        <v/>
      </c>
      <c r="L1471" s="6">
        <f>IF(H1471="DISTRATO",0,I1471)</f>
        <v/>
      </c>
    </row>
    <row r="1472">
      <c r="A1472" s="38" t="inlineStr">
        <is>
          <t>Conta corrente FRUGIS5.XLS</t>
        </is>
      </c>
      <c r="B1472" s="39" t="n">
        <v>40919</v>
      </c>
      <c r="C1472" s="4" t="n">
        <v>40909</v>
      </c>
      <c r="D1472" s="5">
        <f>YEAR(C1472)</f>
        <v/>
      </c>
      <c r="E1472" s="5">
        <f>MONTH(C1472)</f>
        <v/>
      </c>
      <c r="F1472" s="38" t="inlineStr">
        <is>
          <t>DEV  :TENDA ATACADO LTDA</t>
        </is>
      </c>
      <c r="G1472" s="38" t="inlineStr">
        <is>
          <t>MARIO FRUGIS (01.04.01)</t>
        </is>
      </c>
      <c r="H1472" s="38" t="inlineStr">
        <is>
          <t>DEVOLUCAO</t>
        </is>
      </c>
      <c r="I1472" s="40" t="n">
        <v>-0.6</v>
      </c>
      <c r="J1472" s="40" t="n">
        <v>0</v>
      </c>
      <c r="K1472" s="6">
        <f>I1472-J1472</f>
        <v/>
      </c>
      <c r="L1472" s="6">
        <f>IF(H1472="DISTRATO",0,I1472)</f>
        <v/>
      </c>
    </row>
    <row r="1473">
      <c r="A1473" s="38" t="inlineStr">
        <is>
          <t>Conta corrente FRUGIS5.XLS</t>
        </is>
      </c>
      <c r="B1473" s="39" t="n">
        <v>40919</v>
      </c>
      <c r="C1473" s="4" t="n">
        <v>40909</v>
      </c>
      <c r="D1473" s="5">
        <f>YEAR(C1473)</f>
        <v/>
      </c>
      <c r="E1473" s="5">
        <f>MONTH(C1473)</f>
        <v/>
      </c>
      <c r="F1473" s="38" t="inlineStr">
        <is>
          <t>DEV  :TENDA ATACADO LTDA</t>
        </is>
      </c>
      <c r="G1473" s="38" t="inlineStr">
        <is>
          <t>MARIO FRUGIS (01.04.01)</t>
        </is>
      </c>
      <c r="H1473" s="38" t="inlineStr">
        <is>
          <t>DEVOLUCAO</t>
        </is>
      </c>
      <c r="I1473" s="40" t="n">
        <v>-10.31</v>
      </c>
      <c r="J1473" s="40" t="n">
        <v>0</v>
      </c>
      <c r="K1473" s="6">
        <f>I1473-J1473</f>
        <v/>
      </c>
      <c r="L1473" s="6">
        <f>IF(H1473="DISTRATO",0,I1473)</f>
        <v/>
      </c>
    </row>
    <row r="1474">
      <c r="A1474" s="38" t="inlineStr">
        <is>
          <t>Conta corrente FRUGIS5.XLS</t>
        </is>
      </c>
      <c r="B1474" s="39" t="n">
        <v>40936</v>
      </c>
      <c r="C1474" s="4" t="n">
        <v>40909</v>
      </c>
      <c r="D1474" s="5">
        <f>YEAR(C1474)</f>
        <v/>
      </c>
      <c r="E1474" s="5">
        <f>MONTH(C1474)</f>
        <v/>
      </c>
      <c r="F1474" s="38" t="inlineStr">
        <is>
          <t>NFV  :TENDA ATACADO LTDA</t>
        </is>
      </c>
      <c r="G1474" s="38" t="inlineStr">
        <is>
          <t>MARIO FRUGIS (01.04.01)</t>
        </is>
      </c>
      <c r="H1474" s="38" t="inlineStr">
        <is>
          <t>NFV</t>
        </is>
      </c>
      <c r="I1474" s="40" t="n">
        <v>46.83</v>
      </c>
      <c r="J1474" s="40" t="n">
        <v>0</v>
      </c>
      <c r="K1474" s="6">
        <f>I1474-J1474</f>
        <v/>
      </c>
      <c r="L1474" s="6">
        <f>IF(H1474="DISTRATO",0,I1474)</f>
        <v/>
      </c>
    </row>
    <row r="1475">
      <c r="A1475" s="38" t="inlineStr">
        <is>
          <t>Conta corrente FRUGIS5.XLS</t>
        </is>
      </c>
      <c r="B1475" s="39" t="n">
        <v>40937</v>
      </c>
      <c r="C1475" s="4" t="n">
        <v>40909</v>
      </c>
      <c r="D1475" s="5">
        <f>YEAR(C1475)</f>
        <v/>
      </c>
      <c r="E1475" s="5">
        <f>MONTH(C1475)</f>
        <v/>
      </c>
      <c r="F1475" s="38" t="inlineStr">
        <is>
          <t>NFV  :TENDA ATACADO LTDA</t>
        </is>
      </c>
      <c r="G1475" s="38" t="inlineStr">
        <is>
          <t>MARIO FRUGIS (01.04.01)</t>
        </is>
      </c>
      <c r="H1475" s="38" t="inlineStr">
        <is>
          <t>NFV</t>
        </is>
      </c>
      <c r="I1475" s="40" t="n">
        <v>46.83</v>
      </c>
      <c r="J1475" s="40" t="n">
        <v>0</v>
      </c>
      <c r="K1475" s="6">
        <f>I1475-J1475</f>
        <v/>
      </c>
      <c r="L1475" s="6">
        <f>IF(H1475="DISTRATO",0,I1475)</f>
        <v/>
      </c>
    </row>
    <row r="1476">
      <c r="A1476" s="38" t="inlineStr">
        <is>
          <t>Conta corrente FRUGIS5.XLS</t>
        </is>
      </c>
      <c r="B1476" s="39" t="n">
        <v>40937</v>
      </c>
      <c r="C1476" s="4" t="n">
        <v>40909</v>
      </c>
      <c r="D1476" s="5">
        <f>YEAR(C1476)</f>
        <v/>
      </c>
      <c r="E1476" s="5">
        <f>MONTH(C1476)</f>
        <v/>
      </c>
      <c r="F1476" s="38" t="inlineStr">
        <is>
          <t>NFV  :TENDA ATACADO LTDA</t>
        </is>
      </c>
      <c r="G1476" s="38" t="inlineStr">
        <is>
          <t>MARIO FRUGIS (01.04.01)</t>
        </is>
      </c>
      <c r="H1476" s="38" t="inlineStr">
        <is>
          <t>NFV</t>
        </is>
      </c>
      <c r="I1476" s="40" t="n">
        <v>46.83</v>
      </c>
      <c r="J1476" s="40" t="n">
        <v>0</v>
      </c>
      <c r="K1476" s="6">
        <f>I1476-J1476</f>
        <v/>
      </c>
      <c r="L1476" s="6">
        <f>IF(H1476="DISTRATO",0,I1476)</f>
        <v/>
      </c>
    </row>
    <row r="1477">
      <c r="A1477" s="38" t="inlineStr">
        <is>
          <t>Conta corrente FRUGIS5.XLS</t>
        </is>
      </c>
      <c r="B1477" s="39" t="n">
        <v>40937</v>
      </c>
      <c r="C1477" s="4" t="n">
        <v>40909</v>
      </c>
      <c r="D1477" s="5">
        <f>YEAR(C1477)</f>
        <v/>
      </c>
      <c r="E1477" s="5">
        <f>MONTH(C1477)</f>
        <v/>
      </c>
      <c r="F1477" s="38" t="inlineStr">
        <is>
          <t>NFV  :TENDA ATACADO LTDA</t>
        </is>
      </c>
      <c r="G1477" s="38" t="inlineStr">
        <is>
          <t>MARIO FRUGIS (01.04.01)</t>
        </is>
      </c>
      <c r="H1477" s="38" t="inlineStr">
        <is>
          <t>NFV</t>
        </is>
      </c>
      <c r="I1477" s="40" t="n">
        <v>46.83</v>
      </c>
      <c r="J1477" s="40" t="n">
        <v>0</v>
      </c>
      <c r="K1477" s="6">
        <f>I1477-J1477</f>
        <v/>
      </c>
      <c r="L1477" s="6">
        <f>IF(H1477="DISTRATO",0,I1477)</f>
        <v/>
      </c>
    </row>
    <row r="1478">
      <c r="A1478" s="38" t="inlineStr">
        <is>
          <t>Conta corrente FRUGIS5.XLS</t>
        </is>
      </c>
      <c r="B1478" s="39" t="n">
        <v>40938</v>
      </c>
      <c r="C1478" s="4" t="n">
        <v>40909</v>
      </c>
      <c r="D1478" s="5">
        <f>YEAR(C1478)</f>
        <v/>
      </c>
      <c r="E1478" s="5">
        <f>MONTH(C1478)</f>
        <v/>
      </c>
      <c r="F1478" s="38" t="inlineStr">
        <is>
          <t>NFV  :TENDA ATACADO LTDA</t>
        </is>
      </c>
      <c r="G1478" s="38" t="inlineStr">
        <is>
          <t>MARIO FRUGIS (01.04.01)</t>
        </is>
      </c>
      <c r="H1478" s="38" t="inlineStr">
        <is>
          <t>NFV</t>
        </is>
      </c>
      <c r="I1478" s="40" t="n">
        <v>46.83</v>
      </c>
      <c r="J1478" s="40" t="n">
        <v>0</v>
      </c>
      <c r="K1478" s="6">
        <f>I1478-J1478</f>
        <v/>
      </c>
      <c r="L1478" s="6">
        <f>IF(H1478="DISTRATO",0,I1478)</f>
        <v/>
      </c>
    </row>
    <row r="1479">
      <c r="A1479" s="38" t="inlineStr">
        <is>
          <t>Conta corrente FRUGIS5.XLS</t>
        </is>
      </c>
      <c r="B1479" s="39" t="n">
        <v>40938</v>
      </c>
      <c r="C1479" s="4" t="n">
        <v>40909</v>
      </c>
      <c r="D1479" s="5">
        <f>YEAR(C1479)</f>
        <v/>
      </c>
      <c r="E1479" s="5">
        <f>MONTH(C1479)</f>
        <v/>
      </c>
      <c r="F1479" s="38" t="inlineStr">
        <is>
          <t>NFV  :TENDA ATACADO LTDA</t>
        </is>
      </c>
      <c r="G1479" s="38" t="inlineStr">
        <is>
          <t>MARIO FRUGIS (01.04.01)</t>
        </is>
      </c>
      <c r="H1479" s="38" t="inlineStr">
        <is>
          <t>NFV</t>
        </is>
      </c>
      <c r="I1479" s="40" t="n">
        <v>35.12</v>
      </c>
      <c r="J1479" s="40" t="n">
        <v>0</v>
      </c>
      <c r="K1479" s="6">
        <f>I1479-J1479</f>
        <v/>
      </c>
      <c r="L1479" s="6">
        <f>IF(H1479="DISTRATO",0,I1479)</f>
        <v/>
      </c>
    </row>
    <row r="1480">
      <c r="A1480" s="38" t="inlineStr">
        <is>
          <t>Conta corrente FRUGIS5.XLS</t>
        </is>
      </c>
      <c r="B1480" s="39" t="n">
        <v>40938</v>
      </c>
      <c r="C1480" s="4" t="n">
        <v>40909</v>
      </c>
      <c r="D1480" s="5">
        <f>YEAR(C1480)</f>
        <v/>
      </c>
      <c r="E1480" s="5">
        <f>MONTH(C1480)</f>
        <v/>
      </c>
      <c r="F1480" s="38" t="inlineStr">
        <is>
          <t>NFV  :TENDA ATACADO LTDA</t>
        </is>
      </c>
      <c r="G1480" s="38" t="inlineStr">
        <is>
          <t>MARIO FRUGIS (01.04.01)</t>
        </is>
      </c>
      <c r="H1480" s="38" t="inlineStr">
        <is>
          <t>NFV</t>
        </is>
      </c>
      <c r="I1480" s="40" t="n">
        <v>46.83</v>
      </c>
      <c r="J1480" s="40" t="n">
        <v>0</v>
      </c>
      <c r="K1480" s="6">
        <f>I1480-J1480</f>
        <v/>
      </c>
      <c r="L1480" s="6">
        <f>IF(H1480="DISTRATO",0,I1480)</f>
        <v/>
      </c>
    </row>
    <row r="1481">
      <c r="A1481" s="38" t="inlineStr">
        <is>
          <t>Conta corrente FRUGIS5.XLS</t>
        </is>
      </c>
      <c r="B1481" s="39" t="n">
        <v>40938</v>
      </c>
      <c r="C1481" s="4" t="n">
        <v>40909</v>
      </c>
      <c r="D1481" s="5">
        <f>YEAR(C1481)</f>
        <v/>
      </c>
      <c r="E1481" s="5">
        <f>MONTH(C1481)</f>
        <v/>
      </c>
      <c r="F1481" s="38" t="inlineStr">
        <is>
          <t>NFV  :TENDA ATACADO LTDA</t>
        </is>
      </c>
      <c r="G1481" s="38" t="inlineStr">
        <is>
          <t>MARIO FRUGIS (01.04.01)</t>
        </is>
      </c>
      <c r="H1481" s="38" t="inlineStr">
        <is>
          <t>NFV</t>
        </is>
      </c>
      <c r="I1481" s="40" t="n">
        <v>46.83</v>
      </c>
      <c r="J1481" s="40" t="n">
        <v>0</v>
      </c>
      <c r="K1481" s="6">
        <f>I1481-J1481</f>
        <v/>
      </c>
      <c r="L1481" s="6">
        <f>IF(H1481="DISTRATO",0,I1481)</f>
        <v/>
      </c>
    </row>
    <row r="1482">
      <c r="A1482" s="38" t="inlineStr">
        <is>
          <t>Conta corrente FRUGIS5.XLS</t>
        </is>
      </c>
      <c r="B1482" s="39" t="n">
        <v>40938</v>
      </c>
      <c r="C1482" s="4" t="n">
        <v>40909</v>
      </c>
      <c r="D1482" s="5">
        <f>YEAR(C1482)</f>
        <v/>
      </c>
      <c r="E1482" s="5">
        <f>MONTH(C1482)</f>
        <v/>
      </c>
      <c r="F1482" s="38" t="inlineStr">
        <is>
          <t>NFV  :TENDA ATACADO LTDA</t>
        </is>
      </c>
      <c r="G1482" s="38" t="inlineStr">
        <is>
          <t>MARIO FRUGIS (01.04.01)</t>
        </is>
      </c>
      <c r="H1482" s="38" t="inlineStr">
        <is>
          <t>NFV</t>
        </is>
      </c>
      <c r="I1482" s="40" t="n">
        <v>46.83</v>
      </c>
      <c r="J1482" s="40" t="n">
        <v>0</v>
      </c>
      <c r="K1482" s="6">
        <f>I1482-J1482</f>
        <v/>
      </c>
      <c r="L1482" s="6">
        <f>IF(H1482="DISTRATO",0,I1482)</f>
        <v/>
      </c>
    </row>
    <row r="1483">
      <c r="A1483" s="38" t="inlineStr">
        <is>
          <t>Conta corrente FRUGIS5.XLS</t>
        </is>
      </c>
      <c r="B1483" s="39" t="n">
        <v>40938</v>
      </c>
      <c r="C1483" s="4" t="n">
        <v>40909</v>
      </c>
      <c r="D1483" s="5">
        <f>YEAR(C1483)</f>
        <v/>
      </c>
      <c r="E1483" s="5">
        <f>MONTH(C1483)</f>
        <v/>
      </c>
      <c r="F1483" s="38" t="inlineStr">
        <is>
          <t>NFV  :TENDA ATACADO LTDA</t>
        </is>
      </c>
      <c r="G1483" s="38" t="inlineStr">
        <is>
          <t>MARIO FRUGIS (01.04.01)</t>
        </is>
      </c>
      <c r="H1483" s="38" t="inlineStr">
        <is>
          <t>NFV</t>
        </is>
      </c>
      <c r="I1483" s="40" t="n">
        <v>46.83</v>
      </c>
      <c r="J1483" s="40" t="n">
        <v>0</v>
      </c>
      <c r="K1483" s="6">
        <f>I1483-J1483</f>
        <v/>
      </c>
      <c r="L1483" s="6">
        <f>IF(H1483="DISTRATO",0,I1483)</f>
        <v/>
      </c>
    </row>
    <row r="1484">
      <c r="A1484" s="38" t="inlineStr">
        <is>
          <t>Conta corrente FRUGIS5.XLS</t>
        </is>
      </c>
      <c r="B1484" s="39" t="n">
        <v>40938</v>
      </c>
      <c r="C1484" s="4" t="n">
        <v>40909</v>
      </c>
      <c r="D1484" s="5">
        <f>YEAR(C1484)</f>
        <v/>
      </c>
      <c r="E1484" s="5">
        <f>MONTH(C1484)</f>
        <v/>
      </c>
      <c r="F1484" s="38" t="inlineStr">
        <is>
          <t>NFV  :TENDA ATACADO LTDA</t>
        </is>
      </c>
      <c r="G1484" s="38" t="inlineStr">
        <is>
          <t>MARIO FRUGIS (01.04.01)</t>
        </is>
      </c>
      <c r="H1484" s="38" t="inlineStr">
        <is>
          <t>NFV</t>
        </is>
      </c>
      <c r="I1484" s="40" t="n">
        <v>23.34</v>
      </c>
      <c r="J1484" s="40" t="n">
        <v>0</v>
      </c>
      <c r="K1484" s="6">
        <f>I1484-J1484</f>
        <v/>
      </c>
      <c r="L1484" s="6">
        <f>IF(H1484="DISTRATO",0,I1484)</f>
        <v/>
      </c>
    </row>
    <row r="1485">
      <c r="A1485" s="38" t="inlineStr">
        <is>
          <t>Conta corrente FRUGIS5.XLS</t>
        </is>
      </c>
      <c r="B1485" s="39" t="n">
        <v>40938</v>
      </c>
      <c r="C1485" s="4" t="n">
        <v>40909</v>
      </c>
      <c r="D1485" s="5">
        <f>YEAR(C1485)</f>
        <v/>
      </c>
      <c r="E1485" s="5">
        <f>MONTH(C1485)</f>
        <v/>
      </c>
      <c r="F1485" s="38" t="inlineStr">
        <is>
          <t>NFV  :TENDA ATACADO LTDA</t>
        </is>
      </c>
      <c r="G1485" s="38" t="inlineStr">
        <is>
          <t>MARIO FRUGIS (01.04.01)</t>
        </is>
      </c>
      <c r="H1485" s="38" t="inlineStr">
        <is>
          <t>NFV</t>
        </is>
      </c>
      <c r="I1485" s="40" t="n">
        <v>25.78</v>
      </c>
      <c r="J1485" s="40" t="n">
        <v>0</v>
      </c>
      <c r="K1485" s="6">
        <f>I1485-J1485</f>
        <v/>
      </c>
      <c r="L1485" s="6">
        <f>IF(H1485="DISTRATO",0,I1485)</f>
        <v/>
      </c>
    </row>
    <row r="1486">
      <c r="A1486" s="38" t="inlineStr">
        <is>
          <t>Conta corrente FRUGIS5.XLS</t>
        </is>
      </c>
      <c r="B1486" s="39" t="n">
        <v>40938</v>
      </c>
      <c r="C1486" s="4" t="n">
        <v>40909</v>
      </c>
      <c r="D1486" s="5">
        <f>YEAR(C1486)</f>
        <v/>
      </c>
      <c r="E1486" s="5">
        <f>MONTH(C1486)</f>
        <v/>
      </c>
      <c r="F1486" s="38" t="inlineStr">
        <is>
          <t>NFV  :TENDA ATACADO LTDA</t>
        </is>
      </c>
      <c r="G1486" s="38" t="inlineStr">
        <is>
          <t>MARIO FRUGIS (01.04.01)</t>
        </is>
      </c>
      <c r="H1486" s="38" t="inlineStr">
        <is>
          <t>NFV</t>
        </is>
      </c>
      <c r="I1486" s="40" t="n">
        <v>35.12</v>
      </c>
      <c r="J1486" s="40" t="n">
        <v>0</v>
      </c>
      <c r="K1486" s="6">
        <f>I1486-J1486</f>
        <v/>
      </c>
      <c r="L1486" s="6">
        <f>IF(H1486="DISTRATO",0,I1486)</f>
        <v/>
      </c>
    </row>
    <row r="1487">
      <c r="A1487" s="38" t="inlineStr">
        <is>
          <t>Conta corrente FRUGIS5.XLS</t>
        </is>
      </c>
      <c r="B1487" s="39" t="n">
        <v>40938</v>
      </c>
      <c r="C1487" s="4" t="n">
        <v>40909</v>
      </c>
      <c r="D1487" s="5">
        <f>YEAR(C1487)</f>
        <v/>
      </c>
      <c r="E1487" s="5">
        <f>MONTH(C1487)</f>
        <v/>
      </c>
      <c r="F1487" s="38" t="inlineStr">
        <is>
          <t>NFV  :TENDA ATACADO LTDA</t>
        </is>
      </c>
      <c r="G1487" s="38" t="inlineStr">
        <is>
          <t>MARIO FRUGIS (01.04.01)</t>
        </is>
      </c>
      <c r="H1487" s="38" t="inlineStr">
        <is>
          <t>NFV</t>
        </is>
      </c>
      <c r="I1487" s="40" t="n">
        <v>46.83</v>
      </c>
      <c r="J1487" s="40" t="n">
        <v>0</v>
      </c>
      <c r="K1487" s="6">
        <f>I1487-J1487</f>
        <v/>
      </c>
      <c r="L1487" s="6">
        <f>IF(H1487="DISTRATO",0,I1487)</f>
        <v/>
      </c>
    </row>
    <row r="1488">
      <c r="A1488" s="38" t="inlineStr">
        <is>
          <t>Conta corrente FRUGIS5.XLS</t>
        </is>
      </c>
      <c r="B1488" s="39" t="n">
        <v>40938</v>
      </c>
      <c r="C1488" s="4" t="n">
        <v>40909</v>
      </c>
      <c r="D1488" s="5">
        <f>YEAR(C1488)</f>
        <v/>
      </c>
      <c r="E1488" s="5">
        <f>MONTH(C1488)</f>
        <v/>
      </c>
      <c r="F1488" s="38" t="inlineStr">
        <is>
          <t>NFV  :TENDA ATACADO LTDA</t>
        </is>
      </c>
      <c r="G1488" s="38" t="inlineStr">
        <is>
          <t>MARIO FRUGIS (01.04.01)</t>
        </is>
      </c>
      <c r="H1488" s="38" t="inlineStr">
        <is>
          <t>NFV</t>
        </is>
      </c>
      <c r="I1488" s="40" t="n">
        <v>79.68000000000001</v>
      </c>
      <c r="J1488" s="40" t="n">
        <v>0</v>
      </c>
      <c r="K1488" s="6">
        <f>I1488-J1488</f>
        <v/>
      </c>
      <c r="L1488" s="6">
        <f>IF(H1488="DISTRATO",0,I1488)</f>
        <v/>
      </c>
    </row>
    <row r="1489">
      <c r="A1489" s="38" t="inlineStr">
        <is>
          <t>Conta corrente FRUGIS5.XLS</t>
        </is>
      </c>
      <c r="B1489" s="39" t="n">
        <v>40938</v>
      </c>
      <c r="C1489" s="4" t="n">
        <v>40909</v>
      </c>
      <c r="D1489" s="5">
        <f>YEAR(C1489)</f>
        <v/>
      </c>
      <c r="E1489" s="5">
        <f>MONTH(C1489)</f>
        <v/>
      </c>
      <c r="F1489" s="38" t="inlineStr">
        <is>
          <t>NFV  :TENDA ATACADO LTDA</t>
        </is>
      </c>
      <c r="G1489" s="38" t="inlineStr">
        <is>
          <t>MARIO FRUGIS (01.04.01)</t>
        </is>
      </c>
      <c r="H1489" s="38" t="inlineStr">
        <is>
          <t>NFV</t>
        </is>
      </c>
      <c r="I1489" s="40" t="n">
        <v>99.86</v>
      </c>
      <c r="J1489" s="40" t="n">
        <v>0</v>
      </c>
      <c r="K1489" s="6">
        <f>I1489-J1489</f>
        <v/>
      </c>
      <c r="L1489" s="6">
        <f>IF(H1489="DISTRATO",0,I1489)</f>
        <v/>
      </c>
    </row>
    <row r="1490">
      <c r="A1490" s="38" t="inlineStr">
        <is>
          <t>Conta corrente FRUGIS5.XLS</t>
        </is>
      </c>
      <c r="B1490" s="39" t="n">
        <v>40939</v>
      </c>
      <c r="C1490" s="4" t="n">
        <v>40909</v>
      </c>
      <c r="D1490" s="5">
        <f>YEAR(C1490)</f>
        <v/>
      </c>
      <c r="E1490" s="5">
        <f>MONTH(C1490)</f>
        <v/>
      </c>
      <c r="F1490" s="38" t="inlineStr">
        <is>
          <t>NFV  :TENDA ATACADO LTDA</t>
        </is>
      </c>
      <c r="G1490" s="38" t="inlineStr">
        <is>
          <t>MARIO FRUGIS (01.04.01)</t>
        </is>
      </c>
      <c r="H1490" s="38" t="inlineStr">
        <is>
          <t>NFV</t>
        </is>
      </c>
      <c r="I1490" s="40" t="n">
        <v>57.26</v>
      </c>
      <c r="J1490" s="40" t="n">
        <v>0</v>
      </c>
      <c r="K1490" s="6">
        <f>I1490-J1490</f>
        <v/>
      </c>
      <c r="L1490" s="6">
        <f>IF(H1490="DISTRATO",0,I1490)</f>
        <v/>
      </c>
    </row>
    <row r="1491">
      <c r="A1491" s="38" t="inlineStr">
        <is>
          <t>Conta corrente FRUGIS5.XLS</t>
        </is>
      </c>
      <c r="B1491" s="39" t="n">
        <v>40939</v>
      </c>
      <c r="C1491" s="4" t="n">
        <v>40909</v>
      </c>
      <c r="D1491" s="5">
        <f>YEAR(C1491)</f>
        <v/>
      </c>
      <c r="E1491" s="5">
        <f>MONTH(C1491)</f>
        <v/>
      </c>
      <c r="F1491" s="38" t="inlineStr">
        <is>
          <t>NFV  :TENDA ATACADO LTDA</t>
        </is>
      </c>
      <c r="G1491" s="38" t="inlineStr">
        <is>
          <t>MARIO FRUGIS (01.04.01)</t>
        </is>
      </c>
      <c r="H1491" s="38" t="inlineStr">
        <is>
          <t>NFV</t>
        </is>
      </c>
      <c r="I1491" s="40" t="n">
        <v>124.49</v>
      </c>
      <c r="J1491" s="40" t="n">
        <v>0</v>
      </c>
      <c r="K1491" s="6">
        <f>I1491-J1491</f>
        <v/>
      </c>
      <c r="L1491" s="6">
        <f>IF(H1491="DISTRATO",0,I1491)</f>
        <v/>
      </c>
    </row>
    <row r="1492">
      <c r="A1492" s="38" t="inlineStr">
        <is>
          <t>Conta corrente FRUGIS5.XLS</t>
        </is>
      </c>
      <c r="B1492" s="39" t="n">
        <v>40939</v>
      </c>
      <c r="C1492" s="4" t="n">
        <v>40909</v>
      </c>
      <c r="D1492" s="5">
        <f>YEAR(C1492)</f>
        <v/>
      </c>
      <c r="E1492" s="5">
        <f>MONTH(C1492)</f>
        <v/>
      </c>
      <c r="F1492" s="38" t="inlineStr">
        <is>
          <t>NFV  :TENDA ATACADO LTDA</t>
        </is>
      </c>
      <c r="G1492" s="38" t="inlineStr">
        <is>
          <t>MARIO FRUGIS (01.04.01)</t>
        </is>
      </c>
      <c r="H1492" s="38" t="inlineStr">
        <is>
          <t>NFV</t>
        </is>
      </c>
      <c r="I1492" s="40" t="n">
        <v>102.78</v>
      </c>
      <c r="J1492" s="40" t="n">
        <v>0</v>
      </c>
      <c r="K1492" s="6">
        <f>I1492-J1492</f>
        <v/>
      </c>
      <c r="L1492" s="6">
        <f>IF(H1492="DISTRATO",0,I1492)</f>
        <v/>
      </c>
    </row>
    <row r="1493">
      <c r="A1493" s="38" t="inlineStr">
        <is>
          <t>Conta corrente FRUGIS5.XLS</t>
        </is>
      </c>
      <c r="B1493" s="39" t="n">
        <v>40939</v>
      </c>
      <c r="C1493" s="4" t="n">
        <v>40909</v>
      </c>
      <c r="D1493" s="5">
        <f>YEAR(C1493)</f>
        <v/>
      </c>
      <c r="E1493" s="5">
        <f>MONTH(C1493)</f>
        <v/>
      </c>
      <c r="F1493" s="38" t="inlineStr">
        <is>
          <t>NFV  :TENDA ATACADO LTDA</t>
        </is>
      </c>
      <c r="G1493" s="38" t="inlineStr">
        <is>
          <t>MARIO FRUGIS (01.04.01)</t>
        </is>
      </c>
      <c r="H1493" s="38" t="inlineStr">
        <is>
          <t>NFV</t>
        </is>
      </c>
      <c r="I1493" s="40" t="n">
        <v>25.92</v>
      </c>
      <c r="J1493" s="40" t="n">
        <v>0</v>
      </c>
      <c r="K1493" s="6">
        <f>I1493-J1493</f>
        <v/>
      </c>
      <c r="L1493" s="6">
        <f>IF(H1493="DISTRATO",0,I1493)</f>
        <v/>
      </c>
    </row>
    <row r="1494">
      <c r="A1494" s="38" t="inlineStr">
        <is>
          <t>Conta corrente FRUGIS5.XLS</t>
        </is>
      </c>
      <c r="B1494" s="39" t="n">
        <v>40939</v>
      </c>
      <c r="C1494" s="4" t="n">
        <v>40909</v>
      </c>
      <c r="D1494" s="5">
        <f>YEAR(C1494)</f>
        <v/>
      </c>
      <c r="E1494" s="5">
        <f>MONTH(C1494)</f>
        <v/>
      </c>
      <c r="F1494" s="38" t="inlineStr">
        <is>
          <t>NFV  :TENDA ATACADO LTDA</t>
        </is>
      </c>
      <c r="G1494" s="38" t="inlineStr">
        <is>
          <t>MARIO FRUGIS (01.04.01)</t>
        </is>
      </c>
      <c r="H1494" s="38" t="inlineStr">
        <is>
          <t>NFV</t>
        </is>
      </c>
      <c r="I1494" s="40" t="n">
        <v>59.7</v>
      </c>
      <c r="J1494" s="40" t="n">
        <v>0</v>
      </c>
      <c r="K1494" s="6">
        <f>I1494-J1494</f>
        <v/>
      </c>
      <c r="L1494" s="6">
        <f>IF(H1494="DISTRATO",0,I1494)</f>
        <v/>
      </c>
    </row>
    <row r="1495">
      <c r="A1495" s="38" t="inlineStr">
        <is>
          <t>Conta corrente FRUGIS5.XLS</t>
        </is>
      </c>
      <c r="B1495" s="39" t="n">
        <v>40939</v>
      </c>
      <c r="C1495" s="4" t="n">
        <v>40909</v>
      </c>
      <c r="D1495" s="5">
        <f>YEAR(C1495)</f>
        <v/>
      </c>
      <c r="E1495" s="5">
        <f>MONTH(C1495)</f>
        <v/>
      </c>
      <c r="F1495" s="38" t="inlineStr">
        <is>
          <t>NFV  :TENDA ATACADO LTDA</t>
        </is>
      </c>
      <c r="G1495" s="38" t="inlineStr">
        <is>
          <t>MARIO FRUGIS (01.04.01)</t>
        </is>
      </c>
      <c r="H1495" s="38" t="inlineStr">
        <is>
          <t>NFV</t>
        </is>
      </c>
      <c r="I1495" s="40" t="n">
        <v>191.61</v>
      </c>
      <c r="J1495" s="40" t="n">
        <v>0</v>
      </c>
      <c r="K1495" s="6">
        <f>I1495-J1495</f>
        <v/>
      </c>
      <c r="L1495" s="6">
        <f>IF(H1495="DISTRATO",0,I1495)</f>
        <v/>
      </c>
    </row>
    <row r="1496">
      <c r="A1496" s="38" t="inlineStr">
        <is>
          <t>Conta corrente FRUGIS5.XLS</t>
        </is>
      </c>
      <c r="B1496" s="39" t="n">
        <v>40939</v>
      </c>
      <c r="C1496" s="4" t="n">
        <v>40909</v>
      </c>
      <c r="D1496" s="5">
        <f>YEAR(C1496)</f>
        <v/>
      </c>
      <c r="E1496" s="5">
        <f>MONTH(C1496)</f>
        <v/>
      </c>
      <c r="F1496" s="38" t="inlineStr">
        <is>
          <t>NFV  :TENDA ATACADO LTDA</t>
        </is>
      </c>
      <c r="G1496" s="38" t="inlineStr">
        <is>
          <t>MARIO FRUGIS (01.04.01)</t>
        </is>
      </c>
      <c r="H1496" s="38" t="inlineStr">
        <is>
          <t>NFV</t>
        </is>
      </c>
      <c r="I1496" s="40" t="n">
        <v>111.09</v>
      </c>
      <c r="J1496" s="40" t="n">
        <v>0</v>
      </c>
      <c r="K1496" s="6">
        <f>I1496-J1496</f>
        <v/>
      </c>
      <c r="L1496" s="6">
        <f>IF(H1496="DISTRATO",0,I1496)</f>
        <v/>
      </c>
    </row>
    <row r="1497">
      <c r="A1497" s="38" t="inlineStr">
        <is>
          <t>Conta corrente FRUGIS5.XLS</t>
        </is>
      </c>
      <c r="B1497" s="39" t="n">
        <v>40939</v>
      </c>
      <c r="C1497" s="4" t="n">
        <v>40909</v>
      </c>
      <c r="D1497" s="5">
        <f>YEAR(C1497)</f>
        <v/>
      </c>
      <c r="E1497" s="5">
        <f>MONTH(C1497)</f>
        <v/>
      </c>
      <c r="F1497" s="38" t="inlineStr">
        <is>
          <t>NFV  :TENDA ATACADO LTDA</t>
        </is>
      </c>
      <c r="G1497" s="38" t="inlineStr">
        <is>
          <t>MARIO FRUGIS (01.04.01)</t>
        </is>
      </c>
      <c r="H1497" s="38" t="inlineStr">
        <is>
          <t>NFV</t>
        </is>
      </c>
      <c r="I1497" s="40" t="n">
        <v>111.09</v>
      </c>
      <c r="J1497" s="40" t="n">
        <v>0</v>
      </c>
      <c r="K1497" s="6">
        <f>I1497-J1497</f>
        <v/>
      </c>
      <c r="L1497" s="6">
        <f>IF(H1497="DISTRATO",0,I1497)</f>
        <v/>
      </c>
    </row>
    <row r="1498">
      <c r="A1498" s="38" t="inlineStr">
        <is>
          <t>Conta corrente FRUGIS5.XLS</t>
        </is>
      </c>
      <c r="B1498" s="39" t="n">
        <v>40939</v>
      </c>
      <c r="C1498" s="4" t="n">
        <v>40909</v>
      </c>
      <c r="D1498" s="5">
        <f>YEAR(C1498)</f>
        <v/>
      </c>
      <c r="E1498" s="5">
        <f>MONTH(C1498)</f>
        <v/>
      </c>
      <c r="F1498" s="38" t="inlineStr">
        <is>
          <t>NFV  :TENDA ATACADO LTDA</t>
        </is>
      </c>
      <c r="G1498" s="38" t="inlineStr">
        <is>
          <t>MARIO FRUGIS (01.04.01)</t>
        </is>
      </c>
      <c r="H1498" s="38" t="inlineStr">
        <is>
          <t>NFV</t>
        </is>
      </c>
      <c r="I1498" s="40" t="n">
        <v>111.09</v>
      </c>
      <c r="J1498" s="40" t="n">
        <v>0</v>
      </c>
      <c r="K1498" s="6">
        <f>I1498-J1498</f>
        <v/>
      </c>
      <c r="L1498" s="6">
        <f>IF(H1498="DISTRATO",0,I1498)</f>
        <v/>
      </c>
    </row>
    <row r="1499">
      <c r="A1499" s="38" t="inlineStr">
        <is>
          <t>Conta corrente FRUGIS5.XLS</t>
        </is>
      </c>
      <c r="B1499" s="39" t="n">
        <v>40939</v>
      </c>
      <c r="C1499" s="4" t="n">
        <v>40909</v>
      </c>
      <c r="D1499" s="5">
        <f>YEAR(C1499)</f>
        <v/>
      </c>
      <c r="E1499" s="5">
        <f>MONTH(C1499)</f>
        <v/>
      </c>
      <c r="F1499" s="38" t="inlineStr">
        <is>
          <t>NFV  :TENDA ATACADO LTDA</t>
        </is>
      </c>
      <c r="G1499" s="38" t="inlineStr">
        <is>
          <t>MARIO FRUGIS (01.04.01)</t>
        </is>
      </c>
      <c r="H1499" s="38" t="inlineStr">
        <is>
          <t>NFV</t>
        </is>
      </c>
      <c r="I1499" s="40" t="n">
        <v>111.09</v>
      </c>
      <c r="J1499" s="40" t="n">
        <v>0</v>
      </c>
      <c r="K1499" s="6">
        <f>I1499-J1499</f>
        <v/>
      </c>
      <c r="L1499" s="6">
        <f>IF(H1499="DISTRATO",0,I1499)</f>
        <v/>
      </c>
    </row>
    <row r="1500">
      <c r="A1500" s="38" t="inlineStr">
        <is>
          <t>Conta corrente FRUGIS5.XLS</t>
        </is>
      </c>
      <c r="B1500" s="39" t="n">
        <v>40939</v>
      </c>
      <c r="C1500" s="4" t="n">
        <v>40909</v>
      </c>
      <c r="D1500" s="5">
        <f>YEAR(C1500)</f>
        <v/>
      </c>
      <c r="E1500" s="5">
        <f>MONTH(C1500)</f>
        <v/>
      </c>
      <c r="F1500" s="38" t="inlineStr">
        <is>
          <t>NFV  :TENDA ATACADO LTDA</t>
        </is>
      </c>
      <c r="G1500" s="38" t="inlineStr">
        <is>
          <t>MARIO FRUGIS (01.04.01)</t>
        </is>
      </c>
      <c r="H1500" s="38" t="inlineStr">
        <is>
          <t>NFV</t>
        </is>
      </c>
      <c r="I1500" s="40" t="n">
        <v>111.09</v>
      </c>
      <c r="J1500" s="40" t="n">
        <v>0</v>
      </c>
      <c r="K1500" s="6">
        <f>I1500-J1500</f>
        <v/>
      </c>
      <c r="L1500" s="6">
        <f>IF(H1500="DISTRATO",0,I1500)</f>
        <v/>
      </c>
    </row>
    <row r="1501">
      <c r="A1501" s="38" t="inlineStr">
        <is>
          <t>Conta corrente FRUGIS5.XLS</t>
        </is>
      </c>
      <c r="B1501" s="39" t="n">
        <v>40939</v>
      </c>
      <c r="C1501" s="4" t="n">
        <v>40909</v>
      </c>
      <c r="D1501" s="5">
        <f>YEAR(C1501)</f>
        <v/>
      </c>
      <c r="E1501" s="5">
        <f>MONTH(C1501)</f>
        <v/>
      </c>
      <c r="F1501" s="38" t="inlineStr">
        <is>
          <t>NFV  :TENDA ATACADO LTDA</t>
        </is>
      </c>
      <c r="G1501" s="38" t="inlineStr">
        <is>
          <t>MARIO FRUGIS (01.04.01)</t>
        </is>
      </c>
      <c r="H1501" s="38" t="inlineStr">
        <is>
          <t>NFV</t>
        </is>
      </c>
      <c r="I1501" s="40" t="n">
        <v>111.09</v>
      </c>
      <c r="J1501" s="40" t="n">
        <v>0</v>
      </c>
      <c r="K1501" s="6">
        <f>I1501-J1501</f>
        <v/>
      </c>
      <c r="L1501" s="6">
        <f>IF(H1501="DISTRATO",0,I1501)</f>
        <v/>
      </c>
    </row>
    <row r="1502">
      <c r="A1502" s="38" t="inlineStr">
        <is>
          <t>Conta corrente FRUGIS5.XLS</t>
        </is>
      </c>
      <c r="B1502" s="39" t="n">
        <v>40939</v>
      </c>
      <c r="C1502" s="4" t="n">
        <v>40909</v>
      </c>
      <c r="D1502" s="5">
        <f>YEAR(C1502)</f>
        <v/>
      </c>
      <c r="E1502" s="5">
        <f>MONTH(C1502)</f>
        <v/>
      </c>
      <c r="F1502" s="38" t="inlineStr">
        <is>
          <t>NFV  :TENDA ATACADO LTDA</t>
        </is>
      </c>
      <c r="G1502" s="38" t="inlineStr">
        <is>
          <t>MARIO FRUGIS (01.04.01)</t>
        </is>
      </c>
      <c r="H1502" s="38" t="inlineStr">
        <is>
          <t>NFV</t>
        </is>
      </c>
      <c r="I1502" s="40" t="n">
        <v>15.74</v>
      </c>
      <c r="J1502" s="40" t="n">
        <v>0</v>
      </c>
      <c r="K1502" s="6">
        <f>I1502-J1502</f>
        <v/>
      </c>
      <c r="L1502" s="6">
        <f>IF(H1502="DISTRATO",0,I1502)</f>
        <v/>
      </c>
    </row>
    <row r="1503">
      <c r="A1503" s="38" t="inlineStr">
        <is>
          <t>Conta corrente FRUGIS5.XLS</t>
        </is>
      </c>
      <c r="B1503" s="39" t="n">
        <v>40939</v>
      </c>
      <c r="C1503" s="4" t="n">
        <v>40909</v>
      </c>
      <c r="D1503" s="5">
        <f>YEAR(C1503)</f>
        <v/>
      </c>
      <c r="E1503" s="5">
        <f>MONTH(C1503)</f>
        <v/>
      </c>
      <c r="F1503" s="38" t="inlineStr">
        <is>
          <t>NFV  :TENDA ATACADO LTDA</t>
        </is>
      </c>
      <c r="G1503" s="38" t="inlineStr">
        <is>
          <t>MARIO FRUGIS (01.04.01)</t>
        </is>
      </c>
      <c r="H1503" s="38" t="inlineStr">
        <is>
          <t>NFV</t>
        </is>
      </c>
      <c r="I1503" s="40" t="n">
        <v>238.01</v>
      </c>
      <c r="J1503" s="40" t="n">
        <v>0</v>
      </c>
      <c r="K1503" s="6">
        <f>I1503-J1503</f>
        <v/>
      </c>
      <c r="L1503" s="6">
        <f>IF(H1503="DISTRATO",0,I1503)</f>
        <v/>
      </c>
    </row>
    <row r="1504">
      <c r="A1504" s="38" t="inlineStr">
        <is>
          <t>Conta corrente FRUGIS5.XLS</t>
        </is>
      </c>
      <c r="B1504" s="39" t="n">
        <v>40939</v>
      </c>
      <c r="C1504" s="4" t="n">
        <v>40909</v>
      </c>
      <c r="D1504" s="5">
        <f>YEAR(C1504)</f>
        <v/>
      </c>
      <c r="E1504" s="5">
        <f>MONTH(C1504)</f>
        <v/>
      </c>
      <c r="F1504" s="38" t="inlineStr">
        <is>
          <t>NFV  :TENDA ATACADO LTDA</t>
        </is>
      </c>
      <c r="G1504" s="38" t="inlineStr">
        <is>
          <t>MARIO FRUGIS (01.04.01)</t>
        </is>
      </c>
      <c r="H1504" s="38" t="inlineStr">
        <is>
          <t>NFV</t>
        </is>
      </c>
      <c r="I1504" s="40" t="n">
        <v>33.65</v>
      </c>
      <c r="J1504" s="40" t="n">
        <v>0</v>
      </c>
      <c r="K1504" s="6">
        <f>I1504-J1504</f>
        <v/>
      </c>
      <c r="L1504" s="6">
        <f>IF(H1504="DISTRATO",0,I1504)</f>
        <v/>
      </c>
    </row>
    <row r="1505">
      <c r="A1505" s="38" t="inlineStr">
        <is>
          <t>Conta corrente FRUGIS5.XLS</t>
        </is>
      </c>
      <c r="B1505" s="39" t="n">
        <v>40939</v>
      </c>
      <c r="C1505" s="4" t="n">
        <v>40909</v>
      </c>
      <c r="D1505" s="5">
        <f>YEAR(C1505)</f>
        <v/>
      </c>
      <c r="E1505" s="5">
        <f>MONTH(C1505)</f>
        <v/>
      </c>
      <c r="F1505" s="38" t="inlineStr">
        <is>
          <t>NFV  :TENDA ATACADO LTDA</t>
        </is>
      </c>
      <c r="G1505" s="38" t="inlineStr">
        <is>
          <t>MARIO FRUGIS (01.04.01)</t>
        </is>
      </c>
      <c r="H1505" s="38" t="inlineStr">
        <is>
          <t>NFV</t>
        </is>
      </c>
      <c r="I1505" s="40" t="n">
        <v>49.39</v>
      </c>
      <c r="J1505" s="40" t="n">
        <v>0</v>
      </c>
      <c r="K1505" s="6">
        <f>I1505-J1505</f>
        <v/>
      </c>
      <c r="L1505" s="6">
        <f>IF(H1505="DISTRATO",0,I1505)</f>
        <v/>
      </c>
    </row>
    <row r="1506">
      <c r="A1506" s="38" t="inlineStr">
        <is>
          <t>Conta corrente FRUGIS5.XLS</t>
        </is>
      </c>
      <c r="B1506" s="39" t="n">
        <v>40939</v>
      </c>
      <c r="C1506" s="4" t="n">
        <v>40909</v>
      </c>
      <c r="D1506" s="5">
        <f>YEAR(C1506)</f>
        <v/>
      </c>
      <c r="E1506" s="5">
        <f>MONTH(C1506)</f>
        <v/>
      </c>
      <c r="F1506" s="38" t="inlineStr">
        <is>
          <t>NFV  :TENDA ATACADO LTDA</t>
        </is>
      </c>
      <c r="G1506" s="38" t="inlineStr">
        <is>
          <t>MARIO FRUGIS (01.04.01)</t>
        </is>
      </c>
      <c r="H1506" s="38" t="inlineStr">
        <is>
          <t>NFV</t>
        </is>
      </c>
      <c r="I1506" s="40" t="n">
        <v>31.21</v>
      </c>
      <c r="J1506" s="40" t="n">
        <v>0</v>
      </c>
      <c r="K1506" s="6">
        <f>I1506-J1506</f>
        <v/>
      </c>
      <c r="L1506" s="6">
        <f>IF(H1506="DISTRATO",0,I1506)</f>
        <v/>
      </c>
    </row>
    <row r="1507">
      <c r="A1507" s="38" t="inlineStr">
        <is>
          <t>Conta corrente FRUGIS5.XLS</t>
        </is>
      </c>
      <c r="B1507" s="39" t="n">
        <v>40939</v>
      </c>
      <c r="C1507" s="4" t="n">
        <v>40909</v>
      </c>
      <c r="D1507" s="5">
        <f>YEAR(C1507)</f>
        <v/>
      </c>
      <c r="E1507" s="5">
        <f>MONTH(C1507)</f>
        <v/>
      </c>
      <c r="F1507" s="38" t="inlineStr">
        <is>
          <t>NFV  :TENDA ATACADO LTDA</t>
        </is>
      </c>
      <c r="G1507" s="38" t="inlineStr">
        <is>
          <t>MARIO FRUGIS (01.04.01)</t>
        </is>
      </c>
      <c r="H1507" s="38" t="inlineStr">
        <is>
          <t>NFV</t>
        </is>
      </c>
      <c r="I1507" s="40" t="n">
        <v>197.42</v>
      </c>
      <c r="J1507" s="40" t="n">
        <v>0</v>
      </c>
      <c r="K1507" s="6">
        <f>I1507-J1507</f>
        <v/>
      </c>
      <c r="L1507" s="6">
        <f>IF(H1507="DISTRATO",0,I1507)</f>
        <v/>
      </c>
    </row>
    <row r="1508">
      <c r="A1508" s="38" t="inlineStr">
        <is>
          <t>Conta corrente FRUGIS5.XLS</t>
        </is>
      </c>
      <c r="B1508" s="39" t="n">
        <v>40939</v>
      </c>
      <c r="C1508" s="4" t="n">
        <v>40909</v>
      </c>
      <c r="D1508" s="5">
        <f>YEAR(C1508)</f>
        <v/>
      </c>
      <c r="E1508" s="5">
        <f>MONTH(C1508)</f>
        <v/>
      </c>
      <c r="F1508" s="38" t="inlineStr">
        <is>
          <t>NFV  :TENDA ATACADO LTDA</t>
        </is>
      </c>
      <c r="G1508" s="38" t="inlineStr">
        <is>
          <t>MARIO FRUGIS (01.04.01)</t>
        </is>
      </c>
      <c r="H1508" s="38" t="inlineStr">
        <is>
          <t>NFV</t>
        </is>
      </c>
      <c r="I1508" s="40" t="n">
        <v>150.53</v>
      </c>
      <c r="J1508" s="40" t="n">
        <v>0</v>
      </c>
      <c r="K1508" s="6">
        <f>I1508-J1508</f>
        <v/>
      </c>
      <c r="L1508" s="6">
        <f>IF(H1508="DISTRATO",0,I1508)</f>
        <v/>
      </c>
    </row>
    <row r="1509">
      <c r="A1509" s="38" t="inlineStr">
        <is>
          <t>Conta corrente FRUGIS5.XLS</t>
        </is>
      </c>
      <c r="B1509" s="39" t="n">
        <v>40939</v>
      </c>
      <c r="C1509" s="4" t="n">
        <v>40909</v>
      </c>
      <c r="D1509" s="5">
        <f>YEAR(C1509)</f>
        <v/>
      </c>
      <c r="E1509" s="5">
        <f>MONTH(C1509)</f>
        <v/>
      </c>
      <c r="F1509" s="38" t="inlineStr">
        <is>
          <t>NFV  :TENDA ATACADO LTDA</t>
        </is>
      </c>
      <c r="G1509" s="38" t="inlineStr">
        <is>
          <t>MARIO FRUGIS (01.04.01)</t>
        </is>
      </c>
      <c r="H1509" s="38" t="inlineStr">
        <is>
          <t>NFV</t>
        </is>
      </c>
      <c r="I1509" s="40" t="n">
        <v>111.09</v>
      </c>
      <c r="J1509" s="40" t="n">
        <v>0</v>
      </c>
      <c r="K1509" s="6">
        <f>I1509-J1509</f>
        <v/>
      </c>
      <c r="L1509" s="6">
        <f>IF(H1509="DISTRATO",0,I1509)</f>
        <v/>
      </c>
    </row>
    <row r="1510">
      <c r="A1510" s="38" t="inlineStr">
        <is>
          <t>Conta corrente FRUGIS5.XLS</t>
        </is>
      </c>
      <c r="B1510" s="39" t="n">
        <v>40939</v>
      </c>
      <c r="C1510" s="4" t="n">
        <v>40909</v>
      </c>
      <c r="D1510" s="5">
        <f>YEAR(C1510)</f>
        <v/>
      </c>
      <c r="E1510" s="5">
        <f>MONTH(C1510)</f>
        <v/>
      </c>
      <c r="F1510" s="38" t="inlineStr">
        <is>
          <t>NFV  :TENDA ATACADO LTDA</t>
        </is>
      </c>
      <c r="G1510" s="38" t="inlineStr">
        <is>
          <t>MARIO FRUGIS (01.04.01)</t>
        </is>
      </c>
      <c r="H1510" s="38" t="inlineStr">
        <is>
          <t>NFV</t>
        </is>
      </c>
      <c r="I1510" s="40" t="n">
        <v>111.09</v>
      </c>
      <c r="J1510" s="40" t="n">
        <v>0</v>
      </c>
      <c r="K1510" s="6">
        <f>I1510-J1510</f>
        <v/>
      </c>
      <c r="L1510" s="6">
        <f>IF(H1510="DISTRATO",0,I1510)</f>
        <v/>
      </c>
    </row>
    <row r="1511">
      <c r="A1511" s="38" t="inlineStr">
        <is>
          <t>Conta corrente FRUGIS5.XLS</t>
        </is>
      </c>
      <c r="B1511" s="39" t="n">
        <v>40939</v>
      </c>
      <c r="C1511" s="4" t="n">
        <v>40909</v>
      </c>
      <c r="D1511" s="5">
        <f>YEAR(C1511)</f>
        <v/>
      </c>
      <c r="E1511" s="5">
        <f>MONTH(C1511)</f>
        <v/>
      </c>
      <c r="F1511" s="38" t="inlineStr">
        <is>
          <t>NFV  :TENDA ATACADO LTDA</t>
        </is>
      </c>
      <c r="G1511" s="38" t="inlineStr">
        <is>
          <t>MARIO FRUGIS (01.04.01)</t>
        </is>
      </c>
      <c r="H1511" s="38" t="inlineStr">
        <is>
          <t>NFV</t>
        </is>
      </c>
      <c r="I1511" s="40" t="n">
        <v>204.82</v>
      </c>
      <c r="J1511" s="40" t="n">
        <v>0</v>
      </c>
      <c r="K1511" s="6">
        <f>I1511-J1511</f>
        <v/>
      </c>
      <c r="L1511" s="6">
        <f>IF(H1511="DISTRATO",0,I1511)</f>
        <v/>
      </c>
    </row>
    <row r="1512">
      <c r="A1512" s="38" t="inlineStr">
        <is>
          <t>Conta corrente FRUGIS5.XLS</t>
        </is>
      </c>
      <c r="B1512" s="39" t="n">
        <v>40939</v>
      </c>
      <c r="C1512" s="4" t="n">
        <v>40909</v>
      </c>
      <c r="D1512" s="5">
        <f>YEAR(C1512)</f>
        <v/>
      </c>
      <c r="E1512" s="5">
        <f>MONTH(C1512)</f>
        <v/>
      </c>
      <c r="F1512" s="38" t="inlineStr">
        <is>
          <t>NFV  :TENDA ATACADO LTDA</t>
        </is>
      </c>
      <c r="G1512" s="38" t="inlineStr">
        <is>
          <t>MARIO FRUGIS (01.04.01)</t>
        </is>
      </c>
      <c r="H1512" s="38" t="inlineStr">
        <is>
          <t>NFV</t>
        </is>
      </c>
      <c r="I1512" s="40" t="n">
        <v>46.68</v>
      </c>
      <c r="J1512" s="40" t="n">
        <v>0</v>
      </c>
      <c r="K1512" s="6">
        <f>I1512-J1512</f>
        <v/>
      </c>
      <c r="L1512" s="6">
        <f>IF(H1512="DISTRATO",0,I1512)</f>
        <v/>
      </c>
    </row>
    <row r="1513">
      <c r="A1513" s="38" t="inlineStr">
        <is>
          <t>Conta corrente FRUGIS5.XLS</t>
        </is>
      </c>
      <c r="B1513" s="39" t="n">
        <v>40939</v>
      </c>
      <c r="C1513" s="4" t="n">
        <v>40909</v>
      </c>
      <c r="D1513" s="5">
        <f>YEAR(C1513)</f>
        <v/>
      </c>
      <c r="E1513" s="5">
        <f>MONTH(C1513)</f>
        <v/>
      </c>
      <c r="F1513" s="38" t="inlineStr">
        <is>
          <t>NFV  :TENDA ATACADO LTDA</t>
        </is>
      </c>
      <c r="G1513" s="38" t="inlineStr">
        <is>
          <t>MARIO FRUGIS (01.04.01)</t>
        </is>
      </c>
      <c r="H1513" s="38" t="inlineStr">
        <is>
          <t>NFV</t>
        </is>
      </c>
      <c r="I1513" s="40" t="n">
        <v>108.31</v>
      </c>
      <c r="J1513" s="40" t="n">
        <v>0</v>
      </c>
      <c r="K1513" s="6">
        <f>I1513-J1513</f>
        <v/>
      </c>
      <c r="L1513" s="6">
        <f>IF(H1513="DISTRATO",0,I1513)</f>
        <v/>
      </c>
    </row>
    <row r="1514">
      <c r="A1514" s="38" t="inlineStr">
        <is>
          <t>Conta corrente FRUGIS5.XLS</t>
        </is>
      </c>
      <c r="B1514" s="39" t="n">
        <v>40939</v>
      </c>
      <c r="C1514" s="4" t="n">
        <v>40909</v>
      </c>
      <c r="D1514" s="5">
        <f>YEAR(C1514)</f>
        <v/>
      </c>
      <c r="E1514" s="5">
        <f>MONTH(C1514)</f>
        <v/>
      </c>
      <c r="F1514" s="38" t="inlineStr">
        <is>
          <t>NFV  :TENDA ATACADO LTDA</t>
        </is>
      </c>
      <c r="G1514" s="38" t="inlineStr">
        <is>
          <t>MARIO FRUGIS (01.04.01)</t>
        </is>
      </c>
      <c r="H1514" s="38" t="inlineStr">
        <is>
          <t>NFV</t>
        </is>
      </c>
      <c r="I1514" s="40" t="n">
        <v>143.19</v>
      </c>
      <c r="J1514" s="40" t="n">
        <v>0</v>
      </c>
      <c r="K1514" s="6">
        <f>I1514-J1514</f>
        <v/>
      </c>
      <c r="L1514" s="6">
        <f>IF(H1514="DISTRATO",0,I1514)</f>
        <v/>
      </c>
    </row>
    <row r="1515">
      <c r="A1515" s="38" t="inlineStr">
        <is>
          <t>Conta corrente FRUGIS5.XLS</t>
        </is>
      </c>
      <c r="B1515" s="39" t="n">
        <v>40939</v>
      </c>
      <c r="C1515" s="4" t="n">
        <v>40909</v>
      </c>
      <c r="D1515" s="5">
        <f>YEAR(C1515)</f>
        <v/>
      </c>
      <c r="E1515" s="5">
        <f>MONTH(C1515)</f>
        <v/>
      </c>
      <c r="F1515" s="38" t="inlineStr">
        <is>
          <t>NFV  :TENDA ATACADO LTDA</t>
        </is>
      </c>
      <c r="G1515" s="38" t="inlineStr">
        <is>
          <t>MARIO FRUGIS (01.04.01)</t>
        </is>
      </c>
      <c r="H1515" s="38" t="inlineStr">
        <is>
          <t>NFV</t>
        </is>
      </c>
      <c r="I1515" s="40" t="n">
        <v>46.83</v>
      </c>
      <c r="J1515" s="40" t="n">
        <v>0</v>
      </c>
      <c r="K1515" s="6">
        <f>I1515-J1515</f>
        <v/>
      </c>
      <c r="L1515" s="6">
        <f>IF(H1515="DISTRATO",0,I1515)</f>
        <v/>
      </c>
    </row>
    <row r="1516">
      <c r="A1516" s="38" t="inlineStr">
        <is>
          <t>Conta corrente FRUGIS5.XLS</t>
        </is>
      </c>
      <c r="B1516" s="39" t="n">
        <v>40939</v>
      </c>
      <c r="C1516" s="4" t="n">
        <v>40909</v>
      </c>
      <c r="D1516" s="5">
        <f>YEAR(C1516)</f>
        <v/>
      </c>
      <c r="E1516" s="5">
        <f>MONTH(C1516)</f>
        <v/>
      </c>
      <c r="F1516" s="38" t="inlineStr">
        <is>
          <t>NFV  :TENDA ATACADO LTDA</t>
        </is>
      </c>
      <c r="G1516" s="38" t="inlineStr">
        <is>
          <t>MARIO FRUGIS (01.04.01)</t>
        </is>
      </c>
      <c r="H1516" s="38" t="inlineStr">
        <is>
          <t>NFV</t>
        </is>
      </c>
      <c r="I1516" s="40" t="n">
        <v>39.08</v>
      </c>
      <c r="J1516" s="40" t="n">
        <v>0</v>
      </c>
      <c r="K1516" s="6">
        <f>I1516-J1516</f>
        <v/>
      </c>
      <c r="L1516" s="6">
        <f>IF(H1516="DISTRATO",0,I1516)</f>
        <v/>
      </c>
    </row>
    <row r="1517">
      <c r="A1517" s="38" t="inlineStr">
        <is>
          <t>Conta corrente FRUGIS5.XLS</t>
        </is>
      </c>
      <c r="B1517" s="39" t="n">
        <v>40939</v>
      </c>
      <c r="C1517" s="4" t="n">
        <v>40909</v>
      </c>
      <c r="D1517" s="5">
        <f>YEAR(C1517)</f>
        <v/>
      </c>
      <c r="E1517" s="5">
        <f>MONTH(C1517)</f>
        <v/>
      </c>
      <c r="F1517" s="38" t="inlineStr">
        <is>
          <t>NFV  :TENDA ATACADO LTDA</t>
        </is>
      </c>
      <c r="G1517" s="38" t="inlineStr">
        <is>
          <t>MARIO FRUGIS (01.04.01)</t>
        </is>
      </c>
      <c r="H1517" s="38" t="inlineStr">
        <is>
          <t>NFV</t>
        </is>
      </c>
      <c r="I1517" s="40" t="n">
        <v>36.36</v>
      </c>
      <c r="J1517" s="40" t="n">
        <v>0</v>
      </c>
      <c r="K1517" s="6">
        <f>I1517-J1517</f>
        <v/>
      </c>
      <c r="L1517" s="6">
        <f>IF(H1517="DISTRATO",0,I1517)</f>
        <v/>
      </c>
    </row>
    <row r="1518">
      <c r="A1518" s="38" t="inlineStr">
        <is>
          <t>Conta corrente FRUGIS5.XLS</t>
        </is>
      </c>
      <c r="B1518" s="39" t="n">
        <v>40939</v>
      </c>
      <c r="C1518" s="4" t="n">
        <v>40909</v>
      </c>
      <c r="D1518" s="5">
        <f>YEAR(C1518)</f>
        <v/>
      </c>
      <c r="E1518" s="5">
        <f>MONTH(C1518)</f>
        <v/>
      </c>
      <c r="F1518" s="38" t="inlineStr">
        <is>
          <t>NFV  :TENDA ATACADO LTDA</t>
        </is>
      </c>
      <c r="G1518" s="38" t="inlineStr">
        <is>
          <t>MARIO FRUGIS (01.04.01)</t>
        </is>
      </c>
      <c r="H1518" s="38" t="inlineStr">
        <is>
          <t>NFV</t>
        </is>
      </c>
      <c r="I1518" s="40" t="n">
        <v>31.21</v>
      </c>
      <c r="J1518" s="40" t="n">
        <v>0</v>
      </c>
      <c r="K1518" s="6">
        <f>I1518-J1518</f>
        <v/>
      </c>
      <c r="L1518" s="6">
        <f>IF(H1518="DISTRATO",0,I1518)</f>
        <v/>
      </c>
    </row>
    <row r="1519">
      <c r="A1519" s="38" t="inlineStr">
        <is>
          <t>Conta corrente FRUGIS5.XLS</t>
        </is>
      </c>
      <c r="B1519" s="39" t="n">
        <v>40939</v>
      </c>
      <c r="C1519" s="4" t="n">
        <v>40909</v>
      </c>
      <c r="D1519" s="5">
        <f>YEAR(C1519)</f>
        <v/>
      </c>
      <c r="E1519" s="5">
        <f>MONTH(C1519)</f>
        <v/>
      </c>
      <c r="F1519" s="38" t="inlineStr">
        <is>
          <t>NFV  :TENDA ATACADO LTDA</t>
        </is>
      </c>
      <c r="G1519" s="38" t="inlineStr">
        <is>
          <t>MARIO FRUGIS (01.04.01)</t>
        </is>
      </c>
      <c r="H1519" s="38" t="inlineStr">
        <is>
          <t>NFV</t>
        </is>
      </c>
      <c r="I1519" s="40" t="n">
        <v>111.09</v>
      </c>
      <c r="J1519" s="40" t="n">
        <v>0</v>
      </c>
      <c r="K1519" s="6">
        <f>I1519-J1519</f>
        <v/>
      </c>
      <c r="L1519" s="6">
        <f>IF(H1519="DISTRATO",0,I1519)</f>
        <v/>
      </c>
    </row>
    <row r="1520">
      <c r="A1520" s="38" t="inlineStr">
        <is>
          <t>Conta corrente FRUGIS5.XLS</t>
        </is>
      </c>
      <c r="B1520" s="39" t="n">
        <v>40939</v>
      </c>
      <c r="C1520" s="4" t="n">
        <v>40909</v>
      </c>
      <c r="D1520" s="5">
        <f>YEAR(C1520)</f>
        <v/>
      </c>
      <c r="E1520" s="5">
        <f>MONTH(C1520)</f>
        <v/>
      </c>
      <c r="F1520" s="38" t="inlineStr">
        <is>
          <t>NFV  :TENDA ATACADO LTDA</t>
        </is>
      </c>
      <c r="G1520" s="38" t="inlineStr">
        <is>
          <t>MARIO FRUGIS (01.04.01)</t>
        </is>
      </c>
      <c r="H1520" s="38" t="inlineStr">
        <is>
          <t>NFV</t>
        </is>
      </c>
      <c r="I1520" s="40" t="n">
        <v>111.09</v>
      </c>
      <c r="J1520" s="40" t="n">
        <v>0</v>
      </c>
      <c r="K1520" s="6">
        <f>I1520-J1520</f>
        <v/>
      </c>
      <c r="L1520" s="6">
        <f>IF(H1520="DISTRATO",0,I1520)</f>
        <v/>
      </c>
    </row>
    <row r="1521">
      <c r="A1521" s="38" t="inlineStr">
        <is>
          <t>Conta corrente FRUGIS5.XLS</t>
        </is>
      </c>
      <c r="B1521" s="39" t="n">
        <v>40939</v>
      </c>
      <c r="C1521" s="4" t="n">
        <v>40909</v>
      </c>
      <c r="D1521" s="5">
        <f>YEAR(C1521)</f>
        <v/>
      </c>
      <c r="E1521" s="5">
        <f>MONTH(C1521)</f>
        <v/>
      </c>
      <c r="F1521" s="38" t="inlineStr">
        <is>
          <t>NFV  :TENDA ATACADO LTDA</t>
        </is>
      </c>
      <c r="G1521" s="38" t="inlineStr">
        <is>
          <t>MARIO FRUGIS (01.04.01)</t>
        </is>
      </c>
      <c r="H1521" s="38" t="inlineStr">
        <is>
          <t>NFV</t>
        </is>
      </c>
      <c r="I1521" s="40" t="n">
        <v>111.09</v>
      </c>
      <c r="J1521" s="40" t="n">
        <v>0</v>
      </c>
      <c r="K1521" s="6">
        <f>I1521-J1521</f>
        <v/>
      </c>
      <c r="L1521" s="6">
        <f>IF(H1521="DISTRATO",0,I1521)</f>
        <v/>
      </c>
    </row>
    <row r="1522">
      <c r="A1522" s="38" t="inlineStr">
        <is>
          <t>Conta corrente FRUGIS5.XLS</t>
        </is>
      </c>
      <c r="B1522" s="39" t="n">
        <v>40939</v>
      </c>
      <c r="C1522" s="4" t="n">
        <v>40909</v>
      </c>
      <c r="D1522" s="5">
        <f>YEAR(C1522)</f>
        <v/>
      </c>
      <c r="E1522" s="5">
        <f>MONTH(C1522)</f>
        <v/>
      </c>
      <c r="F1522" s="38" t="inlineStr">
        <is>
          <t>NFV  :TENDA ATACADO LTDA</t>
        </is>
      </c>
      <c r="G1522" s="38" t="inlineStr">
        <is>
          <t>MARIO FRUGIS (01.04.01)</t>
        </is>
      </c>
      <c r="H1522" s="38" t="inlineStr">
        <is>
          <t>NFV</t>
        </is>
      </c>
      <c r="I1522" s="40" t="n">
        <v>172.92</v>
      </c>
      <c r="J1522" s="40" t="n">
        <v>0</v>
      </c>
      <c r="K1522" s="6">
        <f>I1522-J1522</f>
        <v/>
      </c>
      <c r="L1522" s="6">
        <f>IF(H1522="DISTRATO",0,I1522)</f>
        <v/>
      </c>
    </row>
    <row r="1523">
      <c r="A1523" s="38" t="inlineStr">
        <is>
          <t>Conta corrente FRUGIS5.XLS</t>
        </is>
      </c>
      <c r="B1523" s="39" t="n">
        <v>40939</v>
      </c>
      <c r="C1523" s="4" t="n">
        <v>40909</v>
      </c>
      <c r="D1523" s="5">
        <f>YEAR(C1523)</f>
        <v/>
      </c>
      <c r="E1523" s="5">
        <f>MONTH(C1523)</f>
        <v/>
      </c>
      <c r="F1523" s="38" t="inlineStr">
        <is>
          <t>NFV  :TENDA ATACADO LTDA</t>
        </is>
      </c>
      <c r="G1523" s="38" t="inlineStr">
        <is>
          <t>MARIO FRUGIS (01.04.01)</t>
        </is>
      </c>
      <c r="H1523" s="38" t="inlineStr">
        <is>
          <t>NFV</t>
        </is>
      </c>
      <c r="I1523" s="40" t="n">
        <v>7.87</v>
      </c>
      <c r="J1523" s="40" t="n">
        <v>0</v>
      </c>
      <c r="K1523" s="6">
        <f>I1523-J1523</f>
        <v/>
      </c>
      <c r="L1523" s="6">
        <f>IF(H1523="DISTRATO",0,I1523)</f>
        <v/>
      </c>
    </row>
    <row r="1524">
      <c r="A1524" s="38" t="inlineStr">
        <is>
          <t>Conta corrente FRUGIS5.XLS</t>
        </is>
      </c>
      <c r="B1524" s="39" t="n">
        <v>40939</v>
      </c>
      <c r="C1524" s="4" t="n">
        <v>40909</v>
      </c>
      <c r="D1524" s="5">
        <f>YEAR(C1524)</f>
        <v/>
      </c>
      <c r="E1524" s="5">
        <f>MONTH(C1524)</f>
        <v/>
      </c>
      <c r="F1524" s="38" t="inlineStr">
        <is>
          <t>NFV  :TENDA ATACADO LTDA</t>
        </is>
      </c>
      <c r="G1524" s="38" t="inlineStr">
        <is>
          <t>MARIO FRUGIS (01.04.01)</t>
        </is>
      </c>
      <c r="H1524" s="38" t="inlineStr">
        <is>
          <t>NFV</t>
        </is>
      </c>
      <c r="I1524" s="40" t="n">
        <v>54.55</v>
      </c>
      <c r="J1524" s="40" t="n">
        <v>0</v>
      </c>
      <c r="K1524" s="6">
        <f>I1524-J1524</f>
        <v/>
      </c>
      <c r="L1524" s="6">
        <f>IF(H1524="DISTRATO",0,I1524)</f>
        <v/>
      </c>
    </row>
    <row r="1525">
      <c r="A1525" s="38" t="inlineStr">
        <is>
          <t>Conta corrente FRUGIS5.XLS</t>
        </is>
      </c>
      <c r="B1525" s="39" t="n">
        <v>40939</v>
      </c>
      <c r="C1525" s="4" t="n">
        <v>40909</v>
      </c>
      <c r="D1525" s="5">
        <f>YEAR(C1525)</f>
        <v/>
      </c>
      <c r="E1525" s="5">
        <f>MONTH(C1525)</f>
        <v/>
      </c>
      <c r="F1525" s="38" t="inlineStr">
        <is>
          <t>NFV  :TENDA ATACADO LTDA</t>
        </is>
      </c>
      <c r="G1525" s="38" t="inlineStr">
        <is>
          <t>MARIO FRUGIS (01.04.01)</t>
        </is>
      </c>
      <c r="H1525" s="38" t="inlineStr">
        <is>
          <t>NFV</t>
        </is>
      </c>
      <c r="I1525" s="40" t="n">
        <v>181.34</v>
      </c>
      <c r="J1525" s="40" t="n">
        <v>0</v>
      </c>
      <c r="K1525" s="6">
        <f>I1525-J1525</f>
        <v/>
      </c>
      <c r="L1525" s="6">
        <f>IF(H1525="DISTRATO",0,I1525)</f>
        <v/>
      </c>
    </row>
    <row r="1526">
      <c r="A1526" s="38" t="inlineStr">
        <is>
          <t>Conta corrente FRUGIS5.XLS</t>
        </is>
      </c>
      <c r="B1526" s="39" t="n">
        <v>40939</v>
      </c>
      <c r="C1526" s="4" t="n">
        <v>40909</v>
      </c>
      <c r="D1526" s="5">
        <f>YEAR(C1526)</f>
        <v/>
      </c>
      <c r="E1526" s="5">
        <f>MONTH(C1526)</f>
        <v/>
      </c>
      <c r="F1526" s="38" t="inlineStr">
        <is>
          <t>NFV  :TENDA ATACADO LTDA</t>
        </is>
      </c>
      <c r="G1526" s="38" t="inlineStr">
        <is>
          <t>MARIO FRUGIS (01.04.01)</t>
        </is>
      </c>
      <c r="H1526" s="38" t="inlineStr">
        <is>
          <t>NFV</t>
        </is>
      </c>
      <c r="I1526" s="40" t="n">
        <v>146</v>
      </c>
      <c r="J1526" s="40" t="n">
        <v>0</v>
      </c>
      <c r="K1526" s="6">
        <f>I1526-J1526</f>
        <v/>
      </c>
      <c r="L1526" s="6">
        <f>IF(H1526="DISTRATO",0,I1526)</f>
        <v/>
      </c>
    </row>
    <row r="1527">
      <c r="A1527" s="38" t="inlineStr">
        <is>
          <t>Conta corrente FRUGIS5.XLS</t>
        </is>
      </c>
      <c r="B1527" s="39" t="n">
        <v>40939</v>
      </c>
      <c r="C1527" s="4" t="n">
        <v>40909</v>
      </c>
      <c r="D1527" s="5">
        <f>YEAR(C1527)</f>
        <v/>
      </c>
      <c r="E1527" s="5">
        <f>MONTH(C1527)</f>
        <v/>
      </c>
      <c r="F1527" s="38" t="inlineStr">
        <is>
          <t>NFV  :TENDA ATACADO LTDA</t>
        </is>
      </c>
      <c r="G1527" s="38" t="inlineStr">
        <is>
          <t>MARIO FRUGIS (01.04.01)</t>
        </is>
      </c>
      <c r="H1527" s="38" t="inlineStr">
        <is>
          <t>NFV</t>
        </is>
      </c>
      <c r="I1527" s="40" t="n">
        <v>226.73</v>
      </c>
      <c r="J1527" s="40" t="n">
        <v>0</v>
      </c>
      <c r="K1527" s="6">
        <f>I1527-J1527</f>
        <v/>
      </c>
      <c r="L1527" s="6">
        <f>IF(H1527="DISTRATO",0,I1527)</f>
        <v/>
      </c>
    </row>
    <row r="1528">
      <c r="A1528" s="38" t="inlineStr">
        <is>
          <t>Conta corrente FRUGIS5.XLS</t>
        </is>
      </c>
      <c r="B1528" s="39" t="n">
        <v>40939</v>
      </c>
      <c r="C1528" s="4" t="n">
        <v>40909</v>
      </c>
      <c r="D1528" s="5">
        <f>YEAR(C1528)</f>
        <v/>
      </c>
      <c r="E1528" s="5">
        <f>MONTH(C1528)</f>
        <v/>
      </c>
      <c r="F1528" s="38" t="inlineStr">
        <is>
          <t>NFV  :TENDA ATACADO LTDA</t>
        </is>
      </c>
      <c r="G1528" s="38" t="inlineStr">
        <is>
          <t>MARIO FRUGIS (01.04.01)</t>
        </is>
      </c>
      <c r="H1528" s="38" t="inlineStr">
        <is>
          <t>NFV</t>
        </is>
      </c>
      <c r="I1528" s="40" t="n">
        <v>46.83</v>
      </c>
      <c r="J1528" s="40" t="n">
        <v>0</v>
      </c>
      <c r="K1528" s="6">
        <f>I1528-J1528</f>
        <v/>
      </c>
      <c r="L1528" s="6">
        <f>IF(H1528="DISTRATO",0,I1528)</f>
        <v/>
      </c>
    </row>
    <row r="1529">
      <c r="A1529" s="38" t="inlineStr">
        <is>
          <t>Conta corrente FRUGIS5.XLS</t>
        </is>
      </c>
      <c r="B1529" s="39" t="n">
        <v>40939</v>
      </c>
      <c r="C1529" s="4" t="n">
        <v>40909</v>
      </c>
      <c r="D1529" s="5">
        <f>YEAR(C1529)</f>
        <v/>
      </c>
      <c r="E1529" s="5">
        <f>MONTH(C1529)</f>
        <v/>
      </c>
      <c r="F1529" s="38" t="inlineStr">
        <is>
          <t>NFV  :TENDA ATACADO LTDA</t>
        </is>
      </c>
      <c r="G1529" s="38" t="inlineStr">
        <is>
          <t>MARIO FRUGIS (01.04.01)</t>
        </is>
      </c>
      <c r="H1529" s="38" t="inlineStr">
        <is>
          <t>NFV</t>
        </is>
      </c>
      <c r="I1529" s="40" t="n">
        <v>111.09</v>
      </c>
      <c r="J1529" s="40" t="n">
        <v>0</v>
      </c>
      <c r="K1529" s="6">
        <f>I1529-J1529</f>
        <v/>
      </c>
      <c r="L1529" s="6">
        <f>IF(H1529="DISTRATO",0,I1529)</f>
        <v/>
      </c>
    </row>
    <row r="1530">
      <c r="A1530" s="38" t="inlineStr">
        <is>
          <t>Conta corrente FRUGIS5.XLS</t>
        </is>
      </c>
      <c r="B1530" s="39" t="n">
        <v>40939</v>
      </c>
      <c r="C1530" s="4" t="n">
        <v>40909</v>
      </c>
      <c r="D1530" s="5">
        <f>YEAR(C1530)</f>
        <v/>
      </c>
      <c r="E1530" s="5">
        <f>MONTH(C1530)</f>
        <v/>
      </c>
      <c r="F1530" s="38" t="inlineStr">
        <is>
          <t>NFV  :TENDA ATACADO LTDA</t>
        </is>
      </c>
      <c r="G1530" s="38" t="inlineStr">
        <is>
          <t>MARIO FRUGIS (01.04.01)</t>
        </is>
      </c>
      <c r="H1530" s="38" t="inlineStr">
        <is>
          <t>NFV</t>
        </is>
      </c>
      <c r="I1530" s="40" t="n">
        <v>111.09</v>
      </c>
      <c r="J1530" s="40" t="n">
        <v>0</v>
      </c>
      <c r="K1530" s="6">
        <f>I1530-J1530</f>
        <v/>
      </c>
      <c r="L1530" s="6">
        <f>IF(H1530="DISTRATO",0,I1530)</f>
        <v/>
      </c>
    </row>
    <row r="1531">
      <c r="A1531" s="38" t="inlineStr">
        <is>
          <t>Conta corrente FRUGIS5.XLS</t>
        </is>
      </c>
      <c r="B1531" s="39" t="n">
        <v>40939</v>
      </c>
      <c r="C1531" s="4" t="n">
        <v>40909</v>
      </c>
      <c r="D1531" s="5">
        <f>YEAR(C1531)</f>
        <v/>
      </c>
      <c r="E1531" s="5">
        <f>MONTH(C1531)</f>
        <v/>
      </c>
      <c r="F1531" s="38" t="inlineStr">
        <is>
          <t>NFV  :TENDA ATACADO LTDA</t>
        </is>
      </c>
      <c r="G1531" s="38" t="inlineStr">
        <is>
          <t>MARIO FRUGIS (01.04.01)</t>
        </is>
      </c>
      <c r="H1531" s="38" t="inlineStr">
        <is>
          <t>NFV</t>
        </is>
      </c>
      <c r="I1531" s="40" t="n">
        <v>111.09</v>
      </c>
      <c r="J1531" s="40" t="n">
        <v>0</v>
      </c>
      <c r="K1531" s="6">
        <f>I1531-J1531</f>
        <v/>
      </c>
      <c r="L1531" s="6">
        <f>IF(H1531="DISTRATO",0,I1531)</f>
        <v/>
      </c>
    </row>
    <row r="1532">
      <c r="A1532" s="38" t="inlineStr">
        <is>
          <t>Conta corrente FRUGIS5.XLS</t>
        </is>
      </c>
      <c r="B1532" s="39" t="n">
        <v>40939</v>
      </c>
      <c r="C1532" s="4" t="n">
        <v>40909</v>
      </c>
      <c r="D1532" s="5">
        <f>YEAR(C1532)</f>
        <v/>
      </c>
      <c r="E1532" s="5">
        <f>MONTH(C1532)</f>
        <v/>
      </c>
      <c r="F1532" s="38" t="inlineStr">
        <is>
          <t>NFV  :TENDA ATACADO LTDA</t>
        </is>
      </c>
      <c r="G1532" s="38" t="inlineStr">
        <is>
          <t>MARIO FRUGIS (01.04.01)</t>
        </is>
      </c>
      <c r="H1532" s="38" t="inlineStr">
        <is>
          <t>NFV</t>
        </is>
      </c>
      <c r="I1532" s="40" t="n">
        <v>111.09</v>
      </c>
      <c r="J1532" s="40" t="n">
        <v>0</v>
      </c>
      <c r="K1532" s="6">
        <f>I1532-J1532</f>
        <v/>
      </c>
      <c r="L1532" s="6">
        <f>IF(H1532="DISTRATO",0,I1532)</f>
        <v/>
      </c>
    </row>
    <row r="1533">
      <c r="A1533" s="38" t="inlineStr">
        <is>
          <t>Conta corrente FRUGIS5.XLS</t>
        </is>
      </c>
      <c r="B1533" s="39" t="n">
        <v>40949</v>
      </c>
      <c r="C1533" s="4" t="n">
        <v>40940</v>
      </c>
      <c r="D1533" s="5">
        <f>YEAR(C1533)</f>
        <v/>
      </c>
      <c r="E1533" s="5">
        <f>MONTH(C1533)</f>
        <v/>
      </c>
      <c r="F1533" s="38" t="inlineStr">
        <is>
          <t>NFV  :TENDA ATACADO LTDA</t>
        </is>
      </c>
      <c r="G1533" s="38" t="inlineStr">
        <is>
          <t>MARIO FRUGIS (01.04.01)</t>
        </is>
      </c>
      <c r="H1533" s="38" t="inlineStr">
        <is>
          <t>NFV</t>
        </is>
      </c>
      <c r="I1533" s="40" t="n">
        <v>160.74</v>
      </c>
      <c r="J1533" s="40" t="n">
        <v>0</v>
      </c>
      <c r="K1533" s="6">
        <f>I1533-J1533</f>
        <v/>
      </c>
      <c r="L1533" s="6">
        <f>IF(H1533="DISTRATO",0,I1533)</f>
        <v/>
      </c>
    </row>
    <row r="1534">
      <c r="A1534" s="38" t="inlineStr">
        <is>
          <t>Conta corrente FRUGIS5.XLS</t>
        </is>
      </c>
      <c r="B1534" s="39" t="n">
        <v>40949</v>
      </c>
      <c r="C1534" s="4" t="n">
        <v>40940</v>
      </c>
      <c r="D1534" s="5">
        <f>YEAR(C1534)</f>
        <v/>
      </c>
      <c r="E1534" s="5">
        <f>MONTH(C1534)</f>
        <v/>
      </c>
      <c r="F1534" s="38" t="inlineStr">
        <is>
          <t>NFV  :TENDA ATACADO LTDA</t>
        </is>
      </c>
      <c r="G1534" s="38" t="inlineStr">
        <is>
          <t>MARIO FRUGIS (01.04.01)</t>
        </is>
      </c>
      <c r="H1534" s="38" t="inlineStr">
        <is>
          <t>NFV</t>
        </is>
      </c>
      <c r="I1534" s="40" t="n">
        <v>104.19</v>
      </c>
      <c r="J1534" s="40" t="n">
        <v>0</v>
      </c>
      <c r="K1534" s="6">
        <f>I1534-J1534</f>
        <v/>
      </c>
      <c r="L1534" s="6">
        <f>IF(H1534="DISTRATO",0,I1534)</f>
        <v/>
      </c>
    </row>
    <row r="1535">
      <c r="A1535" s="38" t="inlineStr">
        <is>
          <t>Conta corrente FRUGIS5.XLS</t>
        </is>
      </c>
      <c r="B1535" s="39" t="n">
        <v>40949</v>
      </c>
      <c r="C1535" s="4" t="n">
        <v>40940</v>
      </c>
      <c r="D1535" s="5">
        <f>YEAR(C1535)</f>
        <v/>
      </c>
      <c r="E1535" s="5">
        <f>MONTH(C1535)</f>
        <v/>
      </c>
      <c r="F1535" s="38" t="inlineStr">
        <is>
          <t>NFV  :TENDA ATACADO LTDA</t>
        </is>
      </c>
      <c r="G1535" s="38" t="inlineStr">
        <is>
          <t>MARIO FRUGIS (01.04.01)</t>
        </is>
      </c>
      <c r="H1535" s="38" t="inlineStr">
        <is>
          <t>NFV</t>
        </is>
      </c>
      <c r="I1535" s="40" t="n">
        <v>55.87</v>
      </c>
      <c r="J1535" s="40" t="n">
        <v>0</v>
      </c>
      <c r="K1535" s="6">
        <f>I1535-J1535</f>
        <v/>
      </c>
      <c r="L1535" s="6">
        <f>IF(H1535="DISTRATO",0,I1535)</f>
        <v/>
      </c>
    </row>
    <row r="1536">
      <c r="A1536" s="38" t="inlineStr">
        <is>
          <t>Conta corrente FRUGIS5.XLS</t>
        </is>
      </c>
      <c r="B1536" s="39" t="n">
        <v>40955</v>
      </c>
      <c r="C1536" s="4" t="n">
        <v>40940</v>
      </c>
      <c r="D1536" s="5">
        <f>YEAR(C1536)</f>
        <v/>
      </c>
      <c r="E1536" s="5">
        <f>MONTH(C1536)</f>
        <v/>
      </c>
      <c r="F1536" s="38" t="inlineStr">
        <is>
          <t>NFV  :TENDA ATACADO LTDA</t>
        </is>
      </c>
      <c r="G1536" s="38" t="inlineStr">
        <is>
          <t>MARIO FRUGIS (01.04.01)</t>
        </is>
      </c>
      <c r="H1536" s="38" t="inlineStr">
        <is>
          <t>NFV</t>
        </is>
      </c>
      <c r="I1536" s="40" t="n">
        <v>52.01</v>
      </c>
      <c r="J1536" s="40" t="n">
        <v>0</v>
      </c>
      <c r="K1536" s="6">
        <f>I1536-J1536</f>
        <v/>
      </c>
      <c r="L1536" s="6">
        <f>IF(H1536="DISTRATO",0,I1536)</f>
        <v/>
      </c>
    </row>
    <row r="1537">
      <c r="A1537" s="38" t="inlineStr">
        <is>
          <t>Conta corrente FRUGIS5.XLS</t>
        </is>
      </c>
      <c r="B1537" s="39" t="n">
        <v>40955</v>
      </c>
      <c r="C1537" s="4" t="n">
        <v>40940</v>
      </c>
      <c r="D1537" s="5">
        <f>YEAR(C1537)</f>
        <v/>
      </c>
      <c r="E1537" s="5">
        <f>MONTH(C1537)</f>
        <v/>
      </c>
      <c r="F1537" s="38" t="inlineStr">
        <is>
          <t>NFV  :TENDA ATACADO LTDA</t>
        </is>
      </c>
      <c r="G1537" s="38" t="inlineStr">
        <is>
          <t>MARIO FRUGIS (01.04.01)</t>
        </is>
      </c>
      <c r="H1537" s="38" t="inlineStr">
        <is>
          <t>NFV</t>
        </is>
      </c>
      <c r="I1537" s="40" t="n">
        <v>30.73</v>
      </c>
      <c r="J1537" s="40" t="n">
        <v>0</v>
      </c>
      <c r="K1537" s="6">
        <f>I1537-J1537</f>
        <v/>
      </c>
      <c r="L1537" s="6">
        <f>IF(H1537="DISTRATO",0,I1537)</f>
        <v/>
      </c>
    </row>
    <row r="1538">
      <c r="A1538" s="38" t="inlineStr">
        <is>
          <t>Conta corrente FRUGIS5.XLS</t>
        </is>
      </c>
      <c r="B1538" s="39" t="n">
        <v>40955</v>
      </c>
      <c r="C1538" s="4" t="n">
        <v>40940</v>
      </c>
      <c r="D1538" s="5">
        <f>YEAR(C1538)</f>
        <v/>
      </c>
      <c r="E1538" s="5">
        <f>MONTH(C1538)</f>
        <v/>
      </c>
      <c r="F1538" s="38" t="inlineStr">
        <is>
          <t>NFV  :TENDA ATACADO LTDA</t>
        </is>
      </c>
      <c r="G1538" s="38" t="inlineStr">
        <is>
          <t>MARIO FRUGIS (01.04.01)</t>
        </is>
      </c>
      <c r="H1538" s="38" t="inlineStr">
        <is>
          <t>NFV</t>
        </is>
      </c>
      <c r="I1538" s="40" t="n">
        <v>40.49</v>
      </c>
      <c r="J1538" s="40" t="n">
        <v>0</v>
      </c>
      <c r="K1538" s="6">
        <f>I1538-J1538</f>
        <v/>
      </c>
      <c r="L1538" s="6">
        <f>IF(H1538="DISTRATO",0,I1538)</f>
        <v/>
      </c>
    </row>
    <row r="1539">
      <c r="A1539" s="38" t="inlineStr">
        <is>
          <t>Conta corrente FRUGIS5.XLS</t>
        </is>
      </c>
      <c r="B1539" s="39" t="n">
        <v>40955</v>
      </c>
      <c r="C1539" s="4" t="n">
        <v>40940</v>
      </c>
      <c r="D1539" s="5">
        <f>YEAR(C1539)</f>
        <v/>
      </c>
      <c r="E1539" s="5">
        <f>MONTH(C1539)</f>
        <v/>
      </c>
      <c r="F1539" s="38" t="inlineStr">
        <is>
          <t>NFV  :TENDA ATACADO LTDA</t>
        </is>
      </c>
      <c r="G1539" s="38" t="inlineStr">
        <is>
          <t>MARIO FRUGIS (01.04.01)</t>
        </is>
      </c>
      <c r="H1539" s="38" t="inlineStr">
        <is>
          <t>NFV</t>
        </is>
      </c>
      <c r="I1539" s="40" t="n">
        <v>10.04</v>
      </c>
      <c r="J1539" s="40" t="n">
        <v>0</v>
      </c>
      <c r="K1539" s="6">
        <f>I1539-J1539</f>
        <v/>
      </c>
      <c r="L1539" s="6">
        <f>IF(H1539="DISTRATO",0,I1539)</f>
        <v/>
      </c>
    </row>
    <row r="1540">
      <c r="A1540" s="38" t="inlineStr">
        <is>
          <t>Conta corrente FRUGIS5.XLS</t>
        </is>
      </c>
      <c r="B1540" s="39" t="n">
        <v>40955</v>
      </c>
      <c r="C1540" s="4" t="n">
        <v>40940</v>
      </c>
      <c r="D1540" s="5">
        <f>YEAR(C1540)</f>
        <v/>
      </c>
      <c r="E1540" s="5">
        <f>MONTH(C1540)</f>
        <v/>
      </c>
      <c r="F1540" s="38" t="inlineStr">
        <is>
          <t>NFV  :TENDA ATACADO LTDA</t>
        </is>
      </c>
      <c r="G1540" s="38" t="inlineStr">
        <is>
          <t>MARIO FRUGIS (01.04.01)</t>
        </is>
      </c>
      <c r="H1540" s="38" t="inlineStr">
        <is>
          <t>NFV</t>
        </is>
      </c>
      <c r="I1540" s="40" t="n">
        <v>65.90000000000001</v>
      </c>
      <c r="J1540" s="40" t="n">
        <v>0</v>
      </c>
      <c r="K1540" s="6">
        <f>I1540-J1540</f>
        <v/>
      </c>
      <c r="L1540" s="6">
        <f>IF(H1540="DISTRATO",0,I1540)</f>
        <v/>
      </c>
    </row>
    <row r="1541">
      <c r="A1541" s="38" t="inlineStr">
        <is>
          <t>Conta corrente FRUGIS5.XLS</t>
        </is>
      </c>
      <c r="B1541" s="39" t="n">
        <v>40955</v>
      </c>
      <c r="C1541" s="4" t="n">
        <v>40940</v>
      </c>
      <c r="D1541" s="5">
        <f>YEAR(C1541)</f>
        <v/>
      </c>
      <c r="E1541" s="5">
        <f>MONTH(C1541)</f>
        <v/>
      </c>
      <c r="F1541" s="38" t="inlineStr">
        <is>
          <t>NFV  :TENDA ATACADO LTDA</t>
        </is>
      </c>
      <c r="G1541" s="38" t="inlineStr">
        <is>
          <t>MARIO FRUGIS (01.04.01)</t>
        </is>
      </c>
      <c r="H1541" s="38" t="inlineStr">
        <is>
          <t>NFV</t>
        </is>
      </c>
      <c r="I1541" s="40" t="n">
        <v>19.08</v>
      </c>
      <c r="J1541" s="40" t="n">
        <v>0</v>
      </c>
      <c r="K1541" s="6">
        <f>I1541-J1541</f>
        <v/>
      </c>
      <c r="L1541" s="6">
        <f>IF(H1541="DISTRATO",0,I1541)</f>
        <v/>
      </c>
    </row>
    <row r="1542">
      <c r="A1542" s="38" t="inlineStr">
        <is>
          <t>Conta corrente FRUGIS5.XLS</t>
        </is>
      </c>
      <c r="B1542" s="39" t="n">
        <v>40956</v>
      </c>
      <c r="C1542" s="4" t="n">
        <v>40940</v>
      </c>
      <c r="D1542" s="5">
        <f>YEAR(C1542)</f>
        <v/>
      </c>
      <c r="E1542" s="5">
        <f>MONTH(C1542)</f>
        <v/>
      </c>
      <c r="F1542" s="38" t="inlineStr">
        <is>
          <t>NFV  :TENDA ATACADO LTDA</t>
        </is>
      </c>
      <c r="G1542" s="38" t="inlineStr">
        <is>
          <t>MARIO FRUGIS (01.04.01)</t>
        </is>
      </c>
      <c r="H1542" s="38" t="inlineStr">
        <is>
          <t>NFV</t>
        </is>
      </c>
      <c r="I1542" s="40" t="n">
        <v>36.78</v>
      </c>
      <c r="J1542" s="40" t="n">
        <v>0</v>
      </c>
      <c r="K1542" s="6">
        <f>I1542-J1542</f>
        <v/>
      </c>
      <c r="L1542" s="6">
        <f>IF(H1542="DISTRATO",0,I1542)</f>
        <v/>
      </c>
    </row>
    <row r="1543">
      <c r="A1543" s="38" t="inlineStr">
        <is>
          <t>Conta corrente FRUGIS5.XLS</t>
        </is>
      </c>
      <c r="B1543" s="39" t="n">
        <v>40956</v>
      </c>
      <c r="C1543" s="4" t="n">
        <v>40940</v>
      </c>
      <c r="D1543" s="5">
        <f>YEAR(C1543)</f>
        <v/>
      </c>
      <c r="E1543" s="5">
        <f>MONTH(C1543)</f>
        <v/>
      </c>
      <c r="F1543" s="38" t="inlineStr">
        <is>
          <t>NFV  :TENDA ATACADO LTDA</t>
        </is>
      </c>
      <c r="G1543" s="38" t="inlineStr">
        <is>
          <t>MARIO FRUGIS (01.04.01)</t>
        </is>
      </c>
      <c r="H1543" s="38" t="inlineStr">
        <is>
          <t>NFV</t>
        </is>
      </c>
      <c r="I1543" s="40" t="n">
        <v>112.45</v>
      </c>
      <c r="J1543" s="40" t="n">
        <v>0</v>
      </c>
      <c r="K1543" s="6">
        <f>I1543-J1543</f>
        <v/>
      </c>
      <c r="L1543" s="6">
        <f>IF(H1543="DISTRATO",0,I1543)</f>
        <v/>
      </c>
    </row>
    <row r="1544">
      <c r="A1544" s="38" t="inlineStr">
        <is>
          <t>Conta corrente FRUGIS5.XLS</t>
        </is>
      </c>
      <c r="B1544" s="39" t="n">
        <v>40961</v>
      </c>
      <c r="C1544" s="4" t="n">
        <v>40940</v>
      </c>
      <c r="D1544" s="5">
        <f>YEAR(C1544)</f>
        <v/>
      </c>
      <c r="E1544" s="5">
        <f>MONTH(C1544)</f>
        <v/>
      </c>
      <c r="F1544" s="38" t="inlineStr">
        <is>
          <t>NFV  :TENDA ATACADO LTDA</t>
        </is>
      </c>
      <c r="G1544" s="38" t="inlineStr">
        <is>
          <t>MARIO FRUGIS (01.04.01)</t>
        </is>
      </c>
      <c r="H1544" s="38" t="inlineStr">
        <is>
          <t>NFV</t>
        </is>
      </c>
      <c r="I1544" s="40" t="n">
        <v>15.83</v>
      </c>
      <c r="J1544" s="40" t="n">
        <v>0</v>
      </c>
      <c r="K1544" s="6">
        <f>I1544-J1544</f>
        <v/>
      </c>
      <c r="L1544" s="6">
        <f>IF(H1544="DISTRATO",0,I1544)</f>
        <v/>
      </c>
    </row>
    <row r="1545">
      <c r="A1545" s="38" t="inlineStr">
        <is>
          <t>Conta corrente FRUGIS5.XLS</t>
        </is>
      </c>
      <c r="B1545" s="39" t="n">
        <v>40961</v>
      </c>
      <c r="C1545" s="4" t="n">
        <v>40940</v>
      </c>
      <c r="D1545" s="5">
        <f>YEAR(C1545)</f>
        <v/>
      </c>
      <c r="E1545" s="5">
        <f>MONTH(C1545)</f>
        <v/>
      </c>
      <c r="F1545" s="38" t="inlineStr">
        <is>
          <t>NFV  :TENDA ATACADO LTDA</t>
        </is>
      </c>
      <c r="G1545" s="38" t="inlineStr">
        <is>
          <t>MARIO FRUGIS (01.04.01)</t>
        </is>
      </c>
      <c r="H1545" s="38" t="inlineStr">
        <is>
          <t>NFV</t>
        </is>
      </c>
      <c r="I1545" s="40" t="n">
        <v>34.48</v>
      </c>
      <c r="J1545" s="40" t="n">
        <v>0</v>
      </c>
      <c r="K1545" s="6">
        <f>I1545-J1545</f>
        <v/>
      </c>
      <c r="L1545" s="6">
        <f>IF(H1545="DISTRATO",0,I1545)</f>
        <v/>
      </c>
    </row>
    <row r="1546">
      <c r="A1546" s="38" t="inlineStr">
        <is>
          <t>Conta corrente FRUGIS5.XLS</t>
        </is>
      </c>
      <c r="B1546" s="39" t="n">
        <v>40961</v>
      </c>
      <c r="C1546" s="4" t="n">
        <v>40940</v>
      </c>
      <c r="D1546" s="5">
        <f>YEAR(C1546)</f>
        <v/>
      </c>
      <c r="E1546" s="5">
        <f>MONTH(C1546)</f>
        <v/>
      </c>
      <c r="F1546" s="38" t="inlineStr">
        <is>
          <t>NFV  :TENDA ATACADO LTDA</t>
        </is>
      </c>
      <c r="G1546" s="38" t="inlineStr">
        <is>
          <t>MARIO FRUGIS (01.04.01)</t>
        </is>
      </c>
      <c r="H1546" s="38" t="inlineStr">
        <is>
          <t>NFV</t>
        </is>
      </c>
      <c r="I1546" s="40" t="n">
        <v>153.14</v>
      </c>
      <c r="J1546" s="40" t="n">
        <v>0</v>
      </c>
      <c r="K1546" s="6">
        <f>I1546-J1546</f>
        <v/>
      </c>
      <c r="L1546" s="6">
        <f>IF(H1546="DISTRATO",0,I1546)</f>
        <v/>
      </c>
    </row>
    <row r="1547">
      <c r="A1547" s="38" t="inlineStr">
        <is>
          <t>Conta corrente FRUGIS5.XLS</t>
        </is>
      </c>
      <c r="B1547" s="39" t="n">
        <v>40961</v>
      </c>
      <c r="C1547" s="4" t="n">
        <v>40940</v>
      </c>
      <c r="D1547" s="5">
        <f>YEAR(C1547)</f>
        <v/>
      </c>
      <c r="E1547" s="5">
        <f>MONTH(C1547)</f>
        <v/>
      </c>
      <c r="F1547" s="38" t="inlineStr">
        <is>
          <t>NFV  :TENDA ATACADO LTDA</t>
        </is>
      </c>
      <c r="G1547" s="38" t="inlineStr">
        <is>
          <t>MARIO FRUGIS (01.04.01)</t>
        </is>
      </c>
      <c r="H1547" s="38" t="inlineStr">
        <is>
          <t>NFV</t>
        </is>
      </c>
      <c r="I1547" s="40" t="n">
        <v>50.2</v>
      </c>
      <c r="J1547" s="40" t="n">
        <v>0</v>
      </c>
      <c r="K1547" s="6">
        <f>I1547-J1547</f>
        <v/>
      </c>
      <c r="L1547" s="6">
        <f>IF(H1547="DISTRATO",0,I1547)</f>
        <v/>
      </c>
    </row>
    <row r="1548">
      <c r="A1548" s="38" t="inlineStr">
        <is>
          <t>Conta corrente FRUGIS5.XLS</t>
        </is>
      </c>
      <c r="B1548" s="39" t="n">
        <v>40962</v>
      </c>
      <c r="C1548" s="4" t="n">
        <v>40940</v>
      </c>
      <c r="D1548" s="5">
        <f>YEAR(C1548)</f>
        <v/>
      </c>
      <c r="E1548" s="5">
        <f>MONTH(C1548)</f>
        <v/>
      </c>
      <c r="F1548" s="38" t="inlineStr">
        <is>
          <t>NFV  :TENDA ATACADO LTDA</t>
        </is>
      </c>
      <c r="G1548" s="38" t="inlineStr">
        <is>
          <t>MARIO FRUGIS (01.04.01)</t>
        </is>
      </c>
      <c r="H1548" s="38" t="inlineStr">
        <is>
          <t>NFV</t>
        </is>
      </c>
      <c r="I1548" s="40" t="n">
        <v>55.22</v>
      </c>
      <c r="J1548" s="40" t="n">
        <v>0</v>
      </c>
      <c r="K1548" s="6">
        <f>I1548-J1548</f>
        <v/>
      </c>
      <c r="L1548" s="6">
        <f>IF(H1548="DISTRATO",0,I1548)</f>
        <v/>
      </c>
    </row>
    <row r="1549">
      <c r="A1549" s="38" t="inlineStr">
        <is>
          <t>Conta corrente FRUGIS5.XLS</t>
        </is>
      </c>
      <c r="B1549" s="39" t="n">
        <v>40962</v>
      </c>
      <c r="C1549" s="4" t="n">
        <v>40940</v>
      </c>
      <c r="D1549" s="5">
        <f>YEAR(C1549)</f>
        <v/>
      </c>
      <c r="E1549" s="5">
        <f>MONTH(C1549)</f>
        <v/>
      </c>
      <c r="F1549" s="38" t="inlineStr">
        <is>
          <t>NFV  :TENDA ATACADO LTDA</t>
        </is>
      </c>
      <c r="G1549" s="38" t="inlineStr">
        <is>
          <t>MARIO FRUGIS (01.04.01)</t>
        </is>
      </c>
      <c r="H1549" s="38" t="inlineStr">
        <is>
          <t>NFV</t>
        </is>
      </c>
      <c r="I1549" s="40" t="n">
        <v>151.93</v>
      </c>
      <c r="J1549" s="40" t="n">
        <v>0</v>
      </c>
      <c r="K1549" s="6">
        <f>I1549-J1549</f>
        <v/>
      </c>
      <c r="L1549" s="6">
        <f>IF(H1549="DISTRATO",0,I1549)</f>
        <v/>
      </c>
    </row>
    <row r="1550">
      <c r="A1550" s="38" t="inlineStr">
        <is>
          <t>Conta corrente FRUGIS5.XLS</t>
        </is>
      </c>
      <c r="B1550" s="39" t="n">
        <v>40968</v>
      </c>
      <c r="C1550" s="4" t="n">
        <v>40940</v>
      </c>
      <c r="D1550" s="5">
        <f>YEAR(C1550)</f>
        <v/>
      </c>
      <c r="E1550" s="5">
        <f>MONTH(C1550)</f>
        <v/>
      </c>
      <c r="F1550" s="38" t="inlineStr">
        <is>
          <t>BONIF:TENDA ATACADO LTDA</t>
        </is>
      </c>
      <c r="G1550" s="38" t="inlineStr">
        <is>
          <t>MARIO FRUGIS (01.04.01)</t>
        </is>
      </c>
      <c r="H1550" s="38" t="inlineStr">
        <is>
          <t>BONIFICACAO</t>
        </is>
      </c>
      <c r="I1550" s="40" t="n">
        <v>-15.3</v>
      </c>
      <c r="J1550" s="40" t="n">
        <v>0</v>
      </c>
      <c r="K1550" s="6">
        <f>I1550-J1550</f>
        <v/>
      </c>
      <c r="L1550" s="6">
        <f>IF(H1550="DISTRATO",0,I1550)</f>
        <v/>
      </c>
    </row>
    <row r="1551">
      <c r="A1551" s="38" t="inlineStr">
        <is>
          <t>Conta corrente FRUGIS5.XLS</t>
        </is>
      </c>
      <c r="B1551" s="39" t="n">
        <v>40968</v>
      </c>
      <c r="C1551" s="4" t="n">
        <v>40940</v>
      </c>
      <c r="D1551" s="5">
        <f>YEAR(C1551)</f>
        <v/>
      </c>
      <c r="E1551" s="5">
        <f>MONTH(C1551)</f>
        <v/>
      </c>
      <c r="F1551" s="38" t="inlineStr">
        <is>
          <t>BONIF:TENDA ATACADO LTDA</t>
        </is>
      </c>
      <c r="G1551" s="38" t="inlineStr">
        <is>
          <t>MARIO FRUGIS (01.04.01)</t>
        </is>
      </c>
      <c r="H1551" s="38" t="inlineStr">
        <is>
          <t>BONIFICACAO</t>
        </is>
      </c>
      <c r="I1551" s="40" t="n">
        <v>-15.3</v>
      </c>
      <c r="J1551" s="40" t="n">
        <v>0</v>
      </c>
      <c r="K1551" s="6">
        <f>I1551-J1551</f>
        <v/>
      </c>
      <c r="L1551" s="6">
        <f>IF(H1551="DISTRATO",0,I1551)</f>
        <v/>
      </c>
    </row>
    <row r="1552">
      <c r="A1552" s="38" t="inlineStr">
        <is>
          <t>Conta corrente FRUGIS5.XLS</t>
        </is>
      </c>
      <c r="B1552" s="39" t="n">
        <v>40968</v>
      </c>
      <c r="C1552" s="4" t="n">
        <v>40940</v>
      </c>
      <c r="D1552" s="5">
        <f>YEAR(C1552)</f>
        <v/>
      </c>
      <c r="E1552" s="5">
        <f>MONTH(C1552)</f>
        <v/>
      </c>
      <c r="F1552" s="38" t="inlineStr">
        <is>
          <t>BONIF:TENDA ATACADO LTDA</t>
        </is>
      </c>
      <c r="G1552" s="38" t="inlineStr">
        <is>
          <t>MARIO FRUGIS (01.04.01)</t>
        </is>
      </c>
      <c r="H1552" s="38" t="inlineStr">
        <is>
          <t>BONIFICACAO</t>
        </is>
      </c>
      <c r="I1552" s="40" t="n">
        <v>-15.3</v>
      </c>
      <c r="J1552" s="40" t="n">
        <v>0</v>
      </c>
      <c r="K1552" s="6">
        <f>I1552-J1552</f>
        <v/>
      </c>
      <c r="L1552" s="6">
        <f>IF(H1552="DISTRATO",0,I1552)</f>
        <v/>
      </c>
    </row>
    <row r="1553">
      <c r="A1553" s="38" t="inlineStr">
        <is>
          <t>Conta corrente FRUGIS5.XLS</t>
        </is>
      </c>
      <c r="B1553" s="39" t="n">
        <v>40968</v>
      </c>
      <c r="C1553" s="4" t="n">
        <v>40940</v>
      </c>
      <c r="D1553" s="5">
        <f>YEAR(C1553)</f>
        <v/>
      </c>
      <c r="E1553" s="5">
        <f>MONTH(C1553)</f>
        <v/>
      </c>
      <c r="F1553" s="38" t="inlineStr">
        <is>
          <t>BONIF:TENDA ATACADO LTDA</t>
        </is>
      </c>
      <c r="G1553" s="38" t="inlineStr">
        <is>
          <t>MARIO FRUGIS (01.04.01)</t>
        </is>
      </c>
      <c r="H1553" s="38" t="inlineStr">
        <is>
          <t>BONIFICACAO</t>
        </is>
      </c>
      <c r="I1553" s="40" t="n">
        <v>-15.3</v>
      </c>
      <c r="J1553" s="40" t="n">
        <v>0</v>
      </c>
      <c r="K1553" s="6">
        <f>I1553-J1553</f>
        <v/>
      </c>
      <c r="L1553" s="6">
        <f>IF(H1553="DISTRATO",0,I1553)</f>
        <v/>
      </c>
    </row>
    <row r="1554">
      <c r="A1554" s="38" t="inlineStr">
        <is>
          <t>Conta corrente FRUGIS5.XLS</t>
        </is>
      </c>
      <c r="B1554" s="39" t="n">
        <v>40968</v>
      </c>
      <c r="C1554" s="4" t="n">
        <v>40940</v>
      </c>
      <c r="D1554" s="5">
        <f>YEAR(C1554)</f>
        <v/>
      </c>
      <c r="E1554" s="5">
        <f>MONTH(C1554)</f>
        <v/>
      </c>
      <c r="F1554" s="38" t="inlineStr">
        <is>
          <t>BONIF:TENDA ATACADO LTDA</t>
        </is>
      </c>
      <c r="G1554" s="38" t="inlineStr">
        <is>
          <t>MARIO FRUGIS (01.04.01)</t>
        </is>
      </c>
      <c r="H1554" s="38" t="inlineStr">
        <is>
          <t>BONIFICACAO</t>
        </is>
      </c>
      <c r="I1554" s="40" t="n">
        <v>-18.63</v>
      </c>
      <c r="J1554" s="40" t="n">
        <v>0</v>
      </c>
      <c r="K1554" s="6">
        <f>I1554-J1554</f>
        <v/>
      </c>
      <c r="L1554" s="6">
        <f>IF(H1554="DISTRATO",0,I1554)</f>
        <v/>
      </c>
    </row>
    <row r="1555">
      <c r="A1555" s="38" t="inlineStr">
        <is>
          <t>Conta corrente FRUGIS5.XLS</t>
        </is>
      </c>
      <c r="B1555" s="39" t="n">
        <v>40968</v>
      </c>
      <c r="C1555" s="4" t="n">
        <v>40940</v>
      </c>
      <c r="D1555" s="5">
        <f>YEAR(C1555)</f>
        <v/>
      </c>
      <c r="E1555" s="5">
        <f>MONTH(C1555)</f>
        <v/>
      </c>
      <c r="F1555" s="38" t="inlineStr">
        <is>
          <t>BONIF:TENDA ATACADO LTDA</t>
        </is>
      </c>
      <c r="G1555" s="38" t="inlineStr">
        <is>
          <t>MARIO FRUGIS (01.04.01)</t>
        </is>
      </c>
      <c r="H1555" s="38" t="inlineStr">
        <is>
          <t>BONIFICACAO</t>
        </is>
      </c>
      <c r="I1555" s="40" t="n">
        <v>-18.63</v>
      </c>
      <c r="J1555" s="40" t="n">
        <v>0</v>
      </c>
      <c r="K1555" s="6">
        <f>I1555-J1555</f>
        <v/>
      </c>
      <c r="L1555" s="6">
        <f>IF(H1555="DISTRATO",0,I1555)</f>
        <v/>
      </c>
    </row>
    <row r="1556">
      <c r="A1556" s="38" t="inlineStr">
        <is>
          <t>Conta corrente FRUGIS5.XLS</t>
        </is>
      </c>
      <c r="B1556" s="39" t="n">
        <v>40968</v>
      </c>
      <c r="C1556" s="4" t="n">
        <v>40940</v>
      </c>
      <c r="D1556" s="5">
        <f>YEAR(C1556)</f>
        <v/>
      </c>
      <c r="E1556" s="5">
        <f>MONTH(C1556)</f>
        <v/>
      </c>
      <c r="F1556" s="38" t="inlineStr">
        <is>
          <t>BONIF:TENDA ATACADO LTDA</t>
        </is>
      </c>
      <c r="G1556" s="38" t="inlineStr">
        <is>
          <t>MARIO FRUGIS (01.04.01)</t>
        </is>
      </c>
      <c r="H1556" s="38" t="inlineStr">
        <is>
          <t>BONIFICACAO</t>
        </is>
      </c>
      <c r="I1556" s="40" t="n">
        <v>-15.3</v>
      </c>
      <c r="J1556" s="40" t="n">
        <v>0</v>
      </c>
      <c r="K1556" s="6">
        <f>I1556-J1556</f>
        <v/>
      </c>
      <c r="L1556" s="6">
        <f>IF(H1556="DISTRATO",0,I1556)</f>
        <v/>
      </c>
    </row>
    <row r="1557">
      <c r="A1557" s="38" t="inlineStr">
        <is>
          <t>Conta corrente FRUGIS5.XLS</t>
        </is>
      </c>
      <c r="B1557" s="39" t="n">
        <v>40968</v>
      </c>
      <c r="C1557" s="4" t="n">
        <v>40940</v>
      </c>
      <c r="D1557" s="5">
        <f>YEAR(C1557)</f>
        <v/>
      </c>
      <c r="E1557" s="5">
        <f>MONTH(C1557)</f>
        <v/>
      </c>
      <c r="F1557" s="38" t="inlineStr">
        <is>
          <t>BONIF:TENDA ATACADO LTDA</t>
        </is>
      </c>
      <c r="G1557" s="38" t="inlineStr">
        <is>
          <t>MARIO FRUGIS (01.04.01)</t>
        </is>
      </c>
      <c r="H1557" s="38" t="inlineStr">
        <is>
          <t>BONIFICACAO</t>
        </is>
      </c>
      <c r="I1557" s="40" t="n">
        <v>-15.3</v>
      </c>
      <c r="J1557" s="40" t="n">
        <v>0</v>
      </c>
      <c r="K1557" s="6">
        <f>I1557-J1557</f>
        <v/>
      </c>
      <c r="L1557" s="6">
        <f>IF(H1557="DISTRATO",0,I1557)</f>
        <v/>
      </c>
    </row>
    <row r="1558">
      <c r="A1558" s="38" t="inlineStr">
        <is>
          <t>Conta corrente FRUGIS5.XLS</t>
        </is>
      </c>
      <c r="B1558" s="39" t="n">
        <v>40968</v>
      </c>
      <c r="C1558" s="4" t="n">
        <v>40940</v>
      </c>
      <c r="D1558" s="5">
        <f>YEAR(C1558)</f>
        <v/>
      </c>
      <c r="E1558" s="5">
        <f>MONTH(C1558)</f>
        <v/>
      </c>
      <c r="F1558" s="38" t="inlineStr">
        <is>
          <t>BONIF:TENDA ATACADO LTDA</t>
        </is>
      </c>
      <c r="G1558" s="38" t="inlineStr">
        <is>
          <t>MARIO FRUGIS (01.04.01)</t>
        </is>
      </c>
      <c r="H1558" s="38" t="inlineStr">
        <is>
          <t>BONIFICACAO</t>
        </is>
      </c>
      <c r="I1558" s="40" t="n">
        <v>-15.3</v>
      </c>
      <c r="J1558" s="40" t="n">
        <v>0</v>
      </c>
      <c r="K1558" s="6">
        <f>I1558-J1558</f>
        <v/>
      </c>
      <c r="L1558" s="6">
        <f>IF(H1558="DISTRATO",0,I1558)</f>
        <v/>
      </c>
    </row>
    <row r="1559">
      <c r="A1559" s="38" t="inlineStr">
        <is>
          <t>Conta corrente FRUGIS5.XLS</t>
        </is>
      </c>
      <c r="B1559" s="39" t="n">
        <v>40968</v>
      </c>
      <c r="C1559" s="4" t="n">
        <v>40940</v>
      </c>
      <c r="D1559" s="5">
        <f>YEAR(C1559)</f>
        <v/>
      </c>
      <c r="E1559" s="5">
        <f>MONTH(C1559)</f>
        <v/>
      </c>
      <c r="F1559" s="38" t="inlineStr">
        <is>
          <t>NFV  :TENDA ATACADO LTDA</t>
        </is>
      </c>
      <c r="G1559" s="38" t="inlineStr">
        <is>
          <t>MARIO FRUGIS (01.04.01)</t>
        </is>
      </c>
      <c r="H1559" s="38" t="inlineStr">
        <is>
          <t>NFV</t>
        </is>
      </c>
      <c r="I1559" s="40" t="n">
        <v>94.86</v>
      </c>
      <c r="J1559" s="40" t="n">
        <v>0</v>
      </c>
      <c r="K1559" s="6">
        <f>I1559-J1559</f>
        <v/>
      </c>
      <c r="L1559" s="6">
        <f>IF(H1559="DISTRATO",0,I1559)</f>
        <v/>
      </c>
    </row>
    <row r="1560">
      <c r="A1560" s="38" t="inlineStr">
        <is>
          <t>Conta corrente FRUGIS5.XLS</t>
        </is>
      </c>
      <c r="B1560" s="39" t="n">
        <v>40968</v>
      </c>
      <c r="C1560" s="4" t="n">
        <v>40940</v>
      </c>
      <c r="D1560" s="5">
        <f>YEAR(C1560)</f>
        <v/>
      </c>
      <c r="E1560" s="5">
        <f>MONTH(C1560)</f>
        <v/>
      </c>
      <c r="F1560" s="38" t="inlineStr">
        <is>
          <t>NFV  :TENDA ATACADO LTDA</t>
        </is>
      </c>
      <c r="G1560" s="38" t="inlineStr">
        <is>
          <t>MARIO FRUGIS (01.04.01)</t>
        </is>
      </c>
      <c r="H1560" s="38" t="inlineStr">
        <is>
          <t>NFV</t>
        </is>
      </c>
      <c r="I1560" s="40" t="n">
        <v>84.04000000000001</v>
      </c>
      <c r="J1560" s="40" t="n">
        <v>0</v>
      </c>
      <c r="K1560" s="6">
        <f>I1560-J1560</f>
        <v/>
      </c>
      <c r="L1560" s="6">
        <f>IF(H1560="DISTRATO",0,I1560)</f>
        <v/>
      </c>
    </row>
    <row r="1561">
      <c r="A1561" s="38" t="inlineStr">
        <is>
          <t>Conta corrente FRUGIS5.XLS</t>
        </is>
      </c>
      <c r="B1561" s="39" t="n">
        <v>40968</v>
      </c>
      <c r="C1561" s="4" t="n">
        <v>40940</v>
      </c>
      <c r="D1561" s="5">
        <f>YEAR(C1561)</f>
        <v/>
      </c>
      <c r="E1561" s="5">
        <f>MONTH(C1561)</f>
        <v/>
      </c>
      <c r="F1561" s="38" t="inlineStr">
        <is>
          <t>NFV  :TENDA ATACADO LTDA</t>
        </is>
      </c>
      <c r="G1561" s="38" t="inlineStr">
        <is>
          <t>MARIO FRUGIS (01.04.01)</t>
        </is>
      </c>
      <c r="H1561" s="38" t="inlineStr">
        <is>
          <t>NFV</t>
        </is>
      </c>
      <c r="I1561" s="40" t="n">
        <v>163.53</v>
      </c>
      <c r="J1561" s="40" t="n">
        <v>0</v>
      </c>
      <c r="K1561" s="6">
        <f>I1561-J1561</f>
        <v/>
      </c>
      <c r="L1561" s="6">
        <f>IF(H1561="DISTRATO",0,I1561)</f>
        <v/>
      </c>
    </row>
    <row r="1562">
      <c r="A1562" s="38" t="inlineStr">
        <is>
          <t>Conta corrente FRUGIS5.XLS</t>
        </is>
      </c>
      <c r="B1562" s="39" t="n">
        <v>40968</v>
      </c>
      <c r="C1562" s="4" t="n">
        <v>40940</v>
      </c>
      <c r="D1562" s="5">
        <f>YEAR(C1562)</f>
        <v/>
      </c>
      <c r="E1562" s="5">
        <f>MONTH(C1562)</f>
        <v/>
      </c>
      <c r="F1562" s="38" t="inlineStr">
        <is>
          <t>NFV  :TENDA ATACADO LTDA</t>
        </is>
      </c>
      <c r="G1562" s="38" t="inlineStr">
        <is>
          <t>MARIO FRUGIS (01.04.01)</t>
        </is>
      </c>
      <c r="H1562" s="38" t="inlineStr">
        <is>
          <t>NFV</t>
        </is>
      </c>
      <c r="I1562" s="40" t="n">
        <v>116</v>
      </c>
      <c r="J1562" s="40" t="n">
        <v>0</v>
      </c>
      <c r="K1562" s="6">
        <f>I1562-J1562</f>
        <v/>
      </c>
      <c r="L1562" s="6">
        <f>IF(H1562="DISTRATO",0,I1562)</f>
        <v/>
      </c>
    </row>
    <row r="1563">
      <c r="A1563" s="38" t="inlineStr">
        <is>
          <t>Conta corrente FRUGIS5.XLS</t>
        </is>
      </c>
      <c r="B1563" s="39" t="n">
        <v>40968</v>
      </c>
      <c r="C1563" s="4" t="n">
        <v>40940</v>
      </c>
      <c r="D1563" s="5">
        <f>YEAR(C1563)</f>
        <v/>
      </c>
      <c r="E1563" s="5">
        <f>MONTH(C1563)</f>
        <v/>
      </c>
      <c r="F1563" s="38" t="inlineStr">
        <is>
          <t>NFV  :TENDA ATACADO LTDA</t>
        </is>
      </c>
      <c r="G1563" s="38" t="inlineStr">
        <is>
          <t>MARIO FRUGIS (01.04.01)</t>
        </is>
      </c>
      <c r="H1563" s="38" t="inlineStr">
        <is>
          <t>NFV</t>
        </is>
      </c>
      <c r="I1563" s="40" t="n">
        <v>51.38</v>
      </c>
      <c r="J1563" s="40" t="n">
        <v>0</v>
      </c>
      <c r="K1563" s="6">
        <f>I1563-J1563</f>
        <v/>
      </c>
      <c r="L1563" s="6">
        <f>IF(H1563="DISTRATO",0,I1563)</f>
        <v/>
      </c>
    </row>
    <row r="1564">
      <c r="A1564" s="38" t="inlineStr">
        <is>
          <t>Conta corrente FRUGIS5.XLS</t>
        </is>
      </c>
      <c r="B1564" s="39" t="n">
        <v>40968</v>
      </c>
      <c r="C1564" s="4" t="n">
        <v>40940</v>
      </c>
      <c r="D1564" s="5">
        <f>YEAR(C1564)</f>
        <v/>
      </c>
      <c r="E1564" s="5">
        <f>MONTH(C1564)</f>
        <v/>
      </c>
      <c r="F1564" s="38" t="inlineStr">
        <is>
          <t>NFV  :TENDA ATACADO LTDA</t>
        </is>
      </c>
      <c r="G1564" s="38" t="inlineStr">
        <is>
          <t>MARIO FRUGIS (01.04.01)</t>
        </is>
      </c>
      <c r="H1564" s="38" t="inlineStr">
        <is>
          <t>NFV</t>
        </is>
      </c>
      <c r="I1564" s="40" t="n">
        <v>94.83</v>
      </c>
      <c r="J1564" s="40" t="n">
        <v>0</v>
      </c>
      <c r="K1564" s="6">
        <f>I1564-J1564</f>
        <v/>
      </c>
      <c r="L1564" s="6">
        <f>IF(H1564="DISTRATO",0,I1564)</f>
        <v/>
      </c>
    </row>
    <row r="1565">
      <c r="A1565" s="38" t="inlineStr">
        <is>
          <t>Conta corrente FRUGIS5.XLS</t>
        </is>
      </c>
      <c r="B1565" s="39" t="n">
        <v>40968</v>
      </c>
      <c r="C1565" s="4" t="n">
        <v>40940</v>
      </c>
      <c r="D1565" s="5">
        <f>YEAR(C1565)</f>
        <v/>
      </c>
      <c r="E1565" s="5">
        <f>MONTH(C1565)</f>
        <v/>
      </c>
      <c r="F1565" s="38" t="inlineStr">
        <is>
          <t>NFV  :TENDA ATACADO LTDA</t>
        </is>
      </c>
      <c r="G1565" s="38" t="inlineStr">
        <is>
          <t>MARIO FRUGIS (01.04.01)</t>
        </is>
      </c>
      <c r="H1565" s="38" t="inlineStr">
        <is>
          <t>NFV</t>
        </is>
      </c>
      <c r="I1565" s="40" t="n">
        <v>196.22</v>
      </c>
      <c r="J1565" s="40" t="n">
        <v>0</v>
      </c>
      <c r="K1565" s="6">
        <f>I1565-J1565</f>
        <v/>
      </c>
      <c r="L1565" s="6">
        <f>IF(H1565="DISTRATO",0,I1565)</f>
        <v/>
      </c>
    </row>
    <row r="1566">
      <c r="A1566" s="38" t="inlineStr">
        <is>
          <t>Conta corrente FRUGIS5.XLS</t>
        </is>
      </c>
      <c r="B1566" s="39" t="n">
        <v>40968</v>
      </c>
      <c r="C1566" s="4" t="n">
        <v>40940</v>
      </c>
      <c r="D1566" s="5">
        <f>YEAR(C1566)</f>
        <v/>
      </c>
      <c r="E1566" s="5">
        <f>MONTH(C1566)</f>
        <v/>
      </c>
      <c r="F1566" s="38" t="inlineStr">
        <is>
          <t>NFV  :TENDA ATACADO LTDA</t>
        </is>
      </c>
      <c r="G1566" s="38" t="inlineStr">
        <is>
          <t>MARIO FRUGIS (01.04.01)</t>
        </is>
      </c>
      <c r="H1566" s="38" t="inlineStr">
        <is>
          <t>NFV</t>
        </is>
      </c>
      <c r="I1566" s="40" t="n">
        <v>63.05</v>
      </c>
      <c r="J1566" s="40" t="n">
        <v>0</v>
      </c>
      <c r="K1566" s="6">
        <f>I1566-J1566</f>
        <v/>
      </c>
      <c r="L1566" s="6">
        <f>IF(H1566="DISTRATO",0,I1566)</f>
        <v/>
      </c>
    </row>
    <row r="1567">
      <c r="A1567" s="38" t="inlineStr">
        <is>
          <t>Conta corrente FRUGIS5.XLS</t>
        </is>
      </c>
      <c r="B1567" s="39" t="n">
        <v>40968</v>
      </c>
      <c r="C1567" s="4" t="n">
        <v>40940</v>
      </c>
      <c r="D1567" s="5">
        <f>YEAR(C1567)</f>
        <v/>
      </c>
      <c r="E1567" s="5">
        <f>MONTH(C1567)</f>
        <v/>
      </c>
      <c r="F1567" s="38" t="inlineStr">
        <is>
          <t>NFV  :TENDA ATACADO LTDA</t>
        </is>
      </c>
      <c r="G1567" s="38" t="inlineStr">
        <is>
          <t>MARIO FRUGIS (01.04.01)</t>
        </is>
      </c>
      <c r="H1567" s="38" t="inlineStr">
        <is>
          <t>NFV</t>
        </is>
      </c>
      <c r="I1567" s="40" t="n">
        <v>23.35</v>
      </c>
      <c r="J1567" s="40" t="n">
        <v>0</v>
      </c>
      <c r="K1567" s="6">
        <f>I1567-J1567</f>
        <v/>
      </c>
      <c r="L1567" s="6">
        <f>IF(H1567="DISTRATO",0,I1567)</f>
        <v/>
      </c>
    </row>
    <row r="1568">
      <c r="A1568" s="38" t="inlineStr">
        <is>
          <t>Conta corrente FRUGIS5.XLS</t>
        </is>
      </c>
      <c r="B1568" s="39" t="n">
        <v>40968</v>
      </c>
      <c r="C1568" s="4" t="n">
        <v>40940</v>
      </c>
      <c r="D1568" s="5">
        <f>YEAR(C1568)</f>
        <v/>
      </c>
      <c r="E1568" s="5">
        <f>MONTH(C1568)</f>
        <v/>
      </c>
      <c r="F1568" s="38" t="inlineStr">
        <is>
          <t>NFV  :TENDA ATACADO LTDA</t>
        </is>
      </c>
      <c r="G1568" s="38" t="inlineStr">
        <is>
          <t>MARIO FRUGIS (01.04.01)</t>
        </is>
      </c>
      <c r="H1568" s="38" t="inlineStr">
        <is>
          <t>NFV</t>
        </is>
      </c>
      <c r="I1568" s="40" t="n">
        <v>194.94</v>
      </c>
      <c r="J1568" s="40" t="n">
        <v>0</v>
      </c>
      <c r="K1568" s="6">
        <f>I1568-J1568</f>
        <v/>
      </c>
      <c r="L1568" s="6">
        <f>IF(H1568="DISTRATO",0,I1568)</f>
        <v/>
      </c>
    </row>
    <row r="1569">
      <c r="A1569" s="38" t="inlineStr">
        <is>
          <t>Conta corrente FRUGIS5.XLS</t>
        </is>
      </c>
      <c r="B1569" s="39" t="n">
        <v>40968</v>
      </c>
      <c r="C1569" s="4" t="n">
        <v>40940</v>
      </c>
      <c r="D1569" s="5">
        <f>YEAR(C1569)</f>
        <v/>
      </c>
      <c r="E1569" s="5">
        <f>MONTH(C1569)</f>
        <v/>
      </c>
      <c r="F1569" s="38" t="inlineStr">
        <is>
          <t>NFV  :TENDA ATACADO LTDA</t>
        </is>
      </c>
      <c r="G1569" s="38" t="inlineStr">
        <is>
          <t>MARIO FRUGIS (01.04.01)</t>
        </is>
      </c>
      <c r="H1569" s="38" t="inlineStr">
        <is>
          <t>NFV</t>
        </is>
      </c>
      <c r="I1569" s="40" t="n">
        <v>292.95</v>
      </c>
      <c r="J1569" s="40" t="n">
        <v>0</v>
      </c>
      <c r="K1569" s="6">
        <f>I1569-J1569</f>
        <v/>
      </c>
      <c r="L1569" s="6">
        <f>IF(H1569="DISTRATO",0,I1569)</f>
        <v/>
      </c>
    </row>
    <row r="1570">
      <c r="A1570" s="38" t="inlineStr">
        <is>
          <t>Conta corrente FRUGIS5.XLS</t>
        </is>
      </c>
      <c r="B1570" s="39" t="n">
        <v>40968</v>
      </c>
      <c r="C1570" s="4" t="n">
        <v>40940</v>
      </c>
      <c r="D1570" s="5">
        <f>YEAR(C1570)</f>
        <v/>
      </c>
      <c r="E1570" s="5">
        <f>MONTH(C1570)</f>
        <v/>
      </c>
      <c r="F1570" s="38" t="inlineStr">
        <is>
          <t>NFV  :TENDA ATACADO LTDA</t>
        </is>
      </c>
      <c r="G1570" s="38" t="inlineStr">
        <is>
          <t>MARIO FRUGIS (01.04.01)</t>
        </is>
      </c>
      <c r="H1570" s="38" t="inlineStr">
        <is>
          <t>NFV</t>
        </is>
      </c>
      <c r="I1570" s="40" t="n">
        <v>104.76</v>
      </c>
      <c r="J1570" s="40" t="n">
        <v>0</v>
      </c>
      <c r="K1570" s="6">
        <f>I1570-J1570</f>
        <v/>
      </c>
      <c r="L1570" s="6">
        <f>IF(H1570="DISTRATO",0,I1570)</f>
        <v/>
      </c>
    </row>
    <row r="1571">
      <c r="A1571" s="38" t="inlineStr">
        <is>
          <t>Conta corrente FRUGIS5.XLS</t>
        </is>
      </c>
      <c r="B1571" s="39" t="n">
        <v>40968</v>
      </c>
      <c r="C1571" s="4" t="n">
        <v>40940</v>
      </c>
      <c r="D1571" s="5">
        <f>YEAR(C1571)</f>
        <v/>
      </c>
      <c r="E1571" s="5">
        <f>MONTH(C1571)</f>
        <v/>
      </c>
      <c r="F1571" s="38" t="inlineStr">
        <is>
          <t>NFV  :TENDA ATACADO LTDA</t>
        </is>
      </c>
      <c r="G1571" s="38" t="inlineStr">
        <is>
          <t>MARIO FRUGIS (01.04.01)</t>
        </is>
      </c>
      <c r="H1571" s="38" t="inlineStr">
        <is>
          <t>NFV</t>
        </is>
      </c>
      <c r="I1571" s="40" t="n">
        <v>51.38</v>
      </c>
      <c r="J1571" s="40" t="n">
        <v>0</v>
      </c>
      <c r="K1571" s="6">
        <f>I1571-J1571</f>
        <v/>
      </c>
      <c r="L1571" s="6">
        <f>IF(H1571="DISTRATO",0,I1571)</f>
        <v/>
      </c>
    </row>
    <row r="1572">
      <c r="A1572" s="38" t="inlineStr">
        <is>
          <t>Conta corrente FRUGIS5.XLS</t>
        </is>
      </c>
      <c r="B1572" s="39" t="n">
        <v>40968</v>
      </c>
      <c r="C1572" s="4" t="n">
        <v>40940</v>
      </c>
      <c r="D1572" s="5">
        <f>YEAR(C1572)</f>
        <v/>
      </c>
      <c r="E1572" s="5">
        <f>MONTH(C1572)</f>
        <v/>
      </c>
      <c r="F1572" s="38" t="inlineStr">
        <is>
          <t>NFV  :TENDA ATACADO LTDA</t>
        </is>
      </c>
      <c r="G1572" s="38" t="inlineStr">
        <is>
          <t>MARIO FRUGIS (01.04.01)</t>
        </is>
      </c>
      <c r="H1572" s="38" t="inlineStr">
        <is>
          <t>NFV</t>
        </is>
      </c>
      <c r="I1572" s="40" t="n">
        <v>104.42</v>
      </c>
      <c r="J1572" s="40" t="n">
        <v>0</v>
      </c>
      <c r="K1572" s="6">
        <f>I1572-J1572</f>
        <v/>
      </c>
      <c r="L1572" s="6">
        <f>IF(H1572="DISTRATO",0,I1572)</f>
        <v/>
      </c>
    </row>
    <row r="1573">
      <c r="A1573" s="38" t="inlineStr">
        <is>
          <t>Conta corrente FRUGIS5.XLS</t>
        </is>
      </c>
      <c r="B1573" s="39" t="n">
        <v>40968</v>
      </c>
      <c r="C1573" s="4" t="n">
        <v>40940</v>
      </c>
      <c r="D1573" s="5">
        <f>YEAR(C1573)</f>
        <v/>
      </c>
      <c r="E1573" s="5">
        <f>MONTH(C1573)</f>
        <v/>
      </c>
      <c r="F1573" s="38" t="inlineStr">
        <is>
          <t>NFV  :TENDA ATACADO LTDA</t>
        </is>
      </c>
      <c r="G1573" s="38" t="inlineStr">
        <is>
          <t>MARIO FRUGIS (01.04.01)</t>
        </is>
      </c>
      <c r="H1573" s="38" t="inlineStr">
        <is>
          <t>NFV</t>
        </is>
      </c>
      <c r="I1573" s="40" t="n">
        <v>62.45</v>
      </c>
      <c r="J1573" s="40" t="n">
        <v>0</v>
      </c>
      <c r="K1573" s="6">
        <f>I1573-J1573</f>
        <v/>
      </c>
      <c r="L1573" s="6">
        <f>IF(H1573="DISTRATO",0,I1573)</f>
        <v/>
      </c>
    </row>
    <row r="1574">
      <c r="A1574" s="38" t="inlineStr">
        <is>
          <t>Conta corrente FRUGIS5.XLS</t>
        </is>
      </c>
      <c r="B1574" s="39" t="n">
        <v>40968</v>
      </c>
      <c r="C1574" s="4" t="n">
        <v>40940</v>
      </c>
      <c r="D1574" s="5">
        <f>YEAR(C1574)</f>
        <v/>
      </c>
      <c r="E1574" s="5">
        <f>MONTH(C1574)</f>
        <v/>
      </c>
      <c r="F1574" s="38" t="inlineStr">
        <is>
          <t>NFV  :TENDA ATACADO LTDA</t>
        </is>
      </c>
      <c r="G1574" s="38" t="inlineStr">
        <is>
          <t>MARIO FRUGIS (01.04.01)</t>
        </is>
      </c>
      <c r="H1574" s="38" t="inlineStr">
        <is>
          <t>NFV</t>
        </is>
      </c>
      <c r="I1574" s="40" t="n">
        <v>42.87</v>
      </c>
      <c r="J1574" s="40" t="n">
        <v>0</v>
      </c>
      <c r="K1574" s="6">
        <f>I1574-J1574</f>
        <v/>
      </c>
      <c r="L1574" s="6">
        <f>IF(H1574="DISTRATO",0,I1574)</f>
        <v/>
      </c>
    </row>
    <row r="1575">
      <c r="A1575" s="38" t="inlineStr">
        <is>
          <t>Conta corrente FRUGIS5.XLS</t>
        </is>
      </c>
      <c r="B1575" s="39" t="n">
        <v>40968</v>
      </c>
      <c r="C1575" s="4" t="n">
        <v>40940</v>
      </c>
      <c r="D1575" s="5">
        <f>YEAR(C1575)</f>
        <v/>
      </c>
      <c r="E1575" s="5">
        <f>MONTH(C1575)</f>
        <v/>
      </c>
      <c r="F1575" s="38" t="inlineStr">
        <is>
          <t>NFV  :TENDA ATACADO LTDA</t>
        </is>
      </c>
      <c r="G1575" s="38" t="inlineStr">
        <is>
          <t>MARIO FRUGIS (01.04.01)</t>
        </is>
      </c>
      <c r="H1575" s="38" t="inlineStr">
        <is>
          <t>NFV</t>
        </is>
      </c>
      <c r="I1575" s="40" t="n">
        <v>29.02</v>
      </c>
      <c r="J1575" s="40" t="n">
        <v>0</v>
      </c>
      <c r="K1575" s="6">
        <f>I1575-J1575</f>
        <v/>
      </c>
      <c r="L1575" s="6">
        <f>IF(H1575="DISTRATO",0,I1575)</f>
        <v/>
      </c>
    </row>
    <row r="1576">
      <c r="A1576" s="38" t="inlineStr">
        <is>
          <t>Conta corrente FRUGIS5.XLS</t>
        </is>
      </c>
      <c r="B1576" s="39" t="n">
        <v>40968</v>
      </c>
      <c r="C1576" s="4" t="n">
        <v>40940</v>
      </c>
      <c r="D1576" s="5">
        <f>YEAR(C1576)</f>
        <v/>
      </c>
      <c r="E1576" s="5">
        <f>MONTH(C1576)</f>
        <v/>
      </c>
      <c r="F1576" s="38" t="inlineStr">
        <is>
          <t>NFV  :TENDA ATACADO LTDA</t>
        </is>
      </c>
      <c r="G1576" s="38" t="inlineStr">
        <is>
          <t>MARIO FRUGIS (01.04.01)</t>
        </is>
      </c>
      <c r="H1576" s="38" t="inlineStr">
        <is>
          <t>NFV</t>
        </is>
      </c>
      <c r="I1576" s="40" t="n">
        <v>71.23999999999999</v>
      </c>
      <c r="J1576" s="40" t="n">
        <v>0</v>
      </c>
      <c r="K1576" s="6">
        <f>I1576-J1576</f>
        <v/>
      </c>
      <c r="L1576" s="6">
        <f>IF(H1576="DISTRATO",0,I1576)</f>
        <v/>
      </c>
    </row>
    <row r="1577">
      <c r="A1577" s="38" t="inlineStr">
        <is>
          <t>Conta corrente FRUGIS5.XLS</t>
        </is>
      </c>
      <c r="B1577" s="39" t="n">
        <v>40968</v>
      </c>
      <c r="C1577" s="4" t="n">
        <v>40940</v>
      </c>
      <c r="D1577" s="5">
        <f>YEAR(C1577)</f>
        <v/>
      </c>
      <c r="E1577" s="5">
        <f>MONTH(C1577)</f>
        <v/>
      </c>
      <c r="F1577" s="38" t="inlineStr">
        <is>
          <t>NFV  :TENDA ATACADO LTDA</t>
        </is>
      </c>
      <c r="G1577" s="38" t="inlineStr">
        <is>
          <t>MARIO FRUGIS (01.04.01)</t>
        </is>
      </c>
      <c r="H1577" s="38" t="inlineStr">
        <is>
          <t>NFV</t>
        </is>
      </c>
      <c r="I1577" s="40" t="n">
        <v>169</v>
      </c>
      <c r="J1577" s="40" t="n">
        <v>0</v>
      </c>
      <c r="K1577" s="6">
        <f>I1577-J1577</f>
        <v/>
      </c>
      <c r="L1577" s="6">
        <f>IF(H1577="DISTRATO",0,I1577)</f>
        <v/>
      </c>
    </row>
    <row r="1578">
      <c r="A1578" s="38" t="inlineStr">
        <is>
          <t>Conta corrente FRUGIS5.XLS</t>
        </is>
      </c>
      <c r="B1578" s="39" t="n">
        <v>40968</v>
      </c>
      <c r="C1578" s="4" t="n">
        <v>40940</v>
      </c>
      <c r="D1578" s="5">
        <f>YEAR(C1578)</f>
        <v/>
      </c>
      <c r="E1578" s="5">
        <f>MONTH(C1578)</f>
        <v/>
      </c>
      <c r="F1578" s="38" t="inlineStr">
        <is>
          <t>NFV  :TENDA ATACADO LTDA</t>
        </is>
      </c>
      <c r="G1578" s="38" t="inlineStr">
        <is>
          <t>MARIO FRUGIS (01.04.01)</t>
        </is>
      </c>
      <c r="H1578" s="38" t="inlineStr">
        <is>
          <t>NFV</t>
        </is>
      </c>
      <c r="I1578" s="40" t="n">
        <v>133.36</v>
      </c>
      <c r="J1578" s="40" t="n">
        <v>0</v>
      </c>
      <c r="K1578" s="6">
        <f>I1578-J1578</f>
        <v/>
      </c>
      <c r="L1578" s="6">
        <f>IF(H1578="DISTRATO",0,I1578)</f>
        <v/>
      </c>
    </row>
    <row r="1579">
      <c r="A1579" s="38" t="inlineStr">
        <is>
          <t>Conta corrente FRUGIS5.XLS</t>
        </is>
      </c>
      <c r="B1579" s="39" t="n">
        <v>40968</v>
      </c>
      <c r="C1579" s="4" t="n">
        <v>40940</v>
      </c>
      <c r="D1579" s="5">
        <f>YEAR(C1579)</f>
        <v/>
      </c>
      <c r="E1579" s="5">
        <f>MONTH(C1579)</f>
        <v/>
      </c>
      <c r="F1579" s="38" t="inlineStr">
        <is>
          <t>NFV  :TENDA ATACADO LTDA</t>
        </is>
      </c>
      <c r="G1579" s="38" t="inlineStr">
        <is>
          <t>MARIO FRUGIS (01.04.01)</t>
        </is>
      </c>
      <c r="H1579" s="38" t="inlineStr">
        <is>
          <t>NFV</t>
        </is>
      </c>
      <c r="I1579" s="40" t="n">
        <v>55.12</v>
      </c>
      <c r="J1579" s="40" t="n">
        <v>0</v>
      </c>
      <c r="K1579" s="6">
        <f>I1579-J1579</f>
        <v/>
      </c>
      <c r="L1579" s="6">
        <f>IF(H1579="DISTRATO",0,I1579)</f>
        <v/>
      </c>
    </row>
    <row r="1580">
      <c r="A1580" s="38" t="inlineStr">
        <is>
          <t>Conta corrente FRUGIS5.XLS</t>
        </is>
      </c>
      <c r="B1580" s="39" t="n">
        <v>40968</v>
      </c>
      <c r="C1580" s="4" t="n">
        <v>40940</v>
      </c>
      <c r="D1580" s="5">
        <f>YEAR(C1580)</f>
        <v/>
      </c>
      <c r="E1580" s="5">
        <f>MONTH(C1580)</f>
        <v/>
      </c>
      <c r="F1580" s="38" t="inlineStr">
        <is>
          <t>NFV  :TENDA ATACADO LTDA</t>
        </is>
      </c>
      <c r="G1580" s="38" t="inlineStr">
        <is>
          <t>MARIO FRUGIS (01.04.01)</t>
        </is>
      </c>
      <c r="H1580" s="38" t="inlineStr">
        <is>
          <t>NFV</t>
        </is>
      </c>
      <c r="I1580" s="40" t="n">
        <v>59.89</v>
      </c>
      <c r="J1580" s="40" t="n">
        <v>0</v>
      </c>
      <c r="K1580" s="6">
        <f>I1580-J1580</f>
        <v/>
      </c>
      <c r="L1580" s="6">
        <f>IF(H1580="DISTRATO",0,I1580)</f>
        <v/>
      </c>
    </row>
    <row r="1581">
      <c r="A1581" s="38" t="inlineStr">
        <is>
          <t>Conta corrente FRUGIS5.XLS</t>
        </is>
      </c>
      <c r="B1581" s="39" t="n">
        <v>40968</v>
      </c>
      <c r="C1581" s="4" t="n">
        <v>40940</v>
      </c>
      <c r="D1581" s="5">
        <f>YEAR(C1581)</f>
        <v/>
      </c>
      <c r="E1581" s="5">
        <f>MONTH(C1581)</f>
        <v/>
      </c>
      <c r="F1581" s="38" t="inlineStr">
        <is>
          <t>NFV  :TENDA ATACADO LTDA</t>
        </is>
      </c>
      <c r="G1581" s="38" t="inlineStr">
        <is>
          <t>MARIO FRUGIS (01.04.01)</t>
        </is>
      </c>
      <c r="H1581" s="38" t="inlineStr">
        <is>
          <t>NFV</t>
        </is>
      </c>
      <c r="I1581" s="40" t="n">
        <v>65.8</v>
      </c>
      <c r="J1581" s="40" t="n">
        <v>0</v>
      </c>
      <c r="K1581" s="6">
        <f>I1581-J1581</f>
        <v/>
      </c>
      <c r="L1581" s="6">
        <f>IF(H1581="DISTRATO",0,I1581)</f>
        <v/>
      </c>
    </row>
    <row r="1582">
      <c r="A1582" s="38" t="inlineStr">
        <is>
          <t>Conta corrente FRUGIS5.XLS</t>
        </is>
      </c>
      <c r="B1582" s="39" t="n">
        <v>40968</v>
      </c>
      <c r="C1582" s="4" t="n">
        <v>40940</v>
      </c>
      <c r="D1582" s="5">
        <f>YEAR(C1582)</f>
        <v/>
      </c>
      <c r="E1582" s="5">
        <f>MONTH(C1582)</f>
        <v/>
      </c>
      <c r="F1582" s="38" t="inlineStr">
        <is>
          <t>NFV  :TENDA ATACADO LTDA</t>
        </is>
      </c>
      <c r="G1582" s="38" t="inlineStr">
        <is>
          <t>MARIO FRUGIS (01.04.01)</t>
        </is>
      </c>
      <c r="H1582" s="38" t="inlineStr">
        <is>
          <t>NFV</t>
        </is>
      </c>
      <c r="I1582" s="40" t="n">
        <v>17.33</v>
      </c>
      <c r="J1582" s="40" t="n">
        <v>0</v>
      </c>
      <c r="K1582" s="6">
        <f>I1582-J1582</f>
        <v/>
      </c>
      <c r="L1582" s="6">
        <f>IF(H1582="DISTRATO",0,I1582)</f>
        <v/>
      </c>
    </row>
    <row r="1583">
      <c r="A1583" s="38" t="inlineStr">
        <is>
          <t>Conta corrente FRUGIS5.XLS</t>
        </is>
      </c>
      <c r="B1583" s="39" t="n">
        <v>40968</v>
      </c>
      <c r="C1583" s="4" t="n">
        <v>40940</v>
      </c>
      <c r="D1583" s="5">
        <f>YEAR(C1583)</f>
        <v/>
      </c>
      <c r="E1583" s="5">
        <f>MONTH(C1583)</f>
        <v/>
      </c>
      <c r="F1583" s="38" t="inlineStr">
        <is>
          <t>NFV  :TENDA ATACADO LTDA</t>
        </is>
      </c>
      <c r="G1583" s="38" t="inlineStr">
        <is>
          <t>MARIO FRUGIS (01.04.01)</t>
        </is>
      </c>
      <c r="H1583" s="38" t="inlineStr">
        <is>
          <t>NFV</t>
        </is>
      </c>
      <c r="I1583" s="40" t="n">
        <v>127.88</v>
      </c>
      <c r="J1583" s="40" t="n">
        <v>0</v>
      </c>
      <c r="K1583" s="6">
        <f>I1583-J1583</f>
        <v/>
      </c>
      <c r="L1583" s="6">
        <f>IF(H1583="DISTRATO",0,I1583)</f>
        <v/>
      </c>
    </row>
    <row r="1584">
      <c r="A1584" s="38" t="inlineStr">
        <is>
          <t>Conta corrente FRUGIS5.XLS</t>
        </is>
      </c>
      <c r="B1584" s="39" t="n">
        <v>40968</v>
      </c>
      <c r="C1584" s="4" t="n">
        <v>40940</v>
      </c>
      <c r="D1584" s="5">
        <f>YEAR(C1584)</f>
        <v/>
      </c>
      <c r="E1584" s="5">
        <f>MONTH(C1584)</f>
        <v/>
      </c>
      <c r="F1584" s="38" t="inlineStr">
        <is>
          <t>NFV  :TENDA ATACADO LTDA</t>
        </is>
      </c>
      <c r="G1584" s="38" t="inlineStr">
        <is>
          <t>MARIO FRUGIS (01.04.01)</t>
        </is>
      </c>
      <c r="H1584" s="38" t="inlineStr">
        <is>
          <t>NFV</t>
        </is>
      </c>
      <c r="I1584" s="40" t="n">
        <v>70.94</v>
      </c>
      <c r="J1584" s="40" t="n">
        <v>0</v>
      </c>
      <c r="K1584" s="6">
        <f>I1584-J1584</f>
        <v/>
      </c>
      <c r="L1584" s="6">
        <f>IF(H1584="DISTRATO",0,I1584)</f>
        <v/>
      </c>
    </row>
    <row r="1585">
      <c r="A1585" s="38" t="inlineStr">
        <is>
          <t>Conta corrente FRUGIS5.XLS</t>
        </is>
      </c>
      <c r="B1585" s="39" t="n">
        <v>40968</v>
      </c>
      <c r="C1585" s="4" t="n">
        <v>40940</v>
      </c>
      <c r="D1585" s="5">
        <f>YEAR(C1585)</f>
        <v/>
      </c>
      <c r="E1585" s="5">
        <f>MONTH(C1585)</f>
        <v/>
      </c>
      <c r="F1585" s="38" t="inlineStr">
        <is>
          <t>NFV  :TENDA ATACADO LTDA</t>
        </is>
      </c>
      <c r="G1585" s="38" t="inlineStr">
        <is>
          <t>MARIO FRUGIS (01.04.01)</t>
        </is>
      </c>
      <c r="H1585" s="38" t="inlineStr">
        <is>
          <t>NFV</t>
        </is>
      </c>
      <c r="I1585" s="40" t="n">
        <v>62.38</v>
      </c>
      <c r="J1585" s="40" t="n">
        <v>0</v>
      </c>
      <c r="K1585" s="6">
        <f>I1585-J1585</f>
        <v/>
      </c>
      <c r="L1585" s="6">
        <f>IF(H1585="DISTRATO",0,I1585)</f>
        <v/>
      </c>
    </row>
    <row r="1586">
      <c r="A1586" s="38" t="inlineStr">
        <is>
          <t>Conta corrente FRUGIS5.XLS</t>
        </is>
      </c>
      <c r="B1586" s="39" t="n">
        <v>40968</v>
      </c>
      <c r="C1586" s="4" t="n">
        <v>40940</v>
      </c>
      <c r="D1586" s="5">
        <f>YEAR(C1586)</f>
        <v/>
      </c>
      <c r="E1586" s="5">
        <f>MONTH(C1586)</f>
        <v/>
      </c>
      <c r="F1586" s="38" t="inlineStr">
        <is>
          <t>NFV  :TENDA ATACADO LTDA</t>
        </is>
      </c>
      <c r="G1586" s="38" t="inlineStr">
        <is>
          <t>MARIO FRUGIS (01.04.01)</t>
        </is>
      </c>
      <c r="H1586" s="38" t="inlineStr">
        <is>
          <t>NFV</t>
        </is>
      </c>
      <c r="I1586" s="40" t="n">
        <v>122.13</v>
      </c>
      <c r="J1586" s="40" t="n">
        <v>0</v>
      </c>
      <c r="K1586" s="6">
        <f>I1586-J1586</f>
        <v/>
      </c>
      <c r="L1586" s="6">
        <f>IF(H1586="DISTRATO",0,I1586)</f>
        <v/>
      </c>
    </row>
    <row r="1587">
      <c r="A1587" s="38" t="inlineStr">
        <is>
          <t>Conta corrente FRUGIS5.XLS</t>
        </is>
      </c>
      <c r="B1587" s="39" t="n">
        <v>40968</v>
      </c>
      <c r="C1587" s="4" t="n">
        <v>40940</v>
      </c>
      <c r="D1587" s="5">
        <f>YEAR(C1587)</f>
        <v/>
      </c>
      <c r="E1587" s="5">
        <f>MONTH(C1587)</f>
        <v/>
      </c>
      <c r="F1587" s="38" t="inlineStr">
        <is>
          <t>NFV  :TENDA ATACADO LTDA</t>
        </is>
      </c>
      <c r="G1587" s="38" t="inlineStr">
        <is>
          <t>MARIO FRUGIS (01.04.01)</t>
        </is>
      </c>
      <c r="H1587" s="38" t="inlineStr">
        <is>
          <t>NFV</t>
        </is>
      </c>
      <c r="I1587" s="40" t="n">
        <v>16.66</v>
      </c>
      <c r="J1587" s="40" t="n">
        <v>0</v>
      </c>
      <c r="K1587" s="6">
        <f>I1587-J1587</f>
        <v/>
      </c>
      <c r="L1587" s="6">
        <f>IF(H1587="DISTRATO",0,I1587)</f>
        <v/>
      </c>
    </row>
    <row r="1588">
      <c r="A1588" s="38" t="inlineStr">
        <is>
          <t>Conta corrente FRUGIS5.XLS</t>
        </is>
      </c>
      <c r="B1588" s="39" t="n">
        <v>40968</v>
      </c>
      <c r="C1588" s="4" t="n">
        <v>40940</v>
      </c>
      <c r="D1588" s="5">
        <f>YEAR(C1588)</f>
        <v/>
      </c>
      <c r="E1588" s="5">
        <f>MONTH(C1588)</f>
        <v/>
      </c>
      <c r="F1588" s="38" t="inlineStr">
        <is>
          <t>NFV  :TENDA ATACADO LTDA</t>
        </is>
      </c>
      <c r="G1588" s="38" t="inlineStr">
        <is>
          <t>MARIO FRUGIS (01.04.01)</t>
        </is>
      </c>
      <c r="H1588" s="38" t="inlineStr">
        <is>
          <t>NFV</t>
        </is>
      </c>
      <c r="I1588" s="40" t="n">
        <v>86.23999999999999</v>
      </c>
      <c r="J1588" s="40" t="n">
        <v>0</v>
      </c>
      <c r="K1588" s="6">
        <f>I1588-J1588</f>
        <v/>
      </c>
      <c r="L1588" s="6">
        <f>IF(H1588="DISTRATO",0,I1588)</f>
        <v/>
      </c>
    </row>
    <row r="1589">
      <c r="A1589" s="38" t="inlineStr">
        <is>
          <t>Conta corrente FRUGIS5.XLS</t>
        </is>
      </c>
      <c r="B1589" s="39" t="n">
        <v>40980</v>
      </c>
      <c r="C1589" s="4" t="n">
        <v>40969</v>
      </c>
      <c r="D1589" s="5">
        <f>YEAR(C1589)</f>
        <v/>
      </c>
      <c r="E1589" s="5">
        <f>MONTH(C1589)</f>
        <v/>
      </c>
      <c r="F1589" s="38" t="inlineStr">
        <is>
          <t>DEV  :TENDA ATACADO LTDA</t>
        </is>
      </c>
      <c r="G1589" s="38" t="inlineStr">
        <is>
          <t>MARIO FRUGIS (01.04.01)</t>
        </is>
      </c>
      <c r="H1589" s="38" t="inlineStr">
        <is>
          <t>DEVOLUCAO</t>
        </is>
      </c>
      <c r="I1589" s="40" t="n">
        <v>-10.27</v>
      </c>
      <c r="J1589" s="40" t="n">
        <v>0</v>
      </c>
      <c r="K1589" s="6">
        <f>I1589-J1589</f>
        <v/>
      </c>
      <c r="L1589" s="6">
        <f>IF(H1589="DISTRATO",0,I1589)</f>
        <v/>
      </c>
    </row>
    <row r="1590">
      <c r="A1590" s="38" t="inlineStr">
        <is>
          <t>Conta corrente FRUGIS5.XLS</t>
        </is>
      </c>
      <c r="B1590" s="39" t="n">
        <v>40981</v>
      </c>
      <c r="C1590" s="4" t="n">
        <v>40969</v>
      </c>
      <c r="D1590" s="5">
        <f>YEAR(C1590)</f>
        <v/>
      </c>
      <c r="E1590" s="5">
        <f>MONTH(C1590)</f>
        <v/>
      </c>
      <c r="F1590" s="38" t="inlineStr">
        <is>
          <t>DEV  :TENDA ATACADO LTDA</t>
        </is>
      </c>
      <c r="G1590" s="38" t="inlineStr">
        <is>
          <t>MARIO FRUGIS (01.04.01)</t>
        </is>
      </c>
      <c r="H1590" s="38" t="inlineStr">
        <is>
          <t>DEVOLUCAO</t>
        </is>
      </c>
      <c r="I1590" s="40" t="n">
        <v>-0.89</v>
      </c>
      <c r="J1590" s="40" t="n">
        <v>0</v>
      </c>
      <c r="K1590" s="6">
        <f>I1590-J1590</f>
        <v/>
      </c>
      <c r="L1590" s="6">
        <f>IF(H1590="DISTRATO",0,I1590)</f>
        <v/>
      </c>
    </row>
    <row r="1591">
      <c r="A1591" s="38" t="inlineStr">
        <is>
          <t>Conta corrente FRUGIS5.XLS</t>
        </is>
      </c>
      <c r="B1591" s="39" t="n">
        <v>40981</v>
      </c>
      <c r="C1591" s="4" t="n">
        <v>40969</v>
      </c>
      <c r="D1591" s="5">
        <f>YEAR(C1591)</f>
        <v/>
      </c>
      <c r="E1591" s="5">
        <f>MONTH(C1591)</f>
        <v/>
      </c>
      <c r="F1591" s="38" t="inlineStr">
        <is>
          <t>DEV  :TENDA ATACADO LTDA</t>
        </is>
      </c>
      <c r="G1591" s="38" t="inlineStr">
        <is>
          <t>MARIO FRUGIS (01.04.01)</t>
        </is>
      </c>
      <c r="H1591" s="38" t="inlineStr">
        <is>
          <t>DEVOLUCAO</t>
        </is>
      </c>
      <c r="I1591" s="40" t="n">
        <v>-0.89</v>
      </c>
      <c r="J1591" s="40" t="n">
        <v>0</v>
      </c>
      <c r="K1591" s="6">
        <f>I1591-J1591</f>
        <v/>
      </c>
      <c r="L1591" s="6">
        <f>IF(H1591="DISTRATO",0,I1591)</f>
        <v/>
      </c>
    </row>
    <row r="1592">
      <c r="A1592" s="38" t="inlineStr">
        <is>
          <t>Conta corrente FRUGIS5.XLS</t>
        </is>
      </c>
      <c r="B1592" s="39" t="n">
        <v>40981</v>
      </c>
      <c r="C1592" s="4" t="n">
        <v>40969</v>
      </c>
      <c r="D1592" s="5">
        <f>YEAR(C1592)</f>
        <v/>
      </c>
      <c r="E1592" s="5">
        <f>MONTH(C1592)</f>
        <v/>
      </c>
      <c r="F1592" s="38" t="inlineStr">
        <is>
          <t>DEV  :TENDA ATACADO LTDA</t>
        </is>
      </c>
      <c r="G1592" s="38" t="inlineStr">
        <is>
          <t>MARIO FRUGIS (01.04.01)</t>
        </is>
      </c>
      <c r="H1592" s="38" t="inlineStr">
        <is>
          <t>DEVOLUCAO</t>
        </is>
      </c>
      <c r="I1592" s="40" t="n">
        <v>-1.9</v>
      </c>
      <c r="J1592" s="40" t="n">
        <v>0</v>
      </c>
      <c r="K1592" s="6">
        <f>I1592-J1592</f>
        <v/>
      </c>
      <c r="L1592" s="6">
        <f>IF(H1592="DISTRATO",0,I1592)</f>
        <v/>
      </c>
    </row>
    <row r="1593">
      <c r="A1593" s="38" t="inlineStr">
        <is>
          <t>Conta corrente FRUGIS5.XLS</t>
        </is>
      </c>
      <c r="B1593" s="39" t="n">
        <v>40981</v>
      </c>
      <c r="C1593" s="4" t="n">
        <v>40969</v>
      </c>
      <c r="D1593" s="5">
        <f>YEAR(C1593)</f>
        <v/>
      </c>
      <c r="E1593" s="5">
        <f>MONTH(C1593)</f>
        <v/>
      </c>
      <c r="F1593" s="38" t="inlineStr">
        <is>
          <t>DEV  :TENDA ATACADO LTDA</t>
        </is>
      </c>
      <c r="G1593" s="38" t="inlineStr">
        <is>
          <t>MARIO FRUGIS (01.04.01)</t>
        </is>
      </c>
      <c r="H1593" s="38" t="inlineStr">
        <is>
          <t>DEVOLUCAO</t>
        </is>
      </c>
      <c r="I1593" s="40" t="n">
        <v>-0.54</v>
      </c>
      <c r="J1593" s="40" t="n">
        <v>0</v>
      </c>
      <c r="K1593" s="6">
        <f>I1593-J1593</f>
        <v/>
      </c>
      <c r="L1593" s="6">
        <f>IF(H1593="DISTRATO",0,I1593)</f>
        <v/>
      </c>
    </row>
    <row r="1594">
      <c r="A1594" s="38" t="inlineStr">
        <is>
          <t>Conta corrente FRUGIS5.XLS</t>
        </is>
      </c>
      <c r="B1594" s="39" t="n">
        <v>40992</v>
      </c>
      <c r="C1594" s="4" t="n">
        <v>40969</v>
      </c>
      <c r="D1594" s="5">
        <f>YEAR(C1594)</f>
        <v/>
      </c>
      <c r="E1594" s="5">
        <f>MONTH(C1594)</f>
        <v/>
      </c>
      <c r="F1594" s="38" t="inlineStr">
        <is>
          <t>NFV  :TENDA ATACADO LTDA</t>
        </is>
      </c>
      <c r="G1594" s="38" t="inlineStr">
        <is>
          <t>MARIO FRUGIS (01.04.01)</t>
        </is>
      </c>
      <c r="H1594" s="38" t="inlineStr">
        <is>
          <t>NFV</t>
        </is>
      </c>
      <c r="I1594" s="40" t="n">
        <v>81.3</v>
      </c>
      <c r="J1594" s="40" t="n">
        <v>0</v>
      </c>
      <c r="K1594" s="6">
        <f>I1594-J1594</f>
        <v/>
      </c>
      <c r="L1594" s="6">
        <f>IF(H1594="DISTRATO",0,I1594)</f>
        <v/>
      </c>
    </row>
    <row r="1595">
      <c r="A1595" s="38" t="inlineStr">
        <is>
          <t>Conta corrente FRUGIS5.XLS</t>
        </is>
      </c>
      <c r="B1595" s="39" t="n">
        <v>40994</v>
      </c>
      <c r="C1595" s="4" t="n">
        <v>40969</v>
      </c>
      <c r="D1595" s="5">
        <f>YEAR(C1595)</f>
        <v/>
      </c>
      <c r="E1595" s="5">
        <f>MONTH(C1595)</f>
        <v/>
      </c>
      <c r="F1595" s="38" t="inlineStr">
        <is>
          <t>NFV  :TENDA ATACADO LTDA</t>
        </is>
      </c>
      <c r="G1595" s="38" t="inlineStr">
        <is>
          <t>MARIO FRUGIS (01.04.01)</t>
        </is>
      </c>
      <c r="H1595" s="38" t="inlineStr">
        <is>
          <t>NFV</t>
        </is>
      </c>
      <c r="I1595" s="40" t="n">
        <v>168.08</v>
      </c>
      <c r="J1595" s="40" t="n">
        <v>0</v>
      </c>
      <c r="K1595" s="6">
        <f>I1595-J1595</f>
        <v/>
      </c>
      <c r="L1595" s="6">
        <f>IF(H1595="DISTRATO",0,I1595)</f>
        <v/>
      </c>
    </row>
    <row r="1596">
      <c r="A1596" s="38" t="inlineStr">
        <is>
          <t>Conta corrente FRUGIS5.XLS</t>
        </is>
      </c>
      <c r="B1596" s="39" t="n">
        <v>40994</v>
      </c>
      <c r="C1596" s="4" t="n">
        <v>40969</v>
      </c>
      <c r="D1596" s="5">
        <f>YEAR(C1596)</f>
        <v/>
      </c>
      <c r="E1596" s="5">
        <f>MONTH(C1596)</f>
        <v/>
      </c>
      <c r="F1596" s="38" t="inlineStr">
        <is>
          <t>NFV  :TENDA ATACADO LTDA</t>
        </is>
      </c>
      <c r="G1596" s="38" t="inlineStr">
        <is>
          <t>MARIO FRUGIS (01.04.01)</t>
        </is>
      </c>
      <c r="H1596" s="38" t="inlineStr">
        <is>
          <t>NFV</t>
        </is>
      </c>
      <c r="I1596" s="40" t="n">
        <v>146.48</v>
      </c>
      <c r="J1596" s="40" t="n">
        <v>0</v>
      </c>
      <c r="K1596" s="6">
        <f>I1596-J1596</f>
        <v/>
      </c>
      <c r="L1596" s="6">
        <f>IF(H1596="DISTRATO",0,I1596)</f>
        <v/>
      </c>
    </row>
    <row r="1597">
      <c r="A1597" s="38" t="inlineStr">
        <is>
          <t>Conta corrente FRUGIS5.XLS</t>
        </is>
      </c>
      <c r="B1597" s="39" t="n">
        <v>40994</v>
      </c>
      <c r="C1597" s="4" t="n">
        <v>40969</v>
      </c>
      <c r="D1597" s="5">
        <f>YEAR(C1597)</f>
        <v/>
      </c>
      <c r="E1597" s="5">
        <f>MONTH(C1597)</f>
        <v/>
      </c>
      <c r="F1597" s="38" t="inlineStr">
        <is>
          <t>NFV  :TENDA ATACADO LTDA</t>
        </is>
      </c>
      <c r="G1597" s="38" t="inlineStr">
        <is>
          <t>MARIO FRUGIS (01.04.01)</t>
        </is>
      </c>
      <c r="H1597" s="38" t="inlineStr">
        <is>
          <t>NFV</t>
        </is>
      </c>
      <c r="I1597" s="40" t="n">
        <v>178.3</v>
      </c>
      <c r="J1597" s="40" t="n">
        <v>0</v>
      </c>
      <c r="K1597" s="6">
        <f>I1597-J1597</f>
        <v/>
      </c>
      <c r="L1597" s="6">
        <f>IF(H1597="DISTRATO",0,I1597)</f>
        <v/>
      </c>
    </row>
    <row r="1598">
      <c r="A1598" s="38" t="inlineStr">
        <is>
          <t>Conta corrente FRUGIS5.XLS</t>
        </is>
      </c>
      <c r="B1598" s="39" t="n">
        <v>40994</v>
      </c>
      <c r="C1598" s="4" t="n">
        <v>40969</v>
      </c>
      <c r="D1598" s="5">
        <f>YEAR(C1598)</f>
        <v/>
      </c>
      <c r="E1598" s="5">
        <f>MONTH(C1598)</f>
        <v/>
      </c>
      <c r="F1598" s="38" t="inlineStr">
        <is>
          <t>NFV  :TENDA ATACADO LTDA</t>
        </is>
      </c>
      <c r="G1598" s="38" t="inlineStr">
        <is>
          <t>MARIO FRUGIS (01.04.01)</t>
        </is>
      </c>
      <c r="H1598" s="38" t="inlineStr">
        <is>
          <t>NFV</t>
        </is>
      </c>
      <c r="I1598" s="40" t="n">
        <v>104.21</v>
      </c>
      <c r="J1598" s="40" t="n">
        <v>0</v>
      </c>
      <c r="K1598" s="6">
        <f>I1598-J1598</f>
        <v/>
      </c>
      <c r="L1598" s="6">
        <f>IF(H1598="DISTRATO",0,I1598)</f>
        <v/>
      </c>
    </row>
    <row r="1599">
      <c r="A1599" s="38" t="inlineStr">
        <is>
          <t>Conta corrente FRUGIS5.XLS</t>
        </is>
      </c>
      <c r="B1599" s="39" t="n">
        <v>40994</v>
      </c>
      <c r="C1599" s="4" t="n">
        <v>40969</v>
      </c>
      <c r="D1599" s="5">
        <f>YEAR(C1599)</f>
        <v/>
      </c>
      <c r="E1599" s="5">
        <f>MONTH(C1599)</f>
        <v/>
      </c>
      <c r="F1599" s="38" t="inlineStr">
        <is>
          <t>NFV  :TENDA ATACADO LTDA</t>
        </is>
      </c>
      <c r="G1599" s="38" t="inlineStr">
        <is>
          <t>MARIO FRUGIS (01.04.01)</t>
        </is>
      </c>
      <c r="H1599" s="38" t="inlineStr">
        <is>
          <t>NFV</t>
        </is>
      </c>
      <c r="I1599" s="40" t="n">
        <v>121.45</v>
      </c>
      <c r="J1599" s="40" t="n">
        <v>0</v>
      </c>
      <c r="K1599" s="6">
        <f>I1599-J1599</f>
        <v/>
      </c>
      <c r="L1599" s="6">
        <f>IF(H1599="DISTRATO",0,I1599)</f>
        <v/>
      </c>
    </row>
    <row r="1600">
      <c r="A1600" s="38" t="inlineStr">
        <is>
          <t>Conta corrente FRUGIS5.XLS</t>
        </is>
      </c>
      <c r="B1600" s="39" t="n">
        <v>40994</v>
      </c>
      <c r="C1600" s="4" t="n">
        <v>40969</v>
      </c>
      <c r="D1600" s="5">
        <f>YEAR(C1600)</f>
        <v/>
      </c>
      <c r="E1600" s="5">
        <f>MONTH(C1600)</f>
        <v/>
      </c>
      <c r="F1600" s="38" t="inlineStr">
        <is>
          <t>NFV  :TENDA ATACADO LTDA</t>
        </is>
      </c>
      <c r="G1600" s="38" t="inlineStr">
        <is>
          <t>MARIO FRUGIS (01.04.01)</t>
        </is>
      </c>
      <c r="H1600" s="38" t="inlineStr">
        <is>
          <t>NFV</t>
        </is>
      </c>
      <c r="I1600" s="40" t="n">
        <v>76.48</v>
      </c>
      <c r="J1600" s="40" t="n">
        <v>0</v>
      </c>
      <c r="K1600" s="6">
        <f>I1600-J1600</f>
        <v/>
      </c>
      <c r="L1600" s="6">
        <f>IF(H1600="DISTRATO",0,I1600)</f>
        <v/>
      </c>
    </row>
    <row r="1601">
      <c r="A1601" s="38" t="inlineStr">
        <is>
          <t>Conta corrente FRUGIS5.XLS</t>
        </is>
      </c>
      <c r="B1601" s="39" t="n">
        <v>40994</v>
      </c>
      <c r="C1601" s="4" t="n">
        <v>40969</v>
      </c>
      <c r="D1601" s="5">
        <f>YEAR(C1601)</f>
        <v/>
      </c>
      <c r="E1601" s="5">
        <f>MONTH(C1601)</f>
        <v/>
      </c>
      <c r="F1601" s="38" t="inlineStr">
        <is>
          <t>NFV  :TENDA ATACADO LTDA</t>
        </is>
      </c>
      <c r="G1601" s="38" t="inlineStr">
        <is>
          <t>MARIO FRUGIS (01.04.01)</t>
        </is>
      </c>
      <c r="H1601" s="38" t="inlineStr">
        <is>
          <t>NFV</t>
        </is>
      </c>
      <c r="I1601" s="40" t="n">
        <v>90.40000000000001</v>
      </c>
      <c r="J1601" s="40" t="n">
        <v>0</v>
      </c>
      <c r="K1601" s="6">
        <f>I1601-J1601</f>
        <v/>
      </c>
      <c r="L1601" s="6">
        <f>IF(H1601="DISTRATO",0,I1601)</f>
        <v/>
      </c>
    </row>
    <row r="1602">
      <c r="A1602" s="38" t="inlineStr">
        <is>
          <t>Conta corrente FRUGIS5.XLS</t>
        </is>
      </c>
      <c r="B1602" s="39" t="n">
        <v>40994</v>
      </c>
      <c r="C1602" s="4" t="n">
        <v>40969</v>
      </c>
      <c r="D1602" s="5">
        <f>YEAR(C1602)</f>
        <v/>
      </c>
      <c r="E1602" s="5">
        <f>MONTH(C1602)</f>
        <v/>
      </c>
      <c r="F1602" s="38" t="inlineStr">
        <is>
          <t>NFV  :TENDA ATACADO LTDA</t>
        </is>
      </c>
      <c r="G1602" s="38" t="inlineStr">
        <is>
          <t>MARIO FRUGIS (01.04.01)</t>
        </is>
      </c>
      <c r="H1602" s="38" t="inlineStr">
        <is>
          <t>NFV</t>
        </is>
      </c>
      <c r="I1602" s="40" t="n">
        <v>31.46</v>
      </c>
      <c r="J1602" s="40" t="n">
        <v>0</v>
      </c>
      <c r="K1602" s="6">
        <f>I1602-J1602</f>
        <v/>
      </c>
      <c r="L1602" s="6">
        <f>IF(H1602="DISTRATO",0,I1602)</f>
        <v/>
      </c>
    </row>
    <row r="1603">
      <c r="A1603" s="38" t="inlineStr">
        <is>
          <t>Conta corrente FRUGIS5.XLS</t>
        </is>
      </c>
      <c r="B1603" s="39" t="n">
        <v>40994</v>
      </c>
      <c r="C1603" s="4" t="n">
        <v>40969</v>
      </c>
      <c r="D1603" s="5">
        <f>YEAR(C1603)</f>
        <v/>
      </c>
      <c r="E1603" s="5">
        <f>MONTH(C1603)</f>
        <v/>
      </c>
      <c r="F1603" s="38" t="inlineStr">
        <is>
          <t>NFV  :TENDA ATACADO LTDA</t>
        </is>
      </c>
      <c r="G1603" s="38" t="inlineStr">
        <is>
          <t>MARIO FRUGIS (01.04.01)</t>
        </is>
      </c>
      <c r="H1603" s="38" t="inlineStr">
        <is>
          <t>NFV</t>
        </is>
      </c>
      <c r="I1603" s="40" t="n">
        <v>87.92</v>
      </c>
      <c r="J1603" s="40" t="n">
        <v>0</v>
      </c>
      <c r="K1603" s="6">
        <f>I1603-J1603</f>
        <v/>
      </c>
      <c r="L1603" s="6">
        <f>IF(H1603="DISTRATO",0,I1603)</f>
        <v/>
      </c>
    </row>
    <row r="1604">
      <c r="A1604" s="38" t="inlineStr">
        <is>
          <t>Conta corrente FRUGIS5.XLS</t>
        </is>
      </c>
      <c r="B1604" s="39" t="n">
        <v>40994</v>
      </c>
      <c r="C1604" s="4" t="n">
        <v>40969</v>
      </c>
      <c r="D1604" s="5">
        <f>YEAR(C1604)</f>
        <v/>
      </c>
      <c r="E1604" s="5">
        <f>MONTH(C1604)</f>
        <v/>
      </c>
      <c r="F1604" s="38" t="inlineStr">
        <is>
          <t>NFV  :TENDA ATACADO LTDA</t>
        </is>
      </c>
      <c r="G1604" s="38" t="inlineStr">
        <is>
          <t>MARIO FRUGIS (01.04.01)</t>
        </is>
      </c>
      <c r="H1604" s="38" t="inlineStr">
        <is>
          <t>NFV</t>
        </is>
      </c>
      <c r="I1604" s="40" t="n">
        <v>178.5</v>
      </c>
      <c r="J1604" s="40" t="n">
        <v>0</v>
      </c>
      <c r="K1604" s="6">
        <f>I1604-J1604</f>
        <v/>
      </c>
      <c r="L1604" s="6">
        <f>IF(H1604="DISTRATO",0,I1604)</f>
        <v/>
      </c>
    </row>
    <row r="1605">
      <c r="A1605" s="38" t="inlineStr">
        <is>
          <t>Conta corrente FRUGIS5.XLS</t>
        </is>
      </c>
      <c r="B1605" s="39" t="n">
        <v>40994</v>
      </c>
      <c r="C1605" s="4" t="n">
        <v>40969</v>
      </c>
      <c r="D1605" s="5">
        <f>YEAR(C1605)</f>
        <v/>
      </c>
      <c r="E1605" s="5">
        <f>MONTH(C1605)</f>
        <v/>
      </c>
      <c r="F1605" s="38" t="inlineStr">
        <is>
          <t>NFV  :TENDA ATACADO LTDA</t>
        </is>
      </c>
      <c r="G1605" s="38" t="inlineStr">
        <is>
          <t>MARIO FRUGIS (01.04.01)</t>
        </is>
      </c>
      <c r="H1605" s="38" t="inlineStr">
        <is>
          <t>NFV</t>
        </is>
      </c>
      <c r="I1605" s="40" t="n">
        <v>175.93</v>
      </c>
      <c r="J1605" s="40" t="n">
        <v>0</v>
      </c>
      <c r="K1605" s="6">
        <f>I1605-J1605</f>
        <v/>
      </c>
      <c r="L1605" s="6">
        <f>IF(H1605="DISTRATO",0,I1605)</f>
        <v/>
      </c>
    </row>
    <row r="1606">
      <c r="A1606" s="38" t="inlineStr">
        <is>
          <t>Conta corrente FRUGIS5.XLS</t>
        </is>
      </c>
      <c r="B1606" s="39" t="n">
        <v>40994</v>
      </c>
      <c r="C1606" s="4" t="n">
        <v>40969</v>
      </c>
      <c r="D1606" s="5">
        <f>YEAR(C1606)</f>
        <v/>
      </c>
      <c r="E1606" s="5">
        <f>MONTH(C1606)</f>
        <v/>
      </c>
      <c r="F1606" s="38" t="inlineStr">
        <is>
          <t>NFV  :TENDA ATACADO LTDA</t>
        </is>
      </c>
      <c r="G1606" s="38" t="inlineStr">
        <is>
          <t>MARIO FRUGIS (01.04.01)</t>
        </is>
      </c>
      <c r="H1606" s="38" t="inlineStr">
        <is>
          <t>NFV</t>
        </is>
      </c>
      <c r="I1606" s="40" t="n">
        <v>185.92</v>
      </c>
      <c r="J1606" s="40" t="n">
        <v>0</v>
      </c>
      <c r="K1606" s="6">
        <f>I1606-J1606</f>
        <v/>
      </c>
      <c r="L1606" s="6">
        <f>IF(H1606="DISTRATO",0,I1606)</f>
        <v/>
      </c>
    </row>
    <row r="1607">
      <c r="A1607" s="38" t="inlineStr">
        <is>
          <t>Conta corrente FRUGIS5.XLS</t>
        </is>
      </c>
      <c r="B1607" s="39" t="n">
        <v>40996</v>
      </c>
      <c r="C1607" s="4" t="n">
        <v>40969</v>
      </c>
      <c r="D1607" s="5">
        <f>YEAR(C1607)</f>
        <v/>
      </c>
      <c r="E1607" s="5">
        <f>MONTH(C1607)</f>
        <v/>
      </c>
      <c r="F1607" s="38" t="inlineStr">
        <is>
          <t>NFV  :TENDA ATACADO LTDA</t>
        </is>
      </c>
      <c r="G1607" s="38" t="inlineStr">
        <is>
          <t>MARIO FRUGIS (01.04.01)</t>
        </is>
      </c>
      <c r="H1607" s="38" t="inlineStr">
        <is>
          <t>NFV</t>
        </is>
      </c>
      <c r="I1607" s="40" t="n">
        <v>182.23</v>
      </c>
      <c r="J1607" s="40" t="n">
        <v>0</v>
      </c>
      <c r="K1607" s="6">
        <f>I1607-J1607</f>
        <v/>
      </c>
      <c r="L1607" s="6">
        <f>IF(H1607="DISTRATO",0,I1607)</f>
        <v/>
      </c>
    </row>
    <row r="1608">
      <c r="A1608" s="38" t="inlineStr">
        <is>
          <t>Conta corrente FRUGIS5.XLS</t>
        </is>
      </c>
      <c r="B1608" s="39" t="n">
        <v>40996</v>
      </c>
      <c r="C1608" s="4" t="n">
        <v>40969</v>
      </c>
      <c r="D1608" s="5">
        <f>YEAR(C1608)</f>
        <v/>
      </c>
      <c r="E1608" s="5">
        <f>MONTH(C1608)</f>
        <v/>
      </c>
      <c r="F1608" s="38" t="inlineStr">
        <is>
          <t>NFV  :TENDA ATACADO LTDA</t>
        </is>
      </c>
      <c r="G1608" s="38" t="inlineStr">
        <is>
          <t>MARIO FRUGIS (01.04.01)</t>
        </is>
      </c>
      <c r="H1608" s="38" t="inlineStr">
        <is>
          <t>NFV</t>
        </is>
      </c>
      <c r="I1608" s="40" t="n">
        <v>176.3</v>
      </c>
      <c r="J1608" s="40" t="n">
        <v>0</v>
      </c>
      <c r="K1608" s="6">
        <f>I1608-J1608</f>
        <v/>
      </c>
      <c r="L1608" s="6">
        <f>IF(H1608="DISTRATO",0,I1608)</f>
        <v/>
      </c>
    </row>
    <row r="1609">
      <c r="A1609" s="38" t="inlineStr">
        <is>
          <t>Conta corrente FRUGIS5.XLS</t>
        </is>
      </c>
      <c r="B1609" s="39" t="n">
        <v>40996</v>
      </c>
      <c r="C1609" s="4" t="n">
        <v>40969</v>
      </c>
      <c r="D1609" s="5">
        <f>YEAR(C1609)</f>
        <v/>
      </c>
      <c r="E1609" s="5">
        <f>MONTH(C1609)</f>
        <v/>
      </c>
      <c r="F1609" s="38" t="inlineStr">
        <is>
          <t>NFV  :TENDA ATACADO LTDA</t>
        </is>
      </c>
      <c r="G1609" s="38" t="inlineStr">
        <is>
          <t>MARIO FRUGIS (01.04.01)</t>
        </is>
      </c>
      <c r="H1609" s="38" t="inlineStr">
        <is>
          <t>NFV</t>
        </is>
      </c>
      <c r="I1609" s="40" t="n">
        <v>213.72</v>
      </c>
      <c r="J1609" s="40" t="n">
        <v>0</v>
      </c>
      <c r="K1609" s="6">
        <f>I1609-J1609</f>
        <v/>
      </c>
      <c r="L1609" s="6">
        <f>IF(H1609="DISTRATO",0,I1609)</f>
        <v/>
      </c>
    </row>
    <row r="1610">
      <c r="A1610" s="38" t="inlineStr">
        <is>
          <t>Conta corrente FRUGIS5.XLS</t>
        </is>
      </c>
      <c r="B1610" s="39" t="n">
        <v>40997</v>
      </c>
      <c r="C1610" s="4" t="n">
        <v>40969</v>
      </c>
      <c r="D1610" s="5">
        <f>YEAR(C1610)</f>
        <v/>
      </c>
      <c r="E1610" s="5">
        <f>MONTH(C1610)</f>
        <v/>
      </c>
      <c r="F1610" s="38" t="inlineStr">
        <is>
          <t>BONIF:TENDA ATACADO LTDA</t>
        </is>
      </c>
      <c r="G1610" s="38" t="inlineStr">
        <is>
          <t>MARIO FRUGIS (01.04.01)</t>
        </is>
      </c>
      <c r="H1610" s="38" t="inlineStr">
        <is>
          <t>BONIFICACAO</t>
        </is>
      </c>
      <c r="I1610" s="40" t="n">
        <v>-30.59</v>
      </c>
      <c r="J1610" s="40" t="n">
        <v>0</v>
      </c>
      <c r="K1610" s="6">
        <f>I1610-J1610</f>
        <v/>
      </c>
      <c r="L1610" s="6">
        <f>IF(H1610="DISTRATO",0,I1610)</f>
        <v/>
      </c>
    </row>
    <row r="1611">
      <c r="A1611" s="38" t="inlineStr">
        <is>
          <t>Conta corrente FRUGIS5.XLS</t>
        </is>
      </c>
      <c r="B1611" s="39" t="n">
        <v>40997</v>
      </c>
      <c r="C1611" s="4" t="n">
        <v>40969</v>
      </c>
      <c r="D1611" s="5">
        <f>YEAR(C1611)</f>
        <v/>
      </c>
      <c r="E1611" s="5">
        <f>MONTH(C1611)</f>
        <v/>
      </c>
      <c r="F1611" s="38" t="inlineStr">
        <is>
          <t>BONIF:TENDA ATACADO LTDA</t>
        </is>
      </c>
      <c r="G1611" s="38" t="inlineStr">
        <is>
          <t>MARIO FRUGIS (01.04.01)</t>
        </is>
      </c>
      <c r="H1611" s="38" t="inlineStr">
        <is>
          <t>BONIFICACAO</t>
        </is>
      </c>
      <c r="I1611" s="40" t="n">
        <v>-30.59</v>
      </c>
      <c r="J1611" s="40" t="n">
        <v>0</v>
      </c>
      <c r="K1611" s="6">
        <f>I1611-J1611</f>
        <v/>
      </c>
      <c r="L1611" s="6">
        <f>IF(H1611="DISTRATO",0,I1611)</f>
        <v/>
      </c>
    </row>
    <row r="1612">
      <c r="A1612" s="38" t="inlineStr">
        <is>
          <t>Conta corrente FRUGIS5.XLS</t>
        </is>
      </c>
      <c r="B1612" s="39" t="n">
        <v>40997</v>
      </c>
      <c r="C1612" s="4" t="n">
        <v>40969</v>
      </c>
      <c r="D1612" s="5">
        <f>YEAR(C1612)</f>
        <v/>
      </c>
      <c r="E1612" s="5">
        <f>MONTH(C1612)</f>
        <v/>
      </c>
      <c r="F1612" s="38" t="inlineStr">
        <is>
          <t>NFV  :TENDA ATACADO LTDA</t>
        </is>
      </c>
      <c r="G1612" s="38" t="inlineStr">
        <is>
          <t>MARIO FRUGIS (01.04.01)</t>
        </is>
      </c>
      <c r="H1612" s="38" t="inlineStr">
        <is>
          <t>NFV</t>
        </is>
      </c>
      <c r="I1612" s="40" t="n">
        <v>136.8</v>
      </c>
      <c r="J1612" s="40" t="n">
        <v>0</v>
      </c>
      <c r="K1612" s="6">
        <f>I1612-J1612</f>
        <v/>
      </c>
      <c r="L1612" s="6">
        <f>IF(H1612="DISTRATO",0,I1612)</f>
        <v/>
      </c>
    </row>
    <row r="1613">
      <c r="A1613" s="38" t="inlineStr">
        <is>
          <t>Conta corrente FRUGIS5.XLS</t>
        </is>
      </c>
      <c r="B1613" s="39" t="n">
        <v>40997</v>
      </c>
      <c r="C1613" s="4" t="n">
        <v>40969</v>
      </c>
      <c r="D1613" s="5">
        <f>YEAR(C1613)</f>
        <v/>
      </c>
      <c r="E1613" s="5">
        <f>MONTH(C1613)</f>
        <v/>
      </c>
      <c r="F1613" s="38" t="inlineStr">
        <is>
          <t>NFV  :TENDA ATACADO LTDA</t>
        </is>
      </c>
      <c r="G1613" s="38" t="inlineStr">
        <is>
          <t>MARIO FRUGIS (01.04.01)</t>
        </is>
      </c>
      <c r="H1613" s="38" t="inlineStr">
        <is>
          <t>NFV</t>
        </is>
      </c>
      <c r="I1613" s="40" t="n">
        <v>109.64</v>
      </c>
      <c r="J1613" s="40" t="n">
        <v>0</v>
      </c>
      <c r="K1613" s="6">
        <f>I1613-J1613</f>
        <v/>
      </c>
      <c r="L1613" s="6">
        <f>IF(H1613="DISTRATO",0,I1613)</f>
        <v/>
      </c>
    </row>
    <row r="1614">
      <c r="A1614" s="38" t="inlineStr">
        <is>
          <t>Conta corrente FRUGIS5.XLS</t>
        </is>
      </c>
      <c r="B1614" s="39" t="n">
        <v>40998</v>
      </c>
      <c r="C1614" s="4" t="n">
        <v>40969</v>
      </c>
      <c r="D1614" s="5">
        <f>YEAR(C1614)</f>
        <v/>
      </c>
      <c r="E1614" s="5">
        <f>MONTH(C1614)</f>
        <v/>
      </c>
      <c r="F1614" s="38" t="inlineStr">
        <is>
          <t>NFV  :TENDA ATACADO LTDA</t>
        </is>
      </c>
      <c r="G1614" s="38" t="inlineStr">
        <is>
          <t>MARIO FRUGIS (01.04.01)</t>
        </is>
      </c>
      <c r="H1614" s="38" t="inlineStr">
        <is>
          <t>NFV</t>
        </is>
      </c>
      <c r="I1614" s="40" t="n">
        <v>171.46</v>
      </c>
      <c r="J1614" s="40" t="n">
        <v>0</v>
      </c>
      <c r="K1614" s="6">
        <f>I1614-J1614</f>
        <v/>
      </c>
      <c r="L1614" s="6">
        <f>IF(H1614="DISTRATO",0,I1614)</f>
        <v/>
      </c>
    </row>
    <row r="1615">
      <c r="A1615" s="38" t="inlineStr">
        <is>
          <t>Conta corrente FRUGIS5.XLS</t>
        </is>
      </c>
      <c r="B1615" s="39" t="n">
        <v>40998</v>
      </c>
      <c r="C1615" s="4" t="n">
        <v>40969</v>
      </c>
      <c r="D1615" s="5">
        <f>YEAR(C1615)</f>
        <v/>
      </c>
      <c r="E1615" s="5">
        <f>MONTH(C1615)</f>
        <v/>
      </c>
      <c r="F1615" s="38" t="inlineStr">
        <is>
          <t>NFV  :TENDA ATACADO LTDA</t>
        </is>
      </c>
      <c r="G1615" s="38" t="inlineStr">
        <is>
          <t>MARIO FRUGIS (01.04.01)</t>
        </is>
      </c>
      <c r="H1615" s="38" t="inlineStr">
        <is>
          <t>NFV</t>
        </is>
      </c>
      <c r="I1615" s="40" t="n">
        <v>68.7</v>
      </c>
      <c r="J1615" s="40" t="n">
        <v>0</v>
      </c>
      <c r="K1615" s="6">
        <f>I1615-J1615</f>
        <v/>
      </c>
      <c r="L1615" s="6">
        <f>IF(H1615="DISTRATO",0,I1615)</f>
        <v/>
      </c>
    </row>
    <row r="1616">
      <c r="A1616" s="38" t="inlineStr">
        <is>
          <t>Conta corrente FRUGIS5.XLS</t>
        </is>
      </c>
      <c r="B1616" s="39" t="n">
        <v>40998</v>
      </c>
      <c r="C1616" s="4" t="n">
        <v>40969</v>
      </c>
      <c r="D1616" s="5">
        <f>YEAR(C1616)</f>
        <v/>
      </c>
      <c r="E1616" s="5">
        <f>MONTH(C1616)</f>
        <v/>
      </c>
      <c r="F1616" s="38" t="inlineStr">
        <is>
          <t>NFV  :TENDA ATACADO LTDA</t>
        </is>
      </c>
      <c r="G1616" s="38" t="inlineStr">
        <is>
          <t>MARIO FRUGIS (01.04.01)</t>
        </is>
      </c>
      <c r="H1616" s="38" t="inlineStr">
        <is>
          <t>NFV</t>
        </is>
      </c>
      <c r="I1616" s="40" t="n">
        <v>81.34999999999999</v>
      </c>
      <c r="J1616" s="40" t="n">
        <v>0</v>
      </c>
      <c r="K1616" s="6">
        <f>I1616-J1616</f>
        <v/>
      </c>
      <c r="L1616" s="6">
        <f>IF(H1616="DISTRATO",0,I1616)</f>
        <v/>
      </c>
    </row>
    <row r="1617">
      <c r="A1617" s="38" t="inlineStr">
        <is>
          <t>Conta corrente FRUGIS5.XLS</t>
        </is>
      </c>
      <c r="B1617" s="39" t="n">
        <v>40999</v>
      </c>
      <c r="C1617" s="4" t="n">
        <v>40969</v>
      </c>
      <c r="D1617" s="5">
        <f>YEAR(C1617)</f>
        <v/>
      </c>
      <c r="E1617" s="5">
        <f>MONTH(C1617)</f>
        <v/>
      </c>
      <c r="F1617" s="38" t="inlineStr">
        <is>
          <t>BONIF:TENDA ATACADO LTDA</t>
        </is>
      </c>
      <c r="G1617" s="38" t="inlineStr">
        <is>
          <t>MARIO FRUGIS (01.04.01)</t>
        </is>
      </c>
      <c r="H1617" s="38" t="inlineStr">
        <is>
          <t>BONIFICACAO</t>
        </is>
      </c>
      <c r="I1617" s="40" t="n">
        <v>-30.59</v>
      </c>
      <c r="J1617" s="40" t="n">
        <v>0</v>
      </c>
      <c r="K1617" s="6">
        <f>I1617-J1617</f>
        <v/>
      </c>
      <c r="L1617" s="6">
        <f>IF(H1617="DISTRATO",0,I1617)</f>
        <v/>
      </c>
    </row>
    <row r="1618">
      <c r="A1618" s="38" t="inlineStr">
        <is>
          <t>Conta corrente FRUGIS5.XLS</t>
        </is>
      </c>
      <c r="B1618" s="39" t="n">
        <v>40999</v>
      </c>
      <c r="C1618" s="4" t="n">
        <v>40969</v>
      </c>
      <c r="D1618" s="5">
        <f>YEAR(C1618)</f>
        <v/>
      </c>
      <c r="E1618" s="5">
        <f>MONTH(C1618)</f>
        <v/>
      </c>
      <c r="F1618" s="38" t="inlineStr">
        <is>
          <t>BONIF:TENDA ATACADO LTDA</t>
        </is>
      </c>
      <c r="G1618" s="38" t="inlineStr">
        <is>
          <t>MARIO FRUGIS (01.04.01)</t>
        </is>
      </c>
      <c r="H1618" s="38" t="inlineStr">
        <is>
          <t>BONIFICACAO</t>
        </is>
      </c>
      <c r="I1618" s="40" t="n">
        <v>-12.37</v>
      </c>
      <c r="J1618" s="40" t="n">
        <v>0</v>
      </c>
      <c r="K1618" s="6">
        <f>I1618-J1618</f>
        <v/>
      </c>
      <c r="L1618" s="6">
        <f>IF(H1618="DISTRATO",0,I1618)</f>
        <v/>
      </c>
    </row>
    <row r="1619">
      <c r="A1619" s="38" t="inlineStr">
        <is>
          <t>Conta corrente FRUGIS5.XLS</t>
        </is>
      </c>
      <c r="B1619" s="39" t="n">
        <v>40999</v>
      </c>
      <c r="C1619" s="4" t="n">
        <v>40969</v>
      </c>
      <c r="D1619" s="5">
        <f>YEAR(C1619)</f>
        <v/>
      </c>
      <c r="E1619" s="5">
        <f>MONTH(C1619)</f>
        <v/>
      </c>
      <c r="F1619" s="38" t="inlineStr">
        <is>
          <t>BONIF:TENDA ATACADO LTDA</t>
        </is>
      </c>
      <c r="G1619" s="38" t="inlineStr">
        <is>
          <t>MARIO FRUGIS (01.04.01)</t>
        </is>
      </c>
      <c r="H1619" s="38" t="inlineStr">
        <is>
          <t>BONIFICACAO</t>
        </is>
      </c>
      <c r="I1619" s="40" t="n">
        <v>-30.59</v>
      </c>
      <c r="J1619" s="40" t="n">
        <v>0</v>
      </c>
      <c r="K1619" s="6">
        <f>I1619-J1619</f>
        <v/>
      </c>
      <c r="L1619" s="6">
        <f>IF(H1619="DISTRATO",0,I1619)</f>
        <v/>
      </c>
    </row>
    <row r="1620">
      <c r="A1620" s="38" t="inlineStr">
        <is>
          <t>Conta corrente FRUGIS5.XLS</t>
        </is>
      </c>
      <c r="B1620" s="39" t="n">
        <v>40999</v>
      </c>
      <c r="C1620" s="4" t="n">
        <v>40969</v>
      </c>
      <c r="D1620" s="5">
        <f>YEAR(C1620)</f>
        <v/>
      </c>
      <c r="E1620" s="5">
        <f>MONTH(C1620)</f>
        <v/>
      </c>
      <c r="F1620" s="38" t="inlineStr">
        <is>
          <t>BONIF:TENDA ATACADO LTDA</t>
        </is>
      </c>
      <c r="G1620" s="38" t="inlineStr">
        <is>
          <t>MARIO FRUGIS (01.04.01)</t>
        </is>
      </c>
      <c r="H1620" s="38" t="inlineStr">
        <is>
          <t>BONIFICACAO</t>
        </is>
      </c>
      <c r="I1620" s="40" t="n">
        <v>-30.59</v>
      </c>
      <c r="J1620" s="40" t="n">
        <v>0</v>
      </c>
      <c r="K1620" s="6">
        <f>I1620-J1620</f>
        <v/>
      </c>
      <c r="L1620" s="6">
        <f>IF(H1620="DISTRATO",0,I1620)</f>
        <v/>
      </c>
    </row>
    <row r="1621">
      <c r="A1621" s="38" t="inlineStr">
        <is>
          <t>Conta corrente FRUGIS5.XLS</t>
        </is>
      </c>
      <c r="B1621" s="39" t="n">
        <v>40999</v>
      </c>
      <c r="C1621" s="4" t="n">
        <v>40969</v>
      </c>
      <c r="D1621" s="5">
        <f>YEAR(C1621)</f>
        <v/>
      </c>
      <c r="E1621" s="5">
        <f>MONTH(C1621)</f>
        <v/>
      </c>
      <c r="F1621" s="38" t="inlineStr">
        <is>
          <t>NFV  :TENDA ATACADO LTDA</t>
        </is>
      </c>
      <c r="G1621" s="38" t="inlineStr">
        <is>
          <t>MARIO FRUGIS (01.04.01)</t>
        </is>
      </c>
      <c r="H1621" s="38" t="inlineStr">
        <is>
          <t>NFV</t>
        </is>
      </c>
      <c r="I1621" s="40" t="n">
        <v>74.38</v>
      </c>
      <c r="J1621" s="40" t="n">
        <v>0</v>
      </c>
      <c r="K1621" s="6">
        <f>I1621-J1621</f>
        <v/>
      </c>
      <c r="L1621" s="6">
        <f>IF(H1621="DISTRATO",0,I1621)</f>
        <v/>
      </c>
    </row>
    <row r="1622">
      <c r="A1622" s="38" t="inlineStr">
        <is>
          <t>Conta corrente FRUGIS5.XLS</t>
        </is>
      </c>
      <c r="B1622" s="39" t="n">
        <v>40999</v>
      </c>
      <c r="C1622" s="4" t="n">
        <v>40969</v>
      </c>
      <c r="D1622" s="5">
        <f>YEAR(C1622)</f>
        <v/>
      </c>
      <c r="E1622" s="5">
        <f>MONTH(C1622)</f>
        <v/>
      </c>
      <c r="F1622" s="38" t="inlineStr">
        <is>
          <t>NFV  :TENDA ATACADO LTDA</t>
        </is>
      </c>
      <c r="G1622" s="38" t="inlineStr">
        <is>
          <t>MARIO FRUGIS (01.04.01)</t>
        </is>
      </c>
      <c r="H1622" s="38" t="inlineStr">
        <is>
          <t>NFV</t>
        </is>
      </c>
      <c r="I1622" s="40" t="n">
        <v>115.41</v>
      </c>
      <c r="J1622" s="40" t="n">
        <v>0</v>
      </c>
      <c r="K1622" s="6">
        <f>I1622-J1622</f>
        <v/>
      </c>
      <c r="L1622" s="6">
        <f>IF(H1622="DISTRATO",0,I1622)</f>
        <v/>
      </c>
    </row>
    <row r="1623">
      <c r="A1623" s="38" t="inlineStr">
        <is>
          <t>Conta corrente FRUGIS5.XLS</t>
        </is>
      </c>
      <c r="B1623" s="39" t="n">
        <v>40999</v>
      </c>
      <c r="C1623" s="4" t="n">
        <v>40969</v>
      </c>
      <c r="D1623" s="5">
        <f>YEAR(C1623)</f>
        <v/>
      </c>
      <c r="E1623" s="5">
        <f>MONTH(C1623)</f>
        <v/>
      </c>
      <c r="F1623" s="38" t="inlineStr">
        <is>
          <t>NFV  :TENDA ATACADO LTDA</t>
        </is>
      </c>
      <c r="G1623" s="38" t="inlineStr">
        <is>
          <t>MARIO FRUGIS (01.04.01)</t>
        </is>
      </c>
      <c r="H1623" s="38" t="inlineStr">
        <is>
          <t>NFV</t>
        </is>
      </c>
      <c r="I1623" s="40" t="n">
        <v>83.91</v>
      </c>
      <c r="J1623" s="40" t="n">
        <v>0</v>
      </c>
      <c r="K1623" s="6">
        <f>I1623-J1623</f>
        <v/>
      </c>
      <c r="L1623" s="6">
        <f>IF(H1623="DISTRATO",0,I1623)</f>
        <v/>
      </c>
    </row>
    <row r="1624">
      <c r="A1624" s="38" t="inlineStr">
        <is>
          <t>Conta corrente FRUGIS5.XLS</t>
        </is>
      </c>
      <c r="B1624" s="39" t="n">
        <v>40999</v>
      </c>
      <c r="C1624" s="4" t="n">
        <v>40969</v>
      </c>
      <c r="D1624" s="5">
        <f>YEAR(C1624)</f>
        <v/>
      </c>
      <c r="E1624" s="5">
        <f>MONTH(C1624)</f>
        <v/>
      </c>
      <c r="F1624" s="38" t="inlineStr">
        <is>
          <t>NFV  :TENDA ATACADO LTDA</t>
        </is>
      </c>
      <c r="G1624" s="38" t="inlineStr">
        <is>
          <t>MARIO FRUGIS (01.04.01)</t>
        </is>
      </c>
      <c r="H1624" s="38" t="inlineStr">
        <is>
          <t>NFV</t>
        </is>
      </c>
      <c r="I1624" s="40" t="n">
        <v>49.85</v>
      </c>
      <c r="J1624" s="40" t="n">
        <v>0</v>
      </c>
      <c r="K1624" s="6">
        <f>I1624-J1624</f>
        <v/>
      </c>
      <c r="L1624" s="6">
        <f>IF(H1624="DISTRATO",0,I1624)</f>
        <v/>
      </c>
    </row>
    <row r="1625">
      <c r="A1625" s="38" t="inlineStr">
        <is>
          <t>Conta corrente FRUGIS5.XLS</t>
        </is>
      </c>
      <c r="B1625" s="39" t="n">
        <v>40999</v>
      </c>
      <c r="C1625" s="4" t="n">
        <v>40969</v>
      </c>
      <c r="D1625" s="5">
        <f>YEAR(C1625)</f>
        <v/>
      </c>
      <c r="E1625" s="5">
        <f>MONTH(C1625)</f>
        <v/>
      </c>
      <c r="F1625" s="38" t="inlineStr">
        <is>
          <t>NFV  :TENDA ATACADO LTDA</t>
        </is>
      </c>
      <c r="G1625" s="38" t="inlineStr">
        <is>
          <t>MARIO FRUGIS (01.04.01)</t>
        </is>
      </c>
      <c r="H1625" s="38" t="inlineStr">
        <is>
          <t>NFV</t>
        </is>
      </c>
      <c r="I1625" s="40" t="n">
        <v>132.43</v>
      </c>
      <c r="J1625" s="40" t="n">
        <v>0</v>
      </c>
      <c r="K1625" s="6">
        <f>I1625-J1625</f>
        <v/>
      </c>
      <c r="L1625" s="6">
        <f>IF(H1625="DISTRATO",0,I1625)</f>
        <v/>
      </c>
    </row>
    <row r="1626">
      <c r="A1626" s="38" t="inlineStr">
        <is>
          <t>Conta corrente FRUGIS5.XLS</t>
        </is>
      </c>
      <c r="B1626" s="39" t="n">
        <v>40999</v>
      </c>
      <c r="C1626" s="4" t="n">
        <v>40969</v>
      </c>
      <c r="D1626" s="5">
        <f>YEAR(C1626)</f>
        <v/>
      </c>
      <c r="E1626" s="5">
        <f>MONTH(C1626)</f>
        <v/>
      </c>
      <c r="F1626" s="38" t="inlineStr">
        <is>
          <t>NFV  :TENDA ATACADO LTDA</t>
        </is>
      </c>
      <c r="G1626" s="38" t="inlineStr">
        <is>
          <t>MARIO FRUGIS (01.04.01)</t>
        </is>
      </c>
      <c r="H1626" s="38" t="inlineStr">
        <is>
          <t>NFV</t>
        </is>
      </c>
      <c r="I1626" s="40" t="n">
        <v>153.82</v>
      </c>
      <c r="J1626" s="40" t="n">
        <v>0</v>
      </c>
      <c r="K1626" s="6">
        <f>I1626-J1626</f>
        <v/>
      </c>
      <c r="L1626" s="6">
        <f>IF(H1626="DISTRATO",0,I1626)</f>
        <v/>
      </c>
    </row>
    <row r="1627">
      <c r="A1627" s="38" t="inlineStr">
        <is>
          <t>Conta corrente FRUGIS5.XLS</t>
        </is>
      </c>
      <c r="B1627" s="39" t="n">
        <v>40999</v>
      </c>
      <c r="C1627" s="4" t="n">
        <v>40969</v>
      </c>
      <c r="D1627" s="5">
        <f>YEAR(C1627)</f>
        <v/>
      </c>
      <c r="E1627" s="5">
        <f>MONTH(C1627)</f>
        <v/>
      </c>
      <c r="F1627" s="38" t="inlineStr">
        <is>
          <t>NFV  :TENDA ATACADO LTDA</t>
        </is>
      </c>
      <c r="G1627" s="38" t="inlineStr">
        <is>
          <t>MARIO FRUGIS (01.04.01)</t>
        </is>
      </c>
      <c r="H1627" s="38" t="inlineStr">
        <is>
          <t>NFV</t>
        </is>
      </c>
      <c r="I1627" s="40" t="n">
        <v>155.04</v>
      </c>
      <c r="J1627" s="40" t="n">
        <v>0</v>
      </c>
      <c r="K1627" s="6">
        <f>I1627-J1627</f>
        <v/>
      </c>
      <c r="L1627" s="6">
        <f>IF(H1627="DISTRATO",0,I1627)</f>
        <v/>
      </c>
    </row>
    <row r="1628">
      <c r="A1628" s="38" t="inlineStr">
        <is>
          <t>Conta corrente FRUGIS5.XLS</t>
        </is>
      </c>
      <c r="B1628" s="39" t="n">
        <v>40999</v>
      </c>
      <c r="C1628" s="4" t="n">
        <v>40969</v>
      </c>
      <c r="D1628" s="5">
        <f>YEAR(C1628)</f>
        <v/>
      </c>
      <c r="E1628" s="5">
        <f>MONTH(C1628)</f>
        <v/>
      </c>
      <c r="F1628" s="38" t="inlineStr">
        <is>
          <t>NFV  :TENDA ATACADO LTDA</t>
        </is>
      </c>
      <c r="G1628" s="38" t="inlineStr">
        <is>
          <t>MARIO FRUGIS (01.04.01)</t>
        </is>
      </c>
      <c r="H1628" s="38" t="inlineStr">
        <is>
          <t>NFV</t>
        </is>
      </c>
      <c r="I1628" s="40" t="n">
        <v>101.53</v>
      </c>
      <c r="J1628" s="40" t="n">
        <v>0</v>
      </c>
      <c r="K1628" s="6">
        <f>I1628-J1628</f>
        <v/>
      </c>
      <c r="L1628" s="6">
        <f>IF(H1628="DISTRATO",0,I1628)</f>
        <v/>
      </c>
    </row>
    <row r="1629">
      <c r="A1629" s="38" t="inlineStr">
        <is>
          <t>Conta corrente FRUGIS5.XLS</t>
        </is>
      </c>
      <c r="B1629" s="39" t="n">
        <v>40999</v>
      </c>
      <c r="C1629" s="4" t="n">
        <v>40969</v>
      </c>
      <c r="D1629" s="5">
        <f>YEAR(C1629)</f>
        <v/>
      </c>
      <c r="E1629" s="5">
        <f>MONTH(C1629)</f>
        <v/>
      </c>
      <c r="F1629" s="38" t="inlineStr">
        <is>
          <t>NFV  :TENDA ATACADO LTDA</t>
        </is>
      </c>
      <c r="G1629" s="38" t="inlineStr">
        <is>
          <t>MARIO FRUGIS (01.04.01)</t>
        </is>
      </c>
      <c r="H1629" s="38" t="inlineStr">
        <is>
          <t>NFV</t>
        </is>
      </c>
      <c r="I1629" s="40" t="n">
        <v>108.43</v>
      </c>
      <c r="J1629" s="40" t="n">
        <v>0</v>
      </c>
      <c r="K1629" s="6">
        <f>I1629-J1629</f>
        <v/>
      </c>
      <c r="L1629" s="6">
        <f>IF(H1629="DISTRATO",0,I1629)</f>
        <v/>
      </c>
    </row>
    <row r="1630">
      <c r="A1630" s="38" t="inlineStr">
        <is>
          <t>Conta corrente FRUGIS5.XLS</t>
        </is>
      </c>
      <c r="B1630" s="39" t="n">
        <v>41010</v>
      </c>
      <c r="C1630" s="4" t="n">
        <v>41000</v>
      </c>
      <c r="D1630" s="5">
        <f>YEAR(C1630)</f>
        <v/>
      </c>
      <c r="E1630" s="5">
        <f>MONTH(C1630)</f>
        <v/>
      </c>
      <c r="F1630" s="38" t="inlineStr">
        <is>
          <t>NFV  :TENDA ATACADO LTDA</t>
        </is>
      </c>
      <c r="G1630" s="38" t="inlineStr">
        <is>
          <t>MARIO FRUGIS (01.04.01)</t>
        </is>
      </c>
      <c r="H1630" s="38" t="inlineStr">
        <is>
          <t>NFV</t>
        </is>
      </c>
      <c r="I1630" s="40" t="n">
        <v>53.43</v>
      </c>
      <c r="J1630" s="40" t="n">
        <v>0</v>
      </c>
      <c r="K1630" s="6">
        <f>I1630-J1630</f>
        <v/>
      </c>
      <c r="L1630" s="6">
        <f>IF(H1630="DISTRATO",0,I1630)</f>
        <v/>
      </c>
    </row>
    <row r="1631">
      <c r="A1631" s="38" t="inlineStr">
        <is>
          <t>Conta corrente FRUGIS5.XLS</t>
        </is>
      </c>
      <c r="B1631" s="39" t="n">
        <v>41010</v>
      </c>
      <c r="C1631" s="4" t="n">
        <v>41000</v>
      </c>
      <c r="D1631" s="5">
        <f>YEAR(C1631)</f>
        <v/>
      </c>
      <c r="E1631" s="5">
        <f>MONTH(C1631)</f>
        <v/>
      </c>
      <c r="F1631" s="38" t="inlineStr">
        <is>
          <t>NFV  :TENDA ATACADO LTDA</t>
        </is>
      </c>
      <c r="G1631" s="38" t="inlineStr">
        <is>
          <t>MARIO FRUGIS (01.04.01)</t>
        </is>
      </c>
      <c r="H1631" s="38" t="inlineStr">
        <is>
          <t>NFV</t>
        </is>
      </c>
      <c r="I1631" s="40" t="n">
        <v>102.6</v>
      </c>
      <c r="J1631" s="40" t="n">
        <v>0</v>
      </c>
      <c r="K1631" s="6">
        <f>I1631-J1631</f>
        <v/>
      </c>
      <c r="L1631" s="6">
        <f>IF(H1631="DISTRATO",0,I1631)</f>
        <v/>
      </c>
    </row>
    <row r="1632">
      <c r="A1632" s="38" t="inlineStr">
        <is>
          <t>Conta corrente FRUGIS5.XLS</t>
        </is>
      </c>
      <c r="B1632" s="39" t="n">
        <v>41010</v>
      </c>
      <c r="C1632" s="4" t="n">
        <v>41000</v>
      </c>
      <c r="D1632" s="5">
        <f>YEAR(C1632)</f>
        <v/>
      </c>
      <c r="E1632" s="5">
        <f>MONTH(C1632)</f>
        <v/>
      </c>
      <c r="F1632" s="38" t="inlineStr">
        <is>
          <t>NFV  :TENDA ATACADO LTDA</t>
        </is>
      </c>
      <c r="G1632" s="38" t="inlineStr">
        <is>
          <t>MARIO FRUGIS (01.04.01)</t>
        </is>
      </c>
      <c r="H1632" s="38" t="inlineStr">
        <is>
          <t>NFV</t>
        </is>
      </c>
      <c r="I1632" s="40" t="n">
        <v>60.95</v>
      </c>
      <c r="J1632" s="40" t="n">
        <v>0</v>
      </c>
      <c r="K1632" s="6">
        <f>I1632-J1632</f>
        <v/>
      </c>
      <c r="L1632" s="6">
        <f>IF(H1632="DISTRATO",0,I1632)</f>
        <v/>
      </c>
    </row>
    <row r="1633">
      <c r="A1633" s="38" t="inlineStr">
        <is>
          <t>Conta corrente FRUGIS5.XLS</t>
        </is>
      </c>
      <c r="B1633" s="39" t="n">
        <v>41010</v>
      </c>
      <c r="C1633" s="4" t="n">
        <v>41000</v>
      </c>
      <c r="D1633" s="5">
        <f>YEAR(C1633)</f>
        <v/>
      </c>
      <c r="E1633" s="5">
        <f>MONTH(C1633)</f>
        <v/>
      </c>
      <c r="F1633" s="38" t="inlineStr">
        <is>
          <t>NFV  :TENDA ATACADO LTDA</t>
        </is>
      </c>
      <c r="G1633" s="38" t="inlineStr">
        <is>
          <t>MARIO FRUGIS (01.04.01)</t>
        </is>
      </c>
      <c r="H1633" s="38" t="inlineStr">
        <is>
          <t>NFV</t>
        </is>
      </c>
      <c r="I1633" s="40" t="n">
        <v>89.93000000000001</v>
      </c>
      <c r="J1633" s="40" t="n">
        <v>0</v>
      </c>
      <c r="K1633" s="6">
        <f>I1633-J1633</f>
        <v/>
      </c>
      <c r="L1633" s="6">
        <f>IF(H1633="DISTRATO",0,I1633)</f>
        <v/>
      </c>
    </row>
    <row r="1634">
      <c r="A1634" s="38" t="inlineStr">
        <is>
          <t>Conta corrente FRUGIS5.XLS</t>
        </is>
      </c>
      <c r="B1634" s="39" t="n">
        <v>41010</v>
      </c>
      <c r="C1634" s="4" t="n">
        <v>41000</v>
      </c>
      <c r="D1634" s="5">
        <f>YEAR(C1634)</f>
        <v/>
      </c>
      <c r="E1634" s="5">
        <f>MONTH(C1634)</f>
        <v/>
      </c>
      <c r="F1634" s="38" t="inlineStr">
        <is>
          <t>NFV  :TENDA ATACADO LTDA</t>
        </is>
      </c>
      <c r="G1634" s="38" t="inlineStr">
        <is>
          <t>MARIO FRUGIS (01.04.01)</t>
        </is>
      </c>
      <c r="H1634" s="38" t="inlineStr">
        <is>
          <t>NFV</t>
        </is>
      </c>
      <c r="I1634" s="40" t="n">
        <v>104.49</v>
      </c>
      <c r="J1634" s="40" t="n">
        <v>0</v>
      </c>
      <c r="K1634" s="6">
        <f>I1634-J1634</f>
        <v/>
      </c>
      <c r="L1634" s="6">
        <f>IF(H1634="DISTRATO",0,I1634)</f>
        <v/>
      </c>
    </row>
    <row r="1635">
      <c r="A1635" s="38" t="inlineStr">
        <is>
          <t>Conta corrente FRUGIS5.XLS</t>
        </is>
      </c>
      <c r="B1635" s="39" t="n">
        <v>41010</v>
      </c>
      <c r="C1635" s="4" t="n">
        <v>41000</v>
      </c>
      <c r="D1635" s="5">
        <f>YEAR(C1635)</f>
        <v/>
      </c>
      <c r="E1635" s="5">
        <f>MONTH(C1635)</f>
        <v/>
      </c>
      <c r="F1635" s="38" t="inlineStr">
        <is>
          <t>NFV  :TENDA ATACADO LTDA</t>
        </is>
      </c>
      <c r="G1635" s="38" t="inlineStr">
        <is>
          <t>MARIO FRUGIS (01.04.01)</t>
        </is>
      </c>
      <c r="H1635" s="38" t="inlineStr">
        <is>
          <t>NFV</t>
        </is>
      </c>
      <c r="I1635" s="40" t="n">
        <v>93.38</v>
      </c>
      <c r="J1635" s="40" t="n">
        <v>0</v>
      </c>
      <c r="K1635" s="6">
        <f>I1635-J1635</f>
        <v/>
      </c>
      <c r="L1635" s="6">
        <f>IF(H1635="DISTRATO",0,I1635)</f>
        <v/>
      </c>
    </row>
    <row r="1636">
      <c r="A1636" s="38" t="inlineStr">
        <is>
          <t>Conta corrente FRUGIS5.XLS</t>
        </is>
      </c>
      <c r="B1636" s="39" t="n">
        <v>41010</v>
      </c>
      <c r="C1636" s="4" t="n">
        <v>41000</v>
      </c>
      <c r="D1636" s="5">
        <f>YEAR(C1636)</f>
        <v/>
      </c>
      <c r="E1636" s="5">
        <f>MONTH(C1636)</f>
        <v/>
      </c>
      <c r="F1636" s="38" t="inlineStr">
        <is>
          <t>NFV  :TENDA ATACADO LTDA</t>
        </is>
      </c>
      <c r="G1636" s="38" t="inlineStr">
        <is>
          <t>MARIO FRUGIS (01.04.01)</t>
        </is>
      </c>
      <c r="H1636" s="38" t="inlineStr">
        <is>
          <t>NFV</t>
        </is>
      </c>
      <c r="I1636" s="40" t="n">
        <v>78.59999999999999</v>
      </c>
      <c r="J1636" s="40" t="n">
        <v>0</v>
      </c>
      <c r="K1636" s="6">
        <f>I1636-J1636</f>
        <v/>
      </c>
      <c r="L1636" s="6">
        <f>IF(H1636="DISTRATO",0,I1636)</f>
        <v/>
      </c>
    </row>
    <row r="1637">
      <c r="A1637" s="38" t="inlineStr">
        <is>
          <t>Conta corrente FRUGIS5.XLS</t>
        </is>
      </c>
      <c r="B1637" s="39" t="n">
        <v>41010</v>
      </c>
      <c r="C1637" s="4" t="n">
        <v>41000</v>
      </c>
      <c r="D1637" s="5">
        <f>YEAR(C1637)</f>
        <v/>
      </c>
      <c r="E1637" s="5">
        <f>MONTH(C1637)</f>
        <v/>
      </c>
      <c r="F1637" s="38" t="inlineStr">
        <is>
          <t>NFV  :TENDA ATACADO LTDA</t>
        </is>
      </c>
      <c r="G1637" s="38" t="inlineStr">
        <is>
          <t>MARIO FRUGIS (01.04.01)</t>
        </is>
      </c>
      <c r="H1637" s="38" t="inlineStr">
        <is>
          <t>NFV</t>
        </is>
      </c>
      <c r="I1637" s="40" t="n">
        <v>57.17</v>
      </c>
      <c r="J1637" s="40" t="n">
        <v>0</v>
      </c>
      <c r="K1637" s="6">
        <f>I1637-J1637</f>
        <v/>
      </c>
      <c r="L1637" s="6">
        <f>IF(H1637="DISTRATO",0,I1637)</f>
        <v/>
      </c>
    </row>
    <row r="1638">
      <c r="A1638" s="38" t="inlineStr">
        <is>
          <t>Conta corrente FRUGIS5.XLS</t>
        </is>
      </c>
      <c r="B1638" s="39" t="n">
        <v>41010</v>
      </c>
      <c r="C1638" s="4" t="n">
        <v>41000</v>
      </c>
      <c r="D1638" s="5">
        <f>YEAR(C1638)</f>
        <v/>
      </c>
      <c r="E1638" s="5">
        <f>MONTH(C1638)</f>
        <v/>
      </c>
      <c r="F1638" s="38" t="inlineStr">
        <is>
          <t>NFV  :TENDA ATACADO LTDA</t>
        </is>
      </c>
      <c r="G1638" s="38" t="inlineStr">
        <is>
          <t>MARIO FRUGIS (01.04.01)</t>
        </is>
      </c>
      <c r="H1638" s="38" t="inlineStr">
        <is>
          <t>NFV</t>
        </is>
      </c>
      <c r="I1638" s="40" t="n">
        <v>94.43000000000001</v>
      </c>
      <c r="J1638" s="40" t="n">
        <v>0</v>
      </c>
      <c r="K1638" s="6">
        <f>I1638-J1638</f>
        <v/>
      </c>
      <c r="L1638" s="6">
        <f>IF(H1638="DISTRATO",0,I1638)</f>
        <v/>
      </c>
    </row>
    <row r="1639">
      <c r="A1639" s="38" t="inlineStr">
        <is>
          <t>Conta corrente FRUGIS5.XLS</t>
        </is>
      </c>
      <c r="B1639" s="39" t="n">
        <v>41011</v>
      </c>
      <c r="C1639" s="4" t="n">
        <v>41000</v>
      </c>
      <c r="D1639" s="5">
        <f>YEAR(C1639)</f>
        <v/>
      </c>
      <c r="E1639" s="5">
        <f>MONTH(C1639)</f>
        <v/>
      </c>
      <c r="F1639" s="38" t="inlineStr">
        <is>
          <t>DEV  :TENDA ATACADO LTDA</t>
        </is>
      </c>
      <c r="G1639" s="38" t="inlineStr">
        <is>
          <t>MARIO FRUGIS (01.04.01)</t>
        </is>
      </c>
      <c r="H1639" s="38" t="inlineStr">
        <is>
          <t>DEVOLUCAO</t>
        </is>
      </c>
      <c r="I1639" s="40" t="n">
        <v>-10.27</v>
      </c>
      <c r="J1639" s="40" t="n">
        <v>0</v>
      </c>
      <c r="K1639" s="6">
        <f>I1639-J1639</f>
        <v/>
      </c>
      <c r="L1639" s="6">
        <f>IF(H1639="DISTRATO",0,I1639)</f>
        <v/>
      </c>
    </row>
    <row r="1640">
      <c r="A1640" s="38" t="inlineStr">
        <is>
          <t>Conta corrente FRUGIS5.XLS</t>
        </is>
      </c>
      <c r="B1640" s="39" t="n">
        <v>41011</v>
      </c>
      <c r="C1640" s="4" t="n">
        <v>41000</v>
      </c>
      <c r="D1640" s="5">
        <f>YEAR(C1640)</f>
        <v/>
      </c>
      <c r="E1640" s="5">
        <f>MONTH(C1640)</f>
        <v/>
      </c>
      <c r="F1640" s="38" t="inlineStr">
        <is>
          <t>NFV  :TENDA ATACADO LTDA</t>
        </is>
      </c>
      <c r="G1640" s="38" t="inlineStr">
        <is>
          <t>MARIO FRUGIS (01.04.01)</t>
        </is>
      </c>
      <c r="H1640" s="38" t="inlineStr">
        <is>
          <t>NFV</t>
        </is>
      </c>
      <c r="I1640" s="40" t="n">
        <v>101.29</v>
      </c>
      <c r="J1640" s="40" t="n">
        <v>0</v>
      </c>
      <c r="K1640" s="6">
        <f>I1640-J1640</f>
        <v/>
      </c>
      <c r="L1640" s="6">
        <f>IF(H1640="DISTRATO",0,I1640)</f>
        <v/>
      </c>
    </row>
    <row r="1641">
      <c r="A1641" s="38" t="inlineStr">
        <is>
          <t>Conta corrente FRUGIS5.XLS</t>
        </is>
      </c>
      <c r="B1641" s="39" t="n">
        <v>41014</v>
      </c>
      <c r="C1641" s="4" t="n">
        <v>41000</v>
      </c>
      <c r="D1641" s="5">
        <f>YEAR(C1641)</f>
        <v/>
      </c>
      <c r="E1641" s="5">
        <f>MONTH(C1641)</f>
        <v/>
      </c>
      <c r="F1641" s="38" t="inlineStr">
        <is>
          <t>NFV  :TENDA ATACADO LTDA</t>
        </is>
      </c>
      <c r="G1641" s="38" t="inlineStr">
        <is>
          <t>MARIO FRUGIS (01.04.01)</t>
        </is>
      </c>
      <c r="H1641" s="38" t="inlineStr">
        <is>
          <t>NFV</t>
        </is>
      </c>
      <c r="I1641" s="40" t="n">
        <v>87.59999999999999</v>
      </c>
      <c r="J1641" s="40" t="n">
        <v>0</v>
      </c>
      <c r="K1641" s="6">
        <f>I1641-J1641</f>
        <v/>
      </c>
      <c r="L1641" s="6">
        <f>IF(H1641="DISTRATO",0,I1641)</f>
        <v/>
      </c>
    </row>
    <row r="1642">
      <c r="A1642" s="38" t="inlineStr">
        <is>
          <t>Conta corrente FRUGIS5.XLS</t>
        </is>
      </c>
      <c r="B1642" s="39" t="n">
        <v>41014</v>
      </c>
      <c r="C1642" s="4" t="n">
        <v>41000</v>
      </c>
      <c r="D1642" s="5">
        <f>YEAR(C1642)</f>
        <v/>
      </c>
      <c r="E1642" s="5">
        <f>MONTH(C1642)</f>
        <v/>
      </c>
      <c r="F1642" s="38" t="inlineStr">
        <is>
          <t>NFV  :TENDA ATACADO LTDA</t>
        </is>
      </c>
      <c r="G1642" s="38" t="inlineStr">
        <is>
          <t>MARIO FRUGIS (01.04.01)</t>
        </is>
      </c>
      <c r="H1642" s="38" t="inlineStr">
        <is>
          <t>NFV</t>
        </is>
      </c>
      <c r="I1642" s="40" t="n">
        <v>159.27</v>
      </c>
      <c r="J1642" s="40" t="n">
        <v>0</v>
      </c>
      <c r="K1642" s="6">
        <f>I1642-J1642</f>
        <v/>
      </c>
      <c r="L1642" s="6">
        <f>IF(H1642="DISTRATO",0,I1642)</f>
        <v/>
      </c>
    </row>
    <row r="1643">
      <c r="A1643" s="38" t="inlineStr">
        <is>
          <t>Conta corrente FRUGIS5.XLS</t>
        </is>
      </c>
      <c r="B1643" s="39" t="n">
        <v>41014</v>
      </c>
      <c r="C1643" s="4" t="n">
        <v>41000</v>
      </c>
      <c r="D1643" s="5">
        <f>YEAR(C1643)</f>
        <v/>
      </c>
      <c r="E1643" s="5">
        <f>MONTH(C1643)</f>
        <v/>
      </c>
      <c r="F1643" s="38" t="inlineStr">
        <is>
          <t>NFV  :TENDA ATACADO LTDA</t>
        </is>
      </c>
      <c r="G1643" s="38" t="inlineStr">
        <is>
          <t>MARIO FRUGIS (01.04.01)</t>
        </is>
      </c>
      <c r="H1643" s="38" t="inlineStr">
        <is>
          <t>NFV</t>
        </is>
      </c>
      <c r="I1643" s="40" t="n">
        <v>130.95</v>
      </c>
      <c r="J1643" s="40" t="n">
        <v>0</v>
      </c>
      <c r="K1643" s="6">
        <f>I1643-J1643</f>
        <v/>
      </c>
      <c r="L1643" s="6">
        <f>IF(H1643="DISTRATO",0,I1643)</f>
        <v/>
      </c>
    </row>
    <row r="1644">
      <c r="A1644" s="38" t="inlineStr">
        <is>
          <t>Conta corrente FRUGIS5.XLS</t>
        </is>
      </c>
      <c r="B1644" s="39" t="n">
        <v>41014</v>
      </c>
      <c r="C1644" s="4" t="n">
        <v>41000</v>
      </c>
      <c r="D1644" s="5">
        <f>YEAR(C1644)</f>
        <v/>
      </c>
      <c r="E1644" s="5">
        <f>MONTH(C1644)</f>
        <v/>
      </c>
      <c r="F1644" s="38" t="inlineStr">
        <is>
          <t>NFV  :TENDA ATACADO LTDA</t>
        </is>
      </c>
      <c r="G1644" s="38" t="inlineStr">
        <is>
          <t>MARIO FRUGIS (01.04.01)</t>
        </is>
      </c>
      <c r="H1644" s="38" t="inlineStr">
        <is>
          <t>NFV</t>
        </is>
      </c>
      <c r="I1644" s="40" t="n">
        <v>156.3</v>
      </c>
      <c r="J1644" s="40" t="n">
        <v>0</v>
      </c>
      <c r="K1644" s="6">
        <f>I1644-J1644</f>
        <v/>
      </c>
      <c r="L1644" s="6">
        <f>IF(H1644="DISTRATO",0,I1644)</f>
        <v/>
      </c>
    </row>
    <row r="1645">
      <c r="A1645" s="38" t="inlineStr">
        <is>
          <t>Conta corrente FRUGIS5.XLS</t>
        </is>
      </c>
      <c r="B1645" s="39" t="n">
        <v>41014</v>
      </c>
      <c r="C1645" s="4" t="n">
        <v>41000</v>
      </c>
      <c r="D1645" s="5">
        <f>YEAR(C1645)</f>
        <v/>
      </c>
      <c r="E1645" s="5">
        <f>MONTH(C1645)</f>
        <v/>
      </c>
      <c r="F1645" s="38" t="inlineStr">
        <is>
          <t>NFV  :TENDA ATACADO LTDA</t>
        </is>
      </c>
      <c r="G1645" s="38" t="inlineStr">
        <is>
          <t>MARIO FRUGIS (01.04.01)</t>
        </is>
      </c>
      <c r="H1645" s="38" t="inlineStr">
        <is>
          <t>NFV</t>
        </is>
      </c>
      <c r="I1645" s="40" t="n">
        <v>180.58</v>
      </c>
      <c r="J1645" s="40" t="n">
        <v>0</v>
      </c>
      <c r="K1645" s="6">
        <f>I1645-J1645</f>
        <v/>
      </c>
      <c r="L1645" s="6">
        <f>IF(H1645="DISTRATO",0,I1645)</f>
        <v/>
      </c>
    </row>
    <row r="1646">
      <c r="A1646" s="38" t="inlineStr">
        <is>
          <t>Conta corrente FRUGIS5.XLS</t>
        </is>
      </c>
      <c r="B1646" s="39" t="n">
        <v>41015</v>
      </c>
      <c r="C1646" s="4" t="n">
        <v>41000</v>
      </c>
      <c r="D1646" s="5">
        <f>YEAR(C1646)</f>
        <v/>
      </c>
      <c r="E1646" s="5">
        <f>MONTH(C1646)</f>
        <v/>
      </c>
      <c r="F1646" s="38" t="inlineStr">
        <is>
          <t>DEV  :TENDA ATACADO LTDA</t>
        </is>
      </c>
      <c r="G1646" s="38" t="inlineStr">
        <is>
          <t>MARIO FRUGIS (01.04.01)</t>
        </is>
      </c>
      <c r="H1646" s="38" t="inlineStr">
        <is>
          <t>DEVOLUCAO</t>
        </is>
      </c>
      <c r="I1646" s="40" t="n">
        <v>-0.54</v>
      </c>
      <c r="J1646" s="40" t="n">
        <v>0</v>
      </c>
      <c r="K1646" s="6">
        <f>I1646-J1646</f>
        <v/>
      </c>
      <c r="L1646" s="6">
        <f>IF(H1646="DISTRATO",0,I1646)</f>
        <v/>
      </c>
    </row>
    <row r="1647">
      <c r="A1647" s="38" t="inlineStr">
        <is>
          <t>Conta corrente FRUGIS5.XLS</t>
        </is>
      </c>
      <c r="B1647" s="39" t="n">
        <v>41021</v>
      </c>
      <c r="C1647" s="4" t="n">
        <v>41000</v>
      </c>
      <c r="D1647" s="5">
        <f>YEAR(C1647)</f>
        <v/>
      </c>
      <c r="E1647" s="5">
        <f>MONTH(C1647)</f>
        <v/>
      </c>
      <c r="F1647" s="38" t="inlineStr">
        <is>
          <t>NFV  :TENDA ATACADO LTDA</t>
        </is>
      </c>
      <c r="G1647" s="38" t="inlineStr">
        <is>
          <t>MARIO FRUGIS (01.04.01)</t>
        </is>
      </c>
      <c r="H1647" s="38" t="inlineStr">
        <is>
          <t>NFV</t>
        </is>
      </c>
      <c r="I1647" s="40" t="n">
        <v>99.29000000000001</v>
      </c>
      <c r="J1647" s="40" t="n">
        <v>0</v>
      </c>
      <c r="K1647" s="6">
        <f>I1647-J1647</f>
        <v/>
      </c>
      <c r="L1647" s="6">
        <f>IF(H1647="DISTRATO",0,I1647)</f>
        <v/>
      </c>
    </row>
    <row r="1648">
      <c r="A1648" s="38" t="inlineStr">
        <is>
          <t>Conta corrente FRUGIS5.XLS</t>
        </is>
      </c>
      <c r="B1648" s="39" t="n">
        <v>41024</v>
      </c>
      <c r="C1648" s="4" t="n">
        <v>41000</v>
      </c>
      <c r="D1648" s="5">
        <f>YEAR(C1648)</f>
        <v/>
      </c>
      <c r="E1648" s="5">
        <f>MONTH(C1648)</f>
        <v/>
      </c>
      <c r="F1648" s="38" t="inlineStr">
        <is>
          <t>NFV  :TENDA ATACADO LTDA</t>
        </is>
      </c>
      <c r="G1648" s="38" t="inlineStr">
        <is>
          <t>MARIO FRUGIS (01.04.01)</t>
        </is>
      </c>
      <c r="H1648" s="38" t="inlineStr">
        <is>
          <t>NFV</t>
        </is>
      </c>
      <c r="I1648" s="40" t="n">
        <v>118.57</v>
      </c>
      <c r="J1648" s="40" t="n">
        <v>0</v>
      </c>
      <c r="K1648" s="6">
        <f>I1648-J1648</f>
        <v/>
      </c>
      <c r="L1648" s="6">
        <f>IF(H1648="DISTRATO",0,I1648)</f>
        <v/>
      </c>
    </row>
    <row r="1649">
      <c r="A1649" s="38" t="inlineStr">
        <is>
          <t>Conta corrente FRUGIS5.XLS</t>
        </is>
      </c>
      <c r="B1649" s="39" t="n">
        <v>41029</v>
      </c>
      <c r="C1649" s="4" t="n">
        <v>41000</v>
      </c>
      <c r="D1649" s="5">
        <f>YEAR(C1649)</f>
        <v/>
      </c>
      <c r="E1649" s="5">
        <f>MONTH(C1649)</f>
        <v/>
      </c>
      <c r="F1649" s="38" t="inlineStr">
        <is>
          <t>NFV  :TENDA ATACADO LTDA</t>
        </is>
      </c>
      <c r="G1649" s="38" t="inlineStr">
        <is>
          <t>MARIO FRUGIS (01.04.01)</t>
        </is>
      </c>
      <c r="H1649" s="38" t="inlineStr">
        <is>
          <t>NFV</t>
        </is>
      </c>
      <c r="I1649" s="40" t="n">
        <v>68.09999999999999</v>
      </c>
      <c r="J1649" s="40" t="n">
        <v>0</v>
      </c>
      <c r="K1649" s="6">
        <f>I1649-J1649</f>
        <v/>
      </c>
      <c r="L1649" s="6">
        <f>IF(H1649="DISTRATO",0,I1649)</f>
        <v/>
      </c>
    </row>
    <row r="1650">
      <c r="A1650" s="38" t="inlineStr">
        <is>
          <t>Conta corrente FRUGIS5.XLS</t>
        </is>
      </c>
      <c r="B1650" s="39" t="n">
        <v>41029</v>
      </c>
      <c r="C1650" s="4" t="n">
        <v>41000</v>
      </c>
      <c r="D1650" s="5">
        <f>YEAR(C1650)</f>
        <v/>
      </c>
      <c r="E1650" s="5">
        <f>MONTH(C1650)</f>
        <v/>
      </c>
      <c r="F1650" s="38" t="inlineStr">
        <is>
          <t>NFV  :TENDA ATACADO LTDA</t>
        </is>
      </c>
      <c r="G1650" s="38" t="inlineStr">
        <is>
          <t>MARIO FRUGIS (01.04.01)</t>
        </is>
      </c>
      <c r="H1650" s="38" t="inlineStr">
        <is>
          <t>NFV</t>
        </is>
      </c>
      <c r="I1650" s="40" t="n">
        <v>65.66</v>
      </c>
      <c r="J1650" s="40" t="n">
        <v>0</v>
      </c>
      <c r="K1650" s="6">
        <f>I1650-J1650</f>
        <v/>
      </c>
      <c r="L1650" s="6">
        <f>IF(H1650="DISTRATO",0,I1650)</f>
        <v/>
      </c>
    </row>
    <row r="1651">
      <c r="A1651" s="38" t="inlineStr">
        <is>
          <t>Conta corrente FRUGIS5.XLS</t>
        </is>
      </c>
      <c r="B1651" s="39" t="n">
        <v>41029</v>
      </c>
      <c r="C1651" s="4" t="n">
        <v>41000</v>
      </c>
      <c r="D1651" s="5">
        <f>YEAR(C1651)</f>
        <v/>
      </c>
      <c r="E1651" s="5">
        <f>MONTH(C1651)</f>
        <v/>
      </c>
      <c r="F1651" s="38" t="inlineStr">
        <is>
          <t>NFV  :TENDA ATACADO LTDA</t>
        </is>
      </c>
      <c r="G1651" s="38" t="inlineStr">
        <is>
          <t>MARIO FRUGIS (01.04.01)</t>
        </is>
      </c>
      <c r="H1651" s="38" t="inlineStr">
        <is>
          <t>NFV</t>
        </is>
      </c>
      <c r="I1651" s="40" t="n">
        <v>48.47</v>
      </c>
      <c r="J1651" s="40" t="n">
        <v>0</v>
      </c>
      <c r="K1651" s="6">
        <f>I1651-J1651</f>
        <v/>
      </c>
      <c r="L1651" s="6">
        <f>IF(H1651="DISTRATO",0,I1651)</f>
        <v/>
      </c>
    </row>
    <row r="1652">
      <c r="A1652" s="38" t="inlineStr">
        <is>
          <t>Conta corrente FRUGIS5.XLS</t>
        </is>
      </c>
      <c r="B1652" s="39" t="n">
        <v>41029</v>
      </c>
      <c r="C1652" s="4" t="n">
        <v>41000</v>
      </c>
      <c r="D1652" s="5">
        <f>YEAR(C1652)</f>
        <v/>
      </c>
      <c r="E1652" s="5">
        <f>MONTH(C1652)</f>
        <v/>
      </c>
      <c r="F1652" s="38" t="inlineStr">
        <is>
          <t>NFV  :TENDA ATACADO LTDA</t>
        </is>
      </c>
      <c r="G1652" s="38" t="inlineStr">
        <is>
          <t>MARIO FRUGIS (01.04.01)</t>
        </is>
      </c>
      <c r="H1652" s="38" t="inlineStr">
        <is>
          <t>NFV</t>
        </is>
      </c>
      <c r="I1652" s="40" t="n">
        <v>46.01</v>
      </c>
      <c r="J1652" s="40" t="n">
        <v>0</v>
      </c>
      <c r="K1652" s="6">
        <f>I1652-J1652</f>
        <v/>
      </c>
      <c r="L1652" s="6">
        <f>IF(H1652="DISTRATO",0,I1652)</f>
        <v/>
      </c>
    </row>
    <row r="1653">
      <c r="A1653" s="38" t="inlineStr">
        <is>
          <t>Conta corrente FRUGIS5.XLS</t>
        </is>
      </c>
      <c r="B1653" s="39" t="n">
        <v>41029</v>
      </c>
      <c r="C1653" s="4" t="n">
        <v>41000</v>
      </c>
      <c r="D1653" s="5">
        <f>YEAR(C1653)</f>
        <v/>
      </c>
      <c r="E1653" s="5">
        <f>MONTH(C1653)</f>
        <v/>
      </c>
      <c r="F1653" s="38" t="inlineStr">
        <is>
          <t>NFV  :TENDA ATACADO LTDA</t>
        </is>
      </c>
      <c r="G1653" s="38" t="inlineStr">
        <is>
          <t>MARIO FRUGIS (01.04.01)</t>
        </is>
      </c>
      <c r="H1653" s="38" t="inlineStr">
        <is>
          <t>NFV</t>
        </is>
      </c>
      <c r="I1653" s="40" t="n">
        <v>62.42</v>
      </c>
      <c r="J1653" s="40" t="n">
        <v>0</v>
      </c>
      <c r="K1653" s="6">
        <f>I1653-J1653</f>
        <v/>
      </c>
      <c r="L1653" s="6">
        <f>IF(H1653="DISTRATO",0,I1653)</f>
        <v/>
      </c>
    </row>
    <row r="1654">
      <c r="A1654" s="38" t="inlineStr">
        <is>
          <t>Conta corrente FRUGIS5.XLS</t>
        </is>
      </c>
      <c r="B1654" s="39" t="n">
        <v>41029</v>
      </c>
      <c r="C1654" s="4" t="n">
        <v>41000</v>
      </c>
      <c r="D1654" s="5">
        <f>YEAR(C1654)</f>
        <v/>
      </c>
      <c r="E1654" s="5">
        <f>MONTH(C1654)</f>
        <v/>
      </c>
      <c r="F1654" s="38" t="inlineStr">
        <is>
          <t>NFV  :TENDA ATACADO LTDA</t>
        </is>
      </c>
      <c r="G1654" s="38" t="inlineStr">
        <is>
          <t>MARIO FRUGIS (01.04.01)</t>
        </is>
      </c>
      <c r="H1654" s="38" t="inlineStr">
        <is>
          <t>NFV</t>
        </is>
      </c>
      <c r="I1654" s="40" t="n">
        <v>141.27</v>
      </c>
      <c r="J1654" s="40" t="n">
        <v>0</v>
      </c>
      <c r="K1654" s="6">
        <f>I1654-J1654</f>
        <v/>
      </c>
      <c r="L1654" s="6">
        <f>IF(H1654="DISTRATO",0,I1654)</f>
        <v/>
      </c>
    </row>
    <row r="1655">
      <c r="A1655" s="38" t="inlineStr">
        <is>
          <t>Conta corrente FRUGIS5.XLS</t>
        </is>
      </c>
      <c r="B1655" s="39" t="n">
        <v>41029</v>
      </c>
      <c r="C1655" s="4" t="n">
        <v>41000</v>
      </c>
      <c r="D1655" s="5">
        <f>YEAR(C1655)</f>
        <v/>
      </c>
      <c r="E1655" s="5">
        <f>MONTH(C1655)</f>
        <v/>
      </c>
      <c r="F1655" s="38" t="inlineStr">
        <is>
          <t>NFV  :TENDA ATACADO LTDA</t>
        </is>
      </c>
      <c r="G1655" s="38" t="inlineStr">
        <is>
          <t>MARIO FRUGIS (01.04.01)</t>
        </is>
      </c>
      <c r="H1655" s="38" t="inlineStr">
        <is>
          <t>NFV</t>
        </is>
      </c>
      <c r="I1655" s="40" t="n">
        <v>61.82</v>
      </c>
      <c r="J1655" s="40" t="n">
        <v>0</v>
      </c>
      <c r="K1655" s="6">
        <f>I1655-J1655</f>
        <v/>
      </c>
      <c r="L1655" s="6">
        <f>IF(H1655="DISTRATO",0,I1655)</f>
        <v/>
      </c>
    </row>
    <row r="1656">
      <c r="A1656" s="38" t="inlineStr">
        <is>
          <t>Conta corrente FRUGIS5.XLS</t>
        </is>
      </c>
      <c r="B1656" s="39" t="n">
        <v>41029</v>
      </c>
      <c r="C1656" s="4" t="n">
        <v>41000</v>
      </c>
      <c r="D1656" s="5">
        <f>YEAR(C1656)</f>
        <v/>
      </c>
      <c r="E1656" s="5">
        <f>MONTH(C1656)</f>
        <v/>
      </c>
      <c r="F1656" s="38" t="inlineStr">
        <is>
          <t>NFV  :TENDA ATACADO LTDA</t>
        </is>
      </c>
      <c r="G1656" s="38" t="inlineStr">
        <is>
          <t>MARIO FRUGIS (01.04.01)</t>
        </is>
      </c>
      <c r="H1656" s="38" t="inlineStr">
        <is>
          <t>NFV</t>
        </is>
      </c>
      <c r="I1656" s="40" t="n">
        <v>22.7</v>
      </c>
      <c r="J1656" s="40" t="n">
        <v>0</v>
      </c>
      <c r="K1656" s="6">
        <f>I1656-J1656</f>
        <v/>
      </c>
      <c r="L1656" s="6">
        <f>IF(H1656="DISTRATO",0,I1656)</f>
        <v/>
      </c>
    </row>
    <row r="1657">
      <c r="A1657" s="38" t="inlineStr">
        <is>
          <t>Conta corrente FRUGIS5.XLS</t>
        </is>
      </c>
      <c r="B1657" s="39" t="n">
        <v>41029</v>
      </c>
      <c r="C1657" s="4" t="n">
        <v>41000</v>
      </c>
      <c r="D1657" s="5">
        <f>YEAR(C1657)</f>
        <v/>
      </c>
      <c r="E1657" s="5">
        <f>MONTH(C1657)</f>
        <v/>
      </c>
      <c r="F1657" s="38" t="inlineStr">
        <is>
          <t>NFV  :TENDA ATACADO LTDA</t>
        </is>
      </c>
      <c r="G1657" s="38" t="inlineStr">
        <is>
          <t>MARIO FRUGIS (01.04.01)</t>
        </is>
      </c>
      <c r="H1657" s="38" t="inlineStr">
        <is>
          <t>NFV</t>
        </is>
      </c>
      <c r="I1657" s="40" t="n">
        <v>23.53</v>
      </c>
      <c r="J1657" s="40" t="n">
        <v>0</v>
      </c>
      <c r="K1657" s="6">
        <f>I1657-J1657</f>
        <v/>
      </c>
      <c r="L1657" s="6">
        <f>IF(H1657="DISTRATO",0,I1657)</f>
        <v/>
      </c>
    </row>
    <row r="1658">
      <c r="A1658" s="38" t="inlineStr">
        <is>
          <t>Conta corrente FRUGIS5.XLS</t>
        </is>
      </c>
      <c r="B1658" s="39" t="n">
        <v>41029</v>
      </c>
      <c r="C1658" s="4" t="n">
        <v>41000</v>
      </c>
      <c r="D1658" s="5">
        <f>YEAR(C1658)</f>
        <v/>
      </c>
      <c r="E1658" s="5">
        <f>MONTH(C1658)</f>
        <v/>
      </c>
      <c r="F1658" s="38" t="inlineStr">
        <is>
          <t>NFV  :TENDA ATACADO LTDA</t>
        </is>
      </c>
      <c r="G1658" s="38" t="inlineStr">
        <is>
          <t>MARIO FRUGIS (01.04.01)</t>
        </is>
      </c>
      <c r="H1658" s="38" t="inlineStr">
        <is>
          <t>NFV</t>
        </is>
      </c>
      <c r="I1658" s="40" t="n">
        <v>53.12</v>
      </c>
      <c r="J1658" s="40" t="n">
        <v>0</v>
      </c>
      <c r="K1658" s="6">
        <f>I1658-J1658</f>
        <v/>
      </c>
      <c r="L1658" s="6">
        <f>IF(H1658="DISTRATO",0,I1658)</f>
        <v/>
      </c>
    </row>
    <row r="1659">
      <c r="A1659" s="38" t="inlineStr">
        <is>
          <t>Conta corrente FRUGIS5.XLS</t>
        </is>
      </c>
      <c r="B1659" s="39" t="n">
        <v>41029</v>
      </c>
      <c r="C1659" s="4" t="n">
        <v>41000</v>
      </c>
      <c r="D1659" s="5">
        <f>YEAR(C1659)</f>
        <v/>
      </c>
      <c r="E1659" s="5">
        <f>MONTH(C1659)</f>
        <v/>
      </c>
      <c r="F1659" s="38" t="inlineStr">
        <is>
          <t>NFV  :TENDA ATACADO LTDA</t>
        </is>
      </c>
      <c r="G1659" s="38" t="inlineStr">
        <is>
          <t>MARIO FRUGIS (01.04.01)</t>
        </is>
      </c>
      <c r="H1659" s="38" t="inlineStr">
        <is>
          <t>NFV</t>
        </is>
      </c>
      <c r="I1659" s="40" t="n">
        <v>46.01</v>
      </c>
      <c r="J1659" s="40" t="n">
        <v>0</v>
      </c>
      <c r="K1659" s="6">
        <f>I1659-J1659</f>
        <v/>
      </c>
      <c r="L1659" s="6">
        <f>IF(H1659="DISTRATO",0,I1659)</f>
        <v/>
      </c>
    </row>
    <row r="1660">
      <c r="A1660" s="38" t="inlineStr">
        <is>
          <t>Conta corrente FRUGIS5.XLS</t>
        </is>
      </c>
      <c r="B1660" s="39" t="n">
        <v>41029</v>
      </c>
      <c r="C1660" s="4" t="n">
        <v>41000</v>
      </c>
      <c r="D1660" s="5">
        <f>YEAR(C1660)</f>
        <v/>
      </c>
      <c r="E1660" s="5">
        <f>MONTH(C1660)</f>
        <v/>
      </c>
      <c r="F1660" s="38" t="inlineStr">
        <is>
          <t>NFV  :TENDA ATACADO LTDA</t>
        </is>
      </c>
      <c r="G1660" s="38" t="inlineStr">
        <is>
          <t>MARIO FRUGIS (01.04.01)</t>
        </is>
      </c>
      <c r="H1660" s="38" t="inlineStr">
        <is>
          <t>NFV</t>
        </is>
      </c>
      <c r="I1660" s="40" t="n">
        <v>73.65000000000001</v>
      </c>
      <c r="J1660" s="40" t="n">
        <v>0</v>
      </c>
      <c r="K1660" s="6">
        <f>I1660-J1660</f>
        <v/>
      </c>
      <c r="L1660" s="6">
        <f>IF(H1660="DISTRATO",0,I1660)</f>
        <v/>
      </c>
    </row>
    <row r="1661">
      <c r="A1661" s="38" t="inlineStr">
        <is>
          <t>Conta corrente FRUGIS5.XLS</t>
        </is>
      </c>
      <c r="B1661" s="39" t="n">
        <v>41029</v>
      </c>
      <c r="C1661" s="4" t="n">
        <v>41000</v>
      </c>
      <c r="D1661" s="5">
        <f>YEAR(C1661)</f>
        <v/>
      </c>
      <c r="E1661" s="5">
        <f>MONTH(C1661)</f>
        <v/>
      </c>
      <c r="F1661" s="38" t="inlineStr">
        <is>
          <t>NFV  :TENDA ATACADO LTDA</t>
        </is>
      </c>
      <c r="G1661" s="38" t="inlineStr">
        <is>
          <t>MARIO FRUGIS (01.04.01)</t>
        </is>
      </c>
      <c r="H1661" s="38" t="inlineStr">
        <is>
          <t>NFV</t>
        </is>
      </c>
      <c r="I1661" s="40" t="n">
        <v>64.33</v>
      </c>
      <c r="J1661" s="40" t="n">
        <v>0</v>
      </c>
      <c r="K1661" s="6">
        <f>I1661-J1661</f>
        <v/>
      </c>
      <c r="L1661" s="6">
        <f>IF(H1661="DISTRATO",0,I1661)</f>
        <v/>
      </c>
    </row>
    <row r="1662">
      <c r="A1662" s="38" t="inlineStr">
        <is>
          <t>Conta corrente FRUGIS5.XLS</t>
        </is>
      </c>
      <c r="B1662" s="39" t="n">
        <v>41029</v>
      </c>
      <c r="C1662" s="4" t="n">
        <v>41000</v>
      </c>
      <c r="D1662" s="5">
        <f>YEAR(C1662)</f>
        <v/>
      </c>
      <c r="E1662" s="5">
        <f>MONTH(C1662)</f>
        <v/>
      </c>
      <c r="F1662" s="38" t="inlineStr">
        <is>
          <t>NFV  :TENDA ATACADO LTDA</t>
        </is>
      </c>
      <c r="G1662" s="38" t="inlineStr">
        <is>
          <t>MARIO FRUGIS (01.04.01)</t>
        </is>
      </c>
      <c r="H1662" s="38" t="inlineStr">
        <is>
          <t>NFV</t>
        </is>
      </c>
      <c r="I1662" s="40" t="n">
        <v>89.88</v>
      </c>
      <c r="J1662" s="40" t="n">
        <v>0</v>
      </c>
      <c r="K1662" s="6">
        <f>I1662-J1662</f>
        <v/>
      </c>
      <c r="L1662" s="6">
        <f>IF(H1662="DISTRATO",0,I1662)</f>
        <v/>
      </c>
    </row>
    <row r="1663">
      <c r="A1663" s="38" t="inlineStr">
        <is>
          <t>Conta corrente FRUGIS5.XLS</t>
        </is>
      </c>
      <c r="B1663" s="39" t="n">
        <v>41029</v>
      </c>
      <c r="C1663" s="4" t="n">
        <v>41000</v>
      </c>
      <c r="D1663" s="5">
        <f>YEAR(C1663)</f>
        <v/>
      </c>
      <c r="E1663" s="5">
        <f>MONTH(C1663)</f>
        <v/>
      </c>
      <c r="F1663" s="38" t="inlineStr">
        <is>
          <t>NFV  :TENDA ATACADO LTDA</t>
        </is>
      </c>
      <c r="G1663" s="38" t="inlineStr">
        <is>
          <t>MARIO FRUGIS (01.04.01)</t>
        </is>
      </c>
      <c r="H1663" s="38" t="inlineStr">
        <is>
          <t>NFV</t>
        </is>
      </c>
      <c r="I1663" s="40" t="n">
        <v>42.09</v>
      </c>
      <c r="J1663" s="40" t="n">
        <v>0</v>
      </c>
      <c r="K1663" s="6">
        <f>I1663-J1663</f>
        <v/>
      </c>
      <c r="L1663" s="6">
        <f>IF(H1663="DISTRATO",0,I1663)</f>
        <v/>
      </c>
    </row>
    <row r="1664">
      <c r="A1664" s="38" t="inlineStr">
        <is>
          <t>Conta corrente FRUGIS5.XLS</t>
        </is>
      </c>
      <c r="B1664" s="39" t="n">
        <v>41029</v>
      </c>
      <c r="C1664" s="4" t="n">
        <v>41000</v>
      </c>
      <c r="D1664" s="5">
        <f>YEAR(C1664)</f>
        <v/>
      </c>
      <c r="E1664" s="5">
        <f>MONTH(C1664)</f>
        <v/>
      </c>
      <c r="F1664" s="38" t="inlineStr">
        <is>
          <t>NFV  :TENDA ATACADO LTDA</t>
        </is>
      </c>
      <c r="G1664" s="38" t="inlineStr">
        <is>
          <t>MARIO FRUGIS (01.04.01)</t>
        </is>
      </c>
      <c r="H1664" s="38" t="inlineStr">
        <is>
          <t>NFV</t>
        </is>
      </c>
      <c r="I1664" s="40" t="n">
        <v>61.82</v>
      </c>
      <c r="J1664" s="40" t="n">
        <v>0</v>
      </c>
      <c r="K1664" s="6">
        <f>I1664-J1664</f>
        <v/>
      </c>
      <c r="L1664" s="6">
        <f>IF(H1664="DISTRATO",0,I1664)</f>
        <v/>
      </c>
    </row>
    <row r="1665">
      <c r="A1665" s="38" t="inlineStr">
        <is>
          <t>Conta corrente FRUGIS5.XLS</t>
        </is>
      </c>
      <c r="B1665" s="39" t="n">
        <v>41029</v>
      </c>
      <c r="C1665" s="4" t="n">
        <v>41000</v>
      </c>
      <c r="D1665" s="5">
        <f>YEAR(C1665)</f>
        <v/>
      </c>
      <c r="E1665" s="5">
        <f>MONTH(C1665)</f>
        <v/>
      </c>
      <c r="F1665" s="38" t="inlineStr">
        <is>
          <t>NFV  :TENDA ATACADO LTDA</t>
        </is>
      </c>
      <c r="G1665" s="38" t="inlineStr">
        <is>
          <t>MARIO FRUGIS (01.04.01)</t>
        </is>
      </c>
      <c r="H1665" s="38" t="inlineStr">
        <is>
          <t>NFV</t>
        </is>
      </c>
      <c r="I1665" s="40" t="n">
        <v>69.77</v>
      </c>
      <c r="J1665" s="40" t="n">
        <v>0</v>
      </c>
      <c r="K1665" s="6">
        <f>I1665-J1665</f>
        <v/>
      </c>
      <c r="L1665" s="6">
        <f>IF(H1665="DISTRATO",0,I1665)</f>
        <v/>
      </c>
    </row>
    <row r="1666">
      <c r="A1666" s="38" t="inlineStr">
        <is>
          <t>Conta corrente FRUGIS5.XLS</t>
        </is>
      </c>
      <c r="B1666" s="39" t="n">
        <v>41029</v>
      </c>
      <c r="C1666" s="4" t="n">
        <v>41000</v>
      </c>
      <c r="D1666" s="5">
        <f>YEAR(C1666)</f>
        <v/>
      </c>
      <c r="E1666" s="5">
        <f>MONTH(C1666)</f>
        <v/>
      </c>
      <c r="F1666" s="38" t="inlineStr">
        <is>
          <t>NFV  :TENDA ATACADO LTDA</t>
        </is>
      </c>
      <c r="G1666" s="38" t="inlineStr">
        <is>
          <t>MARIO FRUGIS (01.04.01)</t>
        </is>
      </c>
      <c r="H1666" s="38" t="inlineStr">
        <is>
          <t>NFV</t>
        </is>
      </c>
      <c r="I1666" s="40" t="n">
        <v>67.48999999999999</v>
      </c>
      <c r="J1666" s="40" t="n">
        <v>0</v>
      </c>
      <c r="K1666" s="6">
        <f>I1666-J1666</f>
        <v/>
      </c>
      <c r="L1666" s="6">
        <f>IF(H1666="DISTRATO",0,I1666)</f>
        <v/>
      </c>
    </row>
    <row r="1667">
      <c r="A1667" s="38" t="inlineStr">
        <is>
          <t>Conta corrente FRUGIS5.XLS</t>
        </is>
      </c>
      <c r="B1667" s="39" t="n">
        <v>41029</v>
      </c>
      <c r="C1667" s="4" t="n">
        <v>41000</v>
      </c>
      <c r="D1667" s="5">
        <f>YEAR(C1667)</f>
        <v/>
      </c>
      <c r="E1667" s="5">
        <f>MONTH(C1667)</f>
        <v/>
      </c>
      <c r="F1667" s="38" t="inlineStr">
        <is>
          <t>NFV  :TENDA ATACADO LTDA</t>
        </is>
      </c>
      <c r="G1667" s="38" t="inlineStr">
        <is>
          <t>MARIO FRUGIS (01.04.01)</t>
        </is>
      </c>
      <c r="H1667" s="38" t="inlineStr">
        <is>
          <t>NFV</t>
        </is>
      </c>
      <c r="I1667" s="40" t="n">
        <v>41.55</v>
      </c>
      <c r="J1667" s="40" t="n">
        <v>0</v>
      </c>
      <c r="K1667" s="6">
        <f>I1667-J1667</f>
        <v/>
      </c>
      <c r="L1667" s="6">
        <f>IF(H1667="DISTRATO",0,I1667)</f>
        <v/>
      </c>
    </row>
    <row r="1668">
      <c r="A1668" s="38" t="inlineStr">
        <is>
          <t>Conta corrente FRUGIS5.XLS</t>
        </is>
      </c>
      <c r="B1668" s="39" t="n">
        <v>41029</v>
      </c>
      <c r="C1668" s="4" t="n">
        <v>41000</v>
      </c>
      <c r="D1668" s="5">
        <f>YEAR(C1668)</f>
        <v/>
      </c>
      <c r="E1668" s="5">
        <f>MONTH(C1668)</f>
        <v/>
      </c>
      <c r="F1668" s="38" t="inlineStr">
        <is>
          <t>NFV  :TENDA ATACADO LTDA</t>
        </is>
      </c>
      <c r="G1668" s="38" t="inlineStr">
        <is>
          <t>MARIO FRUGIS (01.04.01)</t>
        </is>
      </c>
      <c r="H1668" s="38" t="inlineStr">
        <is>
          <t>NFV</t>
        </is>
      </c>
      <c r="I1668" s="40" t="n">
        <v>100.93</v>
      </c>
      <c r="J1668" s="40" t="n">
        <v>0</v>
      </c>
      <c r="K1668" s="6">
        <f>I1668-J1668</f>
        <v/>
      </c>
      <c r="L1668" s="6">
        <f>IF(H1668="DISTRATO",0,I1668)</f>
        <v/>
      </c>
    </row>
    <row r="1669">
      <c r="A1669" s="38" t="inlineStr">
        <is>
          <t>Conta corrente FRUGIS5.XLS</t>
        </is>
      </c>
      <c r="B1669" s="39" t="n">
        <v>41029</v>
      </c>
      <c r="C1669" s="4" t="n">
        <v>41000</v>
      </c>
      <c r="D1669" s="5">
        <f>YEAR(C1669)</f>
        <v/>
      </c>
      <c r="E1669" s="5">
        <f>MONTH(C1669)</f>
        <v/>
      </c>
      <c r="F1669" s="38" t="inlineStr">
        <is>
          <t>NFV  :TENDA ATACADO LTDA</t>
        </is>
      </c>
      <c r="G1669" s="38" t="inlineStr">
        <is>
          <t>MARIO FRUGIS (01.04.01)</t>
        </is>
      </c>
      <c r="H1669" s="38" t="inlineStr">
        <is>
          <t>NFV</t>
        </is>
      </c>
      <c r="I1669" s="40" t="n">
        <v>15.12</v>
      </c>
      <c r="J1669" s="40" t="n">
        <v>0</v>
      </c>
      <c r="K1669" s="6">
        <f>I1669-J1669</f>
        <v/>
      </c>
      <c r="L1669" s="6">
        <f>IF(H1669="DISTRATO",0,I1669)</f>
        <v/>
      </c>
    </row>
    <row r="1670">
      <c r="A1670" s="38" t="inlineStr">
        <is>
          <t>Conta corrente FRUGIS5.XLS</t>
        </is>
      </c>
      <c r="B1670" s="39" t="n">
        <v>41029</v>
      </c>
      <c r="C1670" s="4" t="n">
        <v>41000</v>
      </c>
      <c r="D1670" s="5">
        <f>YEAR(C1670)</f>
        <v/>
      </c>
      <c r="E1670" s="5">
        <f>MONTH(C1670)</f>
        <v/>
      </c>
      <c r="F1670" s="38" t="inlineStr">
        <is>
          <t>NFV  :TENDA ATACADO LTDA</t>
        </is>
      </c>
      <c r="G1670" s="38" t="inlineStr">
        <is>
          <t>MARIO FRUGIS (01.04.01)</t>
        </is>
      </c>
      <c r="H1670" s="38" t="inlineStr">
        <is>
          <t>NFV</t>
        </is>
      </c>
      <c r="I1670" s="40" t="n">
        <v>28.37</v>
      </c>
      <c r="J1670" s="40" t="n">
        <v>0</v>
      </c>
      <c r="K1670" s="6">
        <f>I1670-J1670</f>
        <v/>
      </c>
      <c r="L1670" s="6">
        <f>IF(H1670="DISTRATO",0,I1670)</f>
        <v/>
      </c>
    </row>
    <row r="1671">
      <c r="A1671" s="38" t="inlineStr">
        <is>
          <t>Conta corrente FRUGIS5.XLS</t>
        </is>
      </c>
      <c r="B1671" s="39" t="n">
        <v>41029</v>
      </c>
      <c r="C1671" s="4" t="n">
        <v>41000</v>
      </c>
      <c r="D1671" s="5">
        <f>YEAR(C1671)</f>
        <v/>
      </c>
      <c r="E1671" s="5">
        <f>MONTH(C1671)</f>
        <v/>
      </c>
      <c r="F1671" s="38" t="inlineStr">
        <is>
          <t>NFV  :TENDA ATACADO LTDA</t>
        </is>
      </c>
      <c r="G1671" s="38" t="inlineStr">
        <is>
          <t>MARIO FRUGIS (01.04.01)</t>
        </is>
      </c>
      <c r="H1671" s="38" t="inlineStr">
        <is>
          <t>NFV</t>
        </is>
      </c>
      <c r="I1671" s="40" t="n">
        <v>83.13</v>
      </c>
      <c r="J1671" s="40" t="n">
        <v>0</v>
      </c>
      <c r="K1671" s="6">
        <f>I1671-J1671</f>
        <v/>
      </c>
      <c r="L1671" s="6">
        <f>IF(H1671="DISTRATO",0,I1671)</f>
        <v/>
      </c>
    </row>
    <row r="1672">
      <c r="A1672" s="38" t="inlineStr">
        <is>
          <t>Conta corrente FRUGIS5.XLS</t>
        </is>
      </c>
      <c r="B1672" s="39" t="n">
        <v>41029</v>
      </c>
      <c r="C1672" s="4" t="n">
        <v>41000</v>
      </c>
      <c r="D1672" s="5">
        <f>YEAR(C1672)</f>
        <v/>
      </c>
      <c r="E1672" s="5">
        <f>MONTH(C1672)</f>
        <v/>
      </c>
      <c r="F1672" s="38" t="inlineStr">
        <is>
          <t>NFV  :TENDA ATACADO LTDA</t>
        </is>
      </c>
      <c r="G1672" s="38" t="inlineStr">
        <is>
          <t>MARIO FRUGIS (01.04.01)</t>
        </is>
      </c>
      <c r="H1672" s="38" t="inlineStr">
        <is>
          <t>NFV</t>
        </is>
      </c>
      <c r="I1672" s="40" t="n">
        <v>116.75</v>
      </c>
      <c r="J1672" s="40" t="n">
        <v>0</v>
      </c>
      <c r="K1672" s="6">
        <f>I1672-J1672</f>
        <v/>
      </c>
      <c r="L1672" s="6">
        <f>IF(H1672="DISTRATO",0,I1672)</f>
        <v/>
      </c>
    </row>
    <row r="1673">
      <c r="A1673" s="38" t="inlineStr">
        <is>
          <t>Conta corrente FRUGIS5.XLS</t>
        </is>
      </c>
      <c r="B1673" s="39" t="n">
        <v>41029</v>
      </c>
      <c r="C1673" s="4" t="n">
        <v>41000</v>
      </c>
      <c r="D1673" s="5">
        <f>YEAR(C1673)</f>
        <v/>
      </c>
      <c r="E1673" s="5">
        <f>MONTH(C1673)</f>
        <v/>
      </c>
      <c r="F1673" s="38" t="inlineStr">
        <is>
          <t>NFV  :TENDA ATACADO LTDA</t>
        </is>
      </c>
      <c r="G1673" s="38" t="inlineStr">
        <is>
          <t>MARIO FRUGIS (01.04.01)</t>
        </is>
      </c>
      <c r="H1673" s="38" t="inlineStr">
        <is>
          <t>NFV</t>
        </is>
      </c>
      <c r="I1673" s="40" t="n">
        <v>69.94</v>
      </c>
      <c r="J1673" s="40" t="n">
        <v>0</v>
      </c>
      <c r="K1673" s="6">
        <f>I1673-J1673</f>
        <v/>
      </c>
      <c r="L1673" s="6">
        <f>IF(H1673="DISTRATO",0,I1673)</f>
        <v/>
      </c>
    </row>
    <row r="1674">
      <c r="A1674" s="38" t="inlineStr">
        <is>
          <t>Conta corrente FRUGIS5.XLS</t>
        </is>
      </c>
      <c r="B1674" s="39" t="n">
        <v>41029</v>
      </c>
      <c r="C1674" s="4" t="n">
        <v>41000</v>
      </c>
      <c r="D1674" s="5">
        <f>YEAR(C1674)</f>
        <v/>
      </c>
      <c r="E1674" s="5">
        <f>MONTH(C1674)</f>
        <v/>
      </c>
      <c r="F1674" s="38" t="inlineStr">
        <is>
          <t>NFV  :TENDA ATACADO LTDA</t>
        </is>
      </c>
      <c r="G1674" s="38" t="inlineStr">
        <is>
          <t>MARIO FRUGIS (01.04.01)</t>
        </is>
      </c>
      <c r="H1674" s="38" t="inlineStr">
        <is>
          <t>NFV</t>
        </is>
      </c>
      <c r="I1674" s="40" t="n">
        <v>23.31</v>
      </c>
      <c r="J1674" s="40" t="n">
        <v>0</v>
      </c>
      <c r="K1674" s="6">
        <f>I1674-J1674</f>
        <v/>
      </c>
      <c r="L1674" s="6">
        <f>IF(H1674="DISTRATO",0,I1674)</f>
        <v/>
      </c>
    </row>
    <row r="1675">
      <c r="A1675" s="38" t="inlineStr">
        <is>
          <t>Conta corrente FRUGIS5.XLS</t>
        </is>
      </c>
      <c r="B1675" s="39" t="n">
        <v>41029</v>
      </c>
      <c r="C1675" s="4" t="n">
        <v>41000</v>
      </c>
      <c r="D1675" s="5">
        <f>YEAR(C1675)</f>
        <v/>
      </c>
      <c r="E1675" s="5">
        <f>MONTH(C1675)</f>
        <v/>
      </c>
      <c r="F1675" s="38" t="inlineStr">
        <is>
          <t>NFV  :TENDA ATACADO LTDA</t>
        </is>
      </c>
      <c r="G1675" s="38" t="inlineStr">
        <is>
          <t>MARIO FRUGIS (01.04.01)</t>
        </is>
      </c>
      <c r="H1675" s="38" t="inlineStr">
        <is>
          <t>NFV</t>
        </is>
      </c>
      <c r="I1675" s="40" t="n">
        <v>22.7</v>
      </c>
      <c r="J1675" s="40" t="n">
        <v>0</v>
      </c>
      <c r="K1675" s="6">
        <f>I1675-J1675</f>
        <v/>
      </c>
      <c r="L1675" s="6">
        <f>IF(H1675="DISTRATO",0,I1675)</f>
        <v/>
      </c>
    </row>
    <row r="1676">
      <c r="A1676" s="38" t="inlineStr">
        <is>
          <t>Conta corrente FRUGIS5.XLS</t>
        </is>
      </c>
      <c r="B1676" s="39" t="n">
        <v>41029</v>
      </c>
      <c r="C1676" s="4" t="n">
        <v>41000</v>
      </c>
      <c r="D1676" s="5">
        <f>YEAR(C1676)</f>
        <v/>
      </c>
      <c r="E1676" s="5">
        <f>MONTH(C1676)</f>
        <v/>
      </c>
      <c r="F1676" s="38" t="inlineStr">
        <is>
          <t>NFV  :TENDA ATACADO LTDA</t>
        </is>
      </c>
      <c r="G1676" s="38" t="inlineStr">
        <is>
          <t>MARIO FRUGIS (01.04.01)</t>
        </is>
      </c>
      <c r="H1676" s="38" t="inlineStr">
        <is>
          <t>NFV</t>
        </is>
      </c>
      <c r="I1676" s="40" t="n">
        <v>81.93000000000001</v>
      </c>
      <c r="J1676" s="40" t="n">
        <v>0</v>
      </c>
      <c r="K1676" s="6">
        <f>I1676-J1676</f>
        <v/>
      </c>
      <c r="L1676" s="6">
        <f>IF(H1676="DISTRATO",0,I1676)</f>
        <v/>
      </c>
    </row>
    <row r="1677">
      <c r="A1677" s="38" t="inlineStr">
        <is>
          <t>Conta corrente FRUGIS5.XLS</t>
        </is>
      </c>
      <c r="B1677" s="39" t="n">
        <v>41029</v>
      </c>
      <c r="C1677" s="4" t="n">
        <v>41000</v>
      </c>
      <c r="D1677" s="5">
        <f>YEAR(C1677)</f>
        <v/>
      </c>
      <c r="E1677" s="5">
        <f>MONTH(C1677)</f>
        <v/>
      </c>
      <c r="F1677" s="38" t="inlineStr">
        <is>
          <t>NFV  :TENDA ATACADO LTDA</t>
        </is>
      </c>
      <c r="G1677" s="38" t="inlineStr">
        <is>
          <t>MARIO FRUGIS (01.04.01)</t>
        </is>
      </c>
      <c r="H1677" s="38" t="inlineStr">
        <is>
          <t>NFV</t>
        </is>
      </c>
      <c r="I1677" s="40" t="n">
        <v>60.67</v>
      </c>
      <c r="J1677" s="40" t="n">
        <v>0</v>
      </c>
      <c r="K1677" s="6">
        <f>I1677-J1677</f>
        <v/>
      </c>
      <c r="L1677" s="6">
        <f>IF(H1677="DISTRATO",0,I1677)</f>
        <v/>
      </c>
    </row>
    <row r="1678">
      <c r="A1678" s="38" t="inlineStr">
        <is>
          <t>Conta corrente FRUGIS5.XLS</t>
        </is>
      </c>
      <c r="B1678" s="39" t="n">
        <v>41029</v>
      </c>
      <c r="C1678" s="4" t="n">
        <v>41000</v>
      </c>
      <c r="D1678" s="5">
        <f>YEAR(C1678)</f>
        <v/>
      </c>
      <c r="E1678" s="5">
        <f>MONTH(C1678)</f>
        <v/>
      </c>
      <c r="F1678" s="38" t="inlineStr">
        <is>
          <t>NFV  :TENDA ATACADO LTDA</t>
        </is>
      </c>
      <c r="G1678" s="38" t="inlineStr">
        <is>
          <t>MARIO FRUGIS (01.04.01)</t>
        </is>
      </c>
      <c r="H1678" s="38" t="inlineStr">
        <is>
          <t>NFV</t>
        </is>
      </c>
      <c r="I1678" s="40" t="n">
        <v>72.92</v>
      </c>
      <c r="J1678" s="40" t="n">
        <v>0</v>
      </c>
      <c r="K1678" s="6">
        <f>I1678-J1678</f>
        <v/>
      </c>
      <c r="L1678" s="6">
        <f>IF(H1678="DISTRATO",0,I1678)</f>
        <v/>
      </c>
    </row>
    <row r="1679">
      <c r="A1679" s="38" t="inlineStr">
        <is>
          <t>Conta corrente FRUGIS5.XLS</t>
        </is>
      </c>
      <c r="B1679" s="39" t="n">
        <v>41039</v>
      </c>
      <c r="C1679" s="4" t="n">
        <v>41030</v>
      </c>
      <c r="D1679" s="5">
        <f>YEAR(C1679)</f>
        <v/>
      </c>
      <c r="E1679" s="5">
        <f>MONTH(C1679)</f>
        <v/>
      </c>
      <c r="F1679" s="38" t="inlineStr">
        <is>
          <t>NFV  :TENDA ATACADO LTDA</t>
        </is>
      </c>
      <c r="G1679" s="38" t="inlineStr">
        <is>
          <t>MARIO FRUGIS (01.04.01)</t>
        </is>
      </c>
      <c r="H1679" s="38" t="inlineStr">
        <is>
          <t>NFV</t>
        </is>
      </c>
      <c r="I1679" s="40" t="n">
        <v>33.76</v>
      </c>
      <c r="J1679" s="40" t="n">
        <v>0</v>
      </c>
      <c r="K1679" s="6">
        <f>I1679-J1679</f>
        <v/>
      </c>
      <c r="L1679" s="6">
        <f>IF(H1679="DISTRATO",0,I1679)</f>
        <v/>
      </c>
    </row>
    <row r="1680">
      <c r="A1680" s="38" t="inlineStr">
        <is>
          <t>Conta corrente FRUGIS5.XLS</t>
        </is>
      </c>
      <c r="B1680" s="39" t="n">
        <v>41041</v>
      </c>
      <c r="C1680" s="4" t="n">
        <v>41030</v>
      </c>
      <c r="D1680" s="5">
        <f>YEAR(C1680)</f>
        <v/>
      </c>
      <c r="E1680" s="5">
        <f>MONTH(C1680)</f>
        <v/>
      </c>
      <c r="F1680" s="38" t="inlineStr">
        <is>
          <t>DEV  :TENDA ATACADO LTDA</t>
        </is>
      </c>
      <c r="G1680" s="38" t="inlineStr">
        <is>
          <t>MARIO FRUGIS (01.04.01)</t>
        </is>
      </c>
      <c r="H1680" s="38" t="inlineStr">
        <is>
          <t>DEVOLUCAO</t>
        </is>
      </c>
      <c r="I1680" s="40" t="n">
        <v>-2.84</v>
      </c>
      <c r="J1680" s="40" t="n">
        <v>0</v>
      </c>
      <c r="K1680" s="6">
        <f>I1680-J1680</f>
        <v/>
      </c>
      <c r="L1680" s="6">
        <f>IF(H1680="DISTRATO",0,I1680)</f>
        <v/>
      </c>
    </row>
    <row r="1681">
      <c r="A1681" s="38" t="inlineStr">
        <is>
          <t>Conta corrente FRUGIS5.XLS</t>
        </is>
      </c>
      <c r="B1681" s="39" t="n">
        <v>41045</v>
      </c>
      <c r="C1681" s="4" t="n">
        <v>41030</v>
      </c>
      <c r="D1681" s="5">
        <f>YEAR(C1681)</f>
        <v/>
      </c>
      <c r="E1681" s="5">
        <f>MONTH(C1681)</f>
        <v/>
      </c>
      <c r="F1681" s="38" t="inlineStr">
        <is>
          <t>NFV  :TENDA ATACADO LTDA</t>
        </is>
      </c>
      <c r="G1681" s="38" t="inlineStr">
        <is>
          <t>MARIO FRUGIS (01.04.01)</t>
        </is>
      </c>
      <c r="H1681" s="38" t="inlineStr">
        <is>
          <t>NFV</t>
        </is>
      </c>
      <c r="I1681" s="40" t="n">
        <v>100.61</v>
      </c>
      <c r="J1681" s="40" t="n">
        <v>0</v>
      </c>
      <c r="K1681" s="6">
        <f>I1681-J1681</f>
        <v/>
      </c>
      <c r="L1681" s="6">
        <f>IF(H1681="DISTRATO",0,I1681)</f>
        <v/>
      </c>
    </row>
    <row r="1682">
      <c r="A1682" s="38" t="inlineStr">
        <is>
          <t>Conta corrente FRUGIS5.XLS</t>
        </is>
      </c>
      <c r="B1682" s="39" t="n">
        <v>41045</v>
      </c>
      <c r="C1682" s="4" t="n">
        <v>41030</v>
      </c>
      <c r="D1682" s="5">
        <f>YEAR(C1682)</f>
        <v/>
      </c>
      <c r="E1682" s="5">
        <f>MONTH(C1682)</f>
        <v/>
      </c>
      <c r="F1682" s="38" t="inlineStr">
        <is>
          <t>NFV  :TENDA ATACADO LTDA</t>
        </is>
      </c>
      <c r="G1682" s="38" t="inlineStr">
        <is>
          <t>MARIO FRUGIS (01.04.01)</t>
        </is>
      </c>
      <c r="H1682" s="38" t="inlineStr">
        <is>
          <t>NFV</t>
        </is>
      </c>
      <c r="I1682" s="40" t="n">
        <v>102.6</v>
      </c>
      <c r="J1682" s="40" t="n">
        <v>0</v>
      </c>
      <c r="K1682" s="6">
        <f>I1682-J1682</f>
        <v/>
      </c>
      <c r="L1682" s="6">
        <f>IF(H1682="DISTRATO",0,I1682)</f>
        <v/>
      </c>
    </row>
    <row r="1683">
      <c r="A1683" s="38" t="inlineStr">
        <is>
          <t>Conta corrente FRUGIS5.XLS</t>
        </is>
      </c>
      <c r="B1683" s="39" t="n">
        <v>41045</v>
      </c>
      <c r="C1683" s="4" t="n">
        <v>41030</v>
      </c>
      <c r="D1683" s="5">
        <f>YEAR(C1683)</f>
        <v/>
      </c>
      <c r="E1683" s="5">
        <f>MONTH(C1683)</f>
        <v/>
      </c>
      <c r="F1683" s="38" t="inlineStr">
        <is>
          <t>NFV  :TENDA ATACADO LTDA</t>
        </is>
      </c>
      <c r="G1683" s="38" t="inlineStr">
        <is>
          <t>MARIO FRUGIS (01.04.01)</t>
        </is>
      </c>
      <c r="H1683" s="38" t="inlineStr">
        <is>
          <t>NFV</t>
        </is>
      </c>
      <c r="I1683" s="40" t="n">
        <v>185.64</v>
      </c>
      <c r="J1683" s="40" t="n">
        <v>0</v>
      </c>
      <c r="K1683" s="6">
        <f>I1683-J1683</f>
        <v/>
      </c>
      <c r="L1683" s="6">
        <f>IF(H1683="DISTRATO",0,I1683)</f>
        <v/>
      </c>
    </row>
    <row r="1684">
      <c r="A1684" s="38" t="inlineStr">
        <is>
          <t>Conta corrente FRUGIS5.XLS</t>
        </is>
      </c>
      <c r="B1684" s="39" t="n">
        <v>41045</v>
      </c>
      <c r="C1684" s="4" t="n">
        <v>41030</v>
      </c>
      <c r="D1684" s="5">
        <f>YEAR(C1684)</f>
        <v/>
      </c>
      <c r="E1684" s="5">
        <f>MONTH(C1684)</f>
        <v/>
      </c>
      <c r="F1684" s="38" t="inlineStr">
        <is>
          <t>NFV  :TENDA ATACADO LTDA</t>
        </is>
      </c>
      <c r="G1684" s="38" t="inlineStr">
        <is>
          <t>MARIO FRUGIS (01.04.01)</t>
        </is>
      </c>
      <c r="H1684" s="38" t="inlineStr">
        <is>
          <t>NFV</t>
        </is>
      </c>
      <c r="I1684" s="40" t="n">
        <v>90.38</v>
      </c>
      <c r="J1684" s="40" t="n">
        <v>0</v>
      </c>
      <c r="K1684" s="6">
        <f>I1684-J1684</f>
        <v/>
      </c>
      <c r="L1684" s="6">
        <f>IF(H1684="DISTRATO",0,I1684)</f>
        <v/>
      </c>
    </row>
    <row r="1685">
      <c r="A1685" s="38" t="inlineStr">
        <is>
          <t>Conta corrente FRUGIS5.XLS</t>
        </is>
      </c>
      <c r="B1685" s="39" t="n">
        <v>41045</v>
      </c>
      <c r="C1685" s="4" t="n">
        <v>41030</v>
      </c>
      <c r="D1685" s="5">
        <f>YEAR(C1685)</f>
        <v/>
      </c>
      <c r="E1685" s="5">
        <f>MONTH(C1685)</f>
        <v/>
      </c>
      <c r="F1685" s="38" t="inlineStr">
        <is>
          <t>NFV  :TENDA ATACADO LTDA</t>
        </is>
      </c>
      <c r="G1685" s="38" t="inlineStr">
        <is>
          <t>MARIO FRUGIS (01.04.01)</t>
        </is>
      </c>
      <c r="H1685" s="38" t="inlineStr">
        <is>
          <t>NFV</t>
        </is>
      </c>
      <c r="I1685" s="40" t="n">
        <v>140.54</v>
      </c>
      <c r="J1685" s="40" t="n">
        <v>0</v>
      </c>
      <c r="K1685" s="6">
        <f>I1685-J1685</f>
        <v/>
      </c>
      <c r="L1685" s="6">
        <f>IF(H1685="DISTRATO",0,I1685)</f>
        <v/>
      </c>
    </row>
    <row r="1686">
      <c r="A1686" s="38" t="inlineStr">
        <is>
          <t>Conta corrente FRUGIS5.XLS</t>
        </is>
      </c>
      <c r="B1686" s="39" t="n">
        <v>41045</v>
      </c>
      <c r="C1686" s="4" t="n">
        <v>41030</v>
      </c>
      <c r="D1686" s="5">
        <f>YEAR(C1686)</f>
        <v/>
      </c>
      <c r="E1686" s="5">
        <f>MONTH(C1686)</f>
        <v/>
      </c>
      <c r="F1686" s="38" t="inlineStr">
        <is>
          <t>NFV  :TENDA ATACADO LTDA</t>
        </is>
      </c>
      <c r="G1686" s="38" t="inlineStr">
        <is>
          <t>MARIO FRUGIS (01.04.01)</t>
        </is>
      </c>
      <c r="H1686" s="38" t="inlineStr">
        <is>
          <t>NFV</t>
        </is>
      </c>
      <c r="I1686" s="40" t="n">
        <v>163.91</v>
      </c>
      <c r="J1686" s="40" t="n">
        <v>0</v>
      </c>
      <c r="K1686" s="6">
        <f>I1686-J1686</f>
        <v/>
      </c>
      <c r="L1686" s="6">
        <f>IF(H1686="DISTRATO",0,I1686)</f>
        <v/>
      </c>
    </row>
    <row r="1687">
      <c r="A1687" s="38" t="inlineStr">
        <is>
          <t>Conta corrente FRUGIS5.XLS</t>
        </is>
      </c>
      <c r="B1687" s="39" t="n">
        <v>41045</v>
      </c>
      <c r="C1687" s="4" t="n">
        <v>41030</v>
      </c>
      <c r="D1687" s="5">
        <f>YEAR(C1687)</f>
        <v/>
      </c>
      <c r="E1687" s="5">
        <f>MONTH(C1687)</f>
        <v/>
      </c>
      <c r="F1687" s="38" t="inlineStr">
        <is>
          <t>NFV  :TENDA ATACADO LTDA</t>
        </is>
      </c>
      <c r="G1687" s="38" t="inlineStr">
        <is>
          <t>MARIO FRUGIS (01.04.01)</t>
        </is>
      </c>
      <c r="H1687" s="38" t="inlineStr">
        <is>
          <t>NFV</t>
        </is>
      </c>
      <c r="I1687" s="40" t="n">
        <v>100.97</v>
      </c>
      <c r="J1687" s="40" t="n">
        <v>0</v>
      </c>
      <c r="K1687" s="6">
        <f>I1687-J1687</f>
        <v/>
      </c>
      <c r="L1687" s="6">
        <f>IF(H1687="DISTRATO",0,I1687)</f>
        <v/>
      </c>
    </row>
    <row r="1688">
      <c r="A1688" s="38" t="inlineStr">
        <is>
          <t>Conta corrente FRUGIS5.XLS</t>
        </is>
      </c>
      <c r="B1688" s="39" t="n">
        <v>41045</v>
      </c>
      <c r="C1688" s="4" t="n">
        <v>41030</v>
      </c>
      <c r="D1688" s="5">
        <f>YEAR(C1688)</f>
        <v/>
      </c>
      <c r="E1688" s="5">
        <f>MONTH(C1688)</f>
        <v/>
      </c>
      <c r="F1688" s="38" t="inlineStr">
        <is>
          <t>NFV  :TENDA ATACADO LTDA</t>
        </is>
      </c>
      <c r="G1688" s="38" t="inlineStr">
        <is>
          <t>MARIO FRUGIS (01.04.01)</t>
        </is>
      </c>
      <c r="H1688" s="38" t="inlineStr">
        <is>
          <t>NFV</t>
        </is>
      </c>
      <c r="I1688" s="40" t="n">
        <v>147.64</v>
      </c>
      <c r="J1688" s="40" t="n">
        <v>0</v>
      </c>
      <c r="K1688" s="6">
        <f>I1688-J1688</f>
        <v/>
      </c>
      <c r="L1688" s="6">
        <f>IF(H1688="DISTRATO",0,I1688)</f>
        <v/>
      </c>
    </row>
    <row r="1689">
      <c r="A1689" s="38" t="inlineStr">
        <is>
          <t>Conta corrente FRUGIS5.XLS</t>
        </is>
      </c>
      <c r="B1689" s="39" t="n">
        <v>41045</v>
      </c>
      <c r="C1689" s="4" t="n">
        <v>41030</v>
      </c>
      <c r="D1689" s="5">
        <f>YEAR(C1689)</f>
        <v/>
      </c>
      <c r="E1689" s="5">
        <f>MONTH(C1689)</f>
        <v/>
      </c>
      <c r="F1689" s="38" t="inlineStr">
        <is>
          <t>NFV  :TENDA ATACADO LTDA</t>
        </is>
      </c>
      <c r="G1689" s="38" t="inlineStr">
        <is>
          <t>MARIO FRUGIS (01.04.01)</t>
        </is>
      </c>
      <c r="H1689" s="38" t="inlineStr">
        <is>
          <t>NFV</t>
        </is>
      </c>
      <c r="I1689" s="40" t="n">
        <v>129.07</v>
      </c>
      <c r="J1689" s="40" t="n">
        <v>0</v>
      </c>
      <c r="K1689" s="6">
        <f>I1689-J1689</f>
        <v/>
      </c>
      <c r="L1689" s="6">
        <f>IF(H1689="DISTRATO",0,I1689)</f>
        <v/>
      </c>
    </row>
    <row r="1690">
      <c r="A1690" s="38" t="inlineStr">
        <is>
          <t>Conta corrente FRUGIS5.XLS</t>
        </is>
      </c>
      <c r="B1690" s="39" t="n">
        <v>41046</v>
      </c>
      <c r="C1690" s="4" t="n">
        <v>41030</v>
      </c>
      <c r="D1690" s="5">
        <f>YEAR(C1690)</f>
        <v/>
      </c>
      <c r="E1690" s="5">
        <f>MONTH(C1690)</f>
        <v/>
      </c>
      <c r="F1690" s="38" t="inlineStr">
        <is>
          <t>NFV  :TENDA ATACADO LTDA</t>
        </is>
      </c>
      <c r="G1690" s="38" t="inlineStr">
        <is>
          <t>MARIO FRUGIS (01.04.01)</t>
        </is>
      </c>
      <c r="H1690" s="38" t="inlineStr">
        <is>
          <t>NFV</t>
        </is>
      </c>
      <c r="I1690" s="40" t="n">
        <v>144.65</v>
      </c>
      <c r="J1690" s="40" t="n">
        <v>0</v>
      </c>
      <c r="K1690" s="6">
        <f>I1690-J1690</f>
        <v/>
      </c>
      <c r="L1690" s="6">
        <f>IF(H1690="DISTRATO",0,I1690)</f>
        <v/>
      </c>
    </row>
    <row r="1691">
      <c r="A1691" s="38" t="inlineStr">
        <is>
          <t>Conta corrente FRUGIS5.XLS</t>
        </is>
      </c>
      <c r="B1691" s="39" t="n">
        <v>41046</v>
      </c>
      <c r="C1691" s="4" t="n">
        <v>41030</v>
      </c>
      <c r="D1691" s="5">
        <f>YEAR(C1691)</f>
        <v/>
      </c>
      <c r="E1691" s="5">
        <f>MONTH(C1691)</f>
        <v/>
      </c>
      <c r="F1691" s="38" t="inlineStr">
        <is>
          <t>NFV  :TENDA ATACADO LTDA</t>
        </is>
      </c>
      <c r="G1691" s="38" t="inlineStr">
        <is>
          <t>MARIO FRUGIS (01.04.01)</t>
        </is>
      </c>
      <c r="H1691" s="38" t="inlineStr">
        <is>
          <t>NFV</t>
        </is>
      </c>
      <c r="I1691" s="40" t="n">
        <v>98.70999999999999</v>
      </c>
      <c r="J1691" s="40" t="n">
        <v>0</v>
      </c>
      <c r="K1691" s="6">
        <f>I1691-J1691</f>
        <v/>
      </c>
      <c r="L1691" s="6">
        <f>IF(H1691="DISTRATO",0,I1691)</f>
        <v/>
      </c>
    </row>
    <row r="1692">
      <c r="A1692" s="38" t="inlineStr">
        <is>
          <t>Conta corrente FRUGIS5.XLS</t>
        </is>
      </c>
      <c r="B1692" s="39" t="n">
        <v>41046</v>
      </c>
      <c r="C1692" s="4" t="n">
        <v>41030</v>
      </c>
      <c r="D1692" s="5">
        <f>YEAR(C1692)</f>
        <v/>
      </c>
      <c r="E1692" s="5">
        <f>MONTH(C1692)</f>
        <v/>
      </c>
      <c r="F1692" s="38" t="inlineStr">
        <is>
          <t>NFV  :TENDA ATACADO LTDA</t>
        </is>
      </c>
      <c r="G1692" s="38" t="inlineStr">
        <is>
          <t>MARIO FRUGIS (01.04.01)</t>
        </is>
      </c>
      <c r="H1692" s="38" t="inlineStr">
        <is>
          <t>NFV</t>
        </is>
      </c>
      <c r="I1692" s="40" t="n">
        <v>207.41</v>
      </c>
      <c r="J1692" s="40" t="n">
        <v>0</v>
      </c>
      <c r="K1692" s="6">
        <f>I1692-J1692</f>
        <v/>
      </c>
      <c r="L1692" s="6">
        <f>IF(H1692="DISTRATO",0,I1692)</f>
        <v/>
      </c>
    </row>
    <row r="1693">
      <c r="A1693" s="38" t="inlineStr">
        <is>
          <t>Conta corrente FRUGIS5.XLS</t>
        </is>
      </c>
      <c r="B1693" s="39" t="n">
        <v>41046</v>
      </c>
      <c r="C1693" s="4" t="n">
        <v>41030</v>
      </c>
      <c r="D1693" s="5">
        <f>YEAR(C1693)</f>
        <v/>
      </c>
      <c r="E1693" s="5">
        <f>MONTH(C1693)</f>
        <v/>
      </c>
      <c r="F1693" s="38" t="inlineStr">
        <is>
          <t>NFV  :TENDA ATACADO LTDA</t>
        </is>
      </c>
      <c r="G1693" s="38" t="inlineStr">
        <is>
          <t>MARIO FRUGIS (01.04.01)</t>
        </is>
      </c>
      <c r="H1693" s="38" t="inlineStr">
        <is>
          <t>NFV</t>
        </is>
      </c>
      <c r="I1693" s="40" t="n">
        <v>252.13</v>
      </c>
      <c r="J1693" s="40" t="n">
        <v>0</v>
      </c>
      <c r="K1693" s="6">
        <f>I1693-J1693</f>
        <v/>
      </c>
      <c r="L1693" s="6">
        <f>IF(H1693="DISTRATO",0,I1693)</f>
        <v/>
      </c>
    </row>
    <row r="1694">
      <c r="A1694" s="38" t="inlineStr">
        <is>
          <t>Conta corrente FRUGIS5.XLS</t>
        </is>
      </c>
      <c r="B1694" s="39" t="n">
        <v>41046</v>
      </c>
      <c r="C1694" s="4" t="n">
        <v>41030</v>
      </c>
      <c r="D1694" s="5">
        <f>YEAR(C1694)</f>
        <v/>
      </c>
      <c r="E1694" s="5">
        <f>MONTH(C1694)</f>
        <v/>
      </c>
      <c r="F1694" s="38" t="inlineStr">
        <is>
          <t>NFV  :TENDA ATACADO LTDA</t>
        </is>
      </c>
      <c r="G1694" s="38" t="inlineStr">
        <is>
          <t>MARIO FRUGIS (01.04.01)</t>
        </is>
      </c>
      <c r="H1694" s="38" t="inlineStr">
        <is>
          <t>NFV</t>
        </is>
      </c>
      <c r="I1694" s="40" t="n">
        <v>190.51</v>
      </c>
      <c r="J1694" s="40" t="n">
        <v>0</v>
      </c>
      <c r="K1694" s="6">
        <f>I1694-J1694</f>
        <v/>
      </c>
      <c r="L1694" s="6">
        <f>IF(H1694="DISTRATO",0,I1694)</f>
        <v/>
      </c>
    </row>
    <row r="1695">
      <c r="A1695" s="38" t="inlineStr">
        <is>
          <t>Conta corrente FRUGIS5.XLS</t>
        </is>
      </c>
      <c r="B1695" s="39" t="n">
        <v>41046</v>
      </c>
      <c r="C1695" s="4" t="n">
        <v>41030</v>
      </c>
      <c r="D1695" s="5">
        <f>YEAR(C1695)</f>
        <v/>
      </c>
      <c r="E1695" s="5">
        <f>MONTH(C1695)</f>
        <v/>
      </c>
      <c r="F1695" s="38" t="inlineStr">
        <is>
          <t>NFV  :TENDA ATACADO LTDA</t>
        </is>
      </c>
      <c r="G1695" s="38" t="inlineStr">
        <is>
          <t>MARIO FRUGIS (01.04.01)</t>
        </is>
      </c>
      <c r="H1695" s="38" t="inlineStr">
        <is>
          <t>NFV</t>
        </is>
      </c>
      <c r="I1695" s="40" t="n">
        <v>82.31</v>
      </c>
      <c r="J1695" s="40" t="n">
        <v>0</v>
      </c>
      <c r="K1695" s="6">
        <f>I1695-J1695</f>
        <v/>
      </c>
      <c r="L1695" s="6">
        <f>IF(H1695="DISTRATO",0,I1695)</f>
        <v/>
      </c>
    </row>
    <row r="1696">
      <c r="A1696" s="38" t="inlineStr">
        <is>
          <t>Conta corrente FRUGIS5.XLS</t>
        </is>
      </c>
      <c r="B1696" s="39" t="n">
        <v>41046</v>
      </c>
      <c r="C1696" s="4" t="n">
        <v>41030</v>
      </c>
      <c r="D1696" s="5">
        <f>YEAR(C1696)</f>
        <v/>
      </c>
      <c r="E1696" s="5">
        <f>MONTH(C1696)</f>
        <v/>
      </c>
      <c r="F1696" s="38" t="inlineStr">
        <is>
          <t>NFV  :TENDA ATACADO LTDA</t>
        </is>
      </c>
      <c r="G1696" s="38" t="inlineStr">
        <is>
          <t>MARIO FRUGIS (01.04.01)</t>
        </is>
      </c>
      <c r="H1696" s="38" t="inlineStr">
        <is>
          <t>NFV</t>
        </is>
      </c>
      <c r="I1696" s="40" t="n">
        <v>53.53</v>
      </c>
      <c r="J1696" s="40" t="n">
        <v>0</v>
      </c>
      <c r="K1696" s="6">
        <f>I1696-J1696</f>
        <v/>
      </c>
      <c r="L1696" s="6">
        <f>IF(H1696="DISTRATO",0,I1696)</f>
        <v/>
      </c>
    </row>
    <row r="1697">
      <c r="A1697" s="38" t="inlineStr">
        <is>
          <t>Conta corrente FRUGIS5.XLS</t>
        </is>
      </c>
      <c r="B1697" s="39" t="n">
        <v>41052</v>
      </c>
      <c r="C1697" s="4" t="n">
        <v>41030</v>
      </c>
      <c r="D1697" s="5">
        <f>YEAR(C1697)</f>
        <v/>
      </c>
      <c r="E1697" s="5">
        <f>MONTH(C1697)</f>
        <v/>
      </c>
      <c r="F1697" s="38" t="inlineStr">
        <is>
          <t>NFV  :TENDA ATACADO LTDA</t>
        </is>
      </c>
      <c r="G1697" s="38" t="inlineStr">
        <is>
          <t>MARIO FRUGIS (01.04.01)</t>
        </is>
      </c>
      <c r="H1697" s="38" t="inlineStr">
        <is>
          <t>NFV</t>
        </is>
      </c>
      <c r="I1697" s="40" t="n">
        <v>26.12</v>
      </c>
      <c r="J1697" s="40" t="n">
        <v>0</v>
      </c>
      <c r="K1697" s="6">
        <f>I1697-J1697</f>
        <v/>
      </c>
      <c r="L1697" s="6">
        <f>IF(H1697="DISTRATO",0,I1697)</f>
        <v/>
      </c>
    </row>
    <row r="1698">
      <c r="A1698" s="38" t="inlineStr">
        <is>
          <t>Conta corrente FRUGIS5.XLS</t>
        </is>
      </c>
      <c r="B1698" s="39" t="n">
        <v>41052</v>
      </c>
      <c r="C1698" s="4" t="n">
        <v>41030</v>
      </c>
      <c r="D1698" s="5">
        <f>YEAR(C1698)</f>
        <v/>
      </c>
      <c r="E1698" s="5">
        <f>MONTH(C1698)</f>
        <v/>
      </c>
      <c r="F1698" s="38" t="inlineStr">
        <is>
          <t>NFV  :TENDA ATACADO LTDA</t>
        </is>
      </c>
      <c r="G1698" s="38" t="inlineStr">
        <is>
          <t>MARIO FRUGIS (01.04.01)</t>
        </is>
      </c>
      <c r="H1698" s="38" t="inlineStr">
        <is>
          <t>NFV</t>
        </is>
      </c>
      <c r="I1698" s="40" t="n">
        <v>17.41</v>
      </c>
      <c r="J1698" s="40" t="n">
        <v>0</v>
      </c>
      <c r="K1698" s="6">
        <f>I1698-J1698</f>
        <v/>
      </c>
      <c r="L1698" s="6">
        <f>IF(H1698="DISTRATO",0,I1698)</f>
        <v/>
      </c>
    </row>
    <row r="1699">
      <c r="A1699" s="38" t="inlineStr">
        <is>
          <t>Conta corrente FRUGIS5.XLS</t>
        </is>
      </c>
      <c r="B1699" s="39" t="n">
        <v>41052</v>
      </c>
      <c r="C1699" s="4" t="n">
        <v>41030</v>
      </c>
      <c r="D1699" s="5">
        <f>YEAR(C1699)</f>
        <v/>
      </c>
      <c r="E1699" s="5">
        <f>MONTH(C1699)</f>
        <v/>
      </c>
      <c r="F1699" s="38" t="inlineStr">
        <is>
          <t>NFV  :TENDA ATACADO LTDA</t>
        </is>
      </c>
      <c r="G1699" s="38" t="inlineStr">
        <is>
          <t>MARIO FRUGIS (01.04.01)</t>
        </is>
      </c>
      <c r="H1699" s="38" t="inlineStr">
        <is>
          <t>NFV</t>
        </is>
      </c>
      <c r="I1699" s="40" t="n">
        <v>114.93</v>
      </c>
      <c r="J1699" s="40" t="n">
        <v>0</v>
      </c>
      <c r="K1699" s="6">
        <f>I1699-J1699</f>
        <v/>
      </c>
      <c r="L1699" s="6">
        <f>IF(H1699="DISTRATO",0,I1699)</f>
        <v/>
      </c>
    </row>
    <row r="1700">
      <c r="A1700" s="38" t="inlineStr">
        <is>
          <t>Conta corrente FRUGIS5.XLS</t>
        </is>
      </c>
      <c r="B1700" s="39" t="n">
        <v>41052</v>
      </c>
      <c r="C1700" s="4" t="n">
        <v>41030</v>
      </c>
      <c r="D1700" s="5">
        <f>YEAR(C1700)</f>
        <v/>
      </c>
      <c r="E1700" s="5">
        <f>MONTH(C1700)</f>
        <v/>
      </c>
      <c r="F1700" s="38" t="inlineStr">
        <is>
          <t>NFV  :TENDA ATACADO LTDA</t>
        </is>
      </c>
      <c r="G1700" s="38" t="inlineStr">
        <is>
          <t>MARIO FRUGIS (01.04.01)</t>
        </is>
      </c>
      <c r="H1700" s="38" t="inlineStr">
        <is>
          <t>NFV</t>
        </is>
      </c>
      <c r="I1700" s="40" t="n">
        <v>25.38</v>
      </c>
      <c r="J1700" s="40" t="n">
        <v>0</v>
      </c>
      <c r="K1700" s="6">
        <f>I1700-J1700</f>
        <v/>
      </c>
      <c r="L1700" s="6">
        <f>IF(H1700="DISTRATO",0,I1700)</f>
        <v/>
      </c>
    </row>
    <row r="1701">
      <c r="A1701" s="38" t="inlineStr">
        <is>
          <t>Conta corrente FRUGIS5.XLS</t>
        </is>
      </c>
      <c r="B1701" s="39" t="n">
        <v>41052</v>
      </c>
      <c r="C1701" s="4" t="n">
        <v>41030</v>
      </c>
      <c r="D1701" s="5">
        <f>YEAR(C1701)</f>
        <v/>
      </c>
      <c r="E1701" s="5">
        <f>MONTH(C1701)</f>
        <v/>
      </c>
      <c r="F1701" s="38" t="inlineStr">
        <is>
          <t>NFV  :TENDA ATACADO LTDA</t>
        </is>
      </c>
      <c r="G1701" s="38" t="inlineStr">
        <is>
          <t>MARIO FRUGIS (01.04.01)</t>
        </is>
      </c>
      <c r="H1701" s="38" t="inlineStr">
        <is>
          <t>NFV</t>
        </is>
      </c>
      <c r="I1701" s="40" t="n">
        <v>12.06</v>
      </c>
      <c r="J1701" s="40" t="n">
        <v>0</v>
      </c>
      <c r="K1701" s="6">
        <f>I1701-J1701</f>
        <v/>
      </c>
      <c r="L1701" s="6">
        <f>IF(H1701="DISTRATO",0,I1701)</f>
        <v/>
      </c>
    </row>
    <row r="1702">
      <c r="A1702" s="38" t="inlineStr">
        <is>
          <t>Conta corrente FRUGIS5.XLS</t>
        </is>
      </c>
      <c r="B1702" s="39" t="n">
        <v>41052</v>
      </c>
      <c r="C1702" s="4" t="n">
        <v>41030</v>
      </c>
      <c r="D1702" s="5">
        <f>YEAR(C1702)</f>
        <v/>
      </c>
      <c r="E1702" s="5">
        <f>MONTH(C1702)</f>
        <v/>
      </c>
      <c r="F1702" s="38" t="inlineStr">
        <is>
          <t>NFV  :TENDA ATACADO LTDA</t>
        </is>
      </c>
      <c r="G1702" s="38" t="inlineStr">
        <is>
          <t>MARIO FRUGIS (01.04.01)</t>
        </is>
      </c>
      <c r="H1702" s="38" t="inlineStr">
        <is>
          <t>NFV</t>
        </is>
      </c>
      <c r="I1702" s="40" t="n">
        <v>159.89</v>
      </c>
      <c r="J1702" s="40" t="n">
        <v>0</v>
      </c>
      <c r="K1702" s="6">
        <f>I1702-J1702</f>
        <v/>
      </c>
      <c r="L1702" s="6">
        <f>IF(H1702="DISTRATO",0,I1702)</f>
        <v/>
      </c>
    </row>
    <row r="1703">
      <c r="A1703" s="38" t="inlineStr">
        <is>
          <t>Conta corrente FRUGIS5.XLS</t>
        </is>
      </c>
      <c r="B1703" s="39" t="n">
        <v>41052</v>
      </c>
      <c r="C1703" s="4" t="n">
        <v>41030</v>
      </c>
      <c r="D1703" s="5">
        <f>YEAR(C1703)</f>
        <v/>
      </c>
      <c r="E1703" s="5">
        <f>MONTH(C1703)</f>
        <v/>
      </c>
      <c r="F1703" s="38" t="inlineStr">
        <is>
          <t>NFV  :TENDA ATACADO LTDA</t>
        </is>
      </c>
      <c r="G1703" s="38" t="inlineStr">
        <is>
          <t>MARIO FRUGIS (01.04.01)</t>
        </is>
      </c>
      <c r="H1703" s="38" t="inlineStr">
        <is>
          <t>NFV</t>
        </is>
      </c>
      <c r="I1703" s="40" t="n">
        <v>39.59</v>
      </c>
      <c r="J1703" s="40" t="n">
        <v>0</v>
      </c>
      <c r="K1703" s="6">
        <f>I1703-J1703</f>
        <v/>
      </c>
      <c r="L1703" s="6">
        <f>IF(H1703="DISTRATO",0,I1703)</f>
        <v/>
      </c>
    </row>
    <row r="1704">
      <c r="A1704" s="38" t="inlineStr">
        <is>
          <t>Conta corrente FRUGIS5.XLS</t>
        </is>
      </c>
      <c r="B1704" s="39" t="n">
        <v>41052</v>
      </c>
      <c r="C1704" s="4" t="n">
        <v>41030</v>
      </c>
      <c r="D1704" s="5">
        <f>YEAR(C1704)</f>
        <v/>
      </c>
      <c r="E1704" s="5">
        <f>MONTH(C1704)</f>
        <v/>
      </c>
      <c r="F1704" s="38" t="inlineStr">
        <is>
          <t>NFV  :TENDA ATACADO LTDA</t>
        </is>
      </c>
      <c r="G1704" s="38" t="inlineStr">
        <is>
          <t>MARIO FRUGIS (01.04.01)</t>
        </is>
      </c>
      <c r="H1704" s="38" t="inlineStr">
        <is>
          <t>NFV</t>
        </is>
      </c>
      <c r="I1704" s="40" t="n">
        <v>83.81</v>
      </c>
      <c r="J1704" s="40" t="n">
        <v>0</v>
      </c>
      <c r="K1704" s="6">
        <f>I1704-J1704</f>
        <v/>
      </c>
      <c r="L1704" s="6">
        <f>IF(H1704="DISTRATO",0,I1704)</f>
        <v/>
      </c>
    </row>
    <row r="1705">
      <c r="A1705" s="38" t="inlineStr">
        <is>
          <t>Conta corrente FRUGIS5.XLS</t>
        </is>
      </c>
      <c r="B1705" s="39" t="n">
        <v>41052</v>
      </c>
      <c r="C1705" s="4" t="n">
        <v>41030</v>
      </c>
      <c r="D1705" s="5">
        <f>YEAR(C1705)</f>
        <v/>
      </c>
      <c r="E1705" s="5">
        <f>MONTH(C1705)</f>
        <v/>
      </c>
      <c r="F1705" s="38" t="inlineStr">
        <is>
          <t>NFV  :TENDA ATACADO LTDA</t>
        </is>
      </c>
      <c r="G1705" s="38" t="inlineStr">
        <is>
          <t>MARIO FRUGIS (01.04.01)</t>
        </is>
      </c>
      <c r="H1705" s="38" t="inlineStr">
        <is>
          <t>NFV</t>
        </is>
      </c>
      <c r="I1705" s="40" t="n">
        <v>33.28</v>
      </c>
      <c r="J1705" s="40" t="n">
        <v>0</v>
      </c>
      <c r="K1705" s="6">
        <f>I1705-J1705</f>
        <v/>
      </c>
      <c r="L1705" s="6">
        <f>IF(H1705="DISTRATO",0,I1705)</f>
        <v/>
      </c>
    </row>
    <row r="1706">
      <c r="A1706" s="38" t="inlineStr">
        <is>
          <t>Conta corrente FRUGIS5.XLS</t>
        </is>
      </c>
      <c r="B1706" s="39" t="n">
        <v>41052</v>
      </c>
      <c r="C1706" s="4" t="n">
        <v>41030</v>
      </c>
      <c r="D1706" s="5">
        <f>YEAR(C1706)</f>
        <v/>
      </c>
      <c r="E1706" s="5">
        <f>MONTH(C1706)</f>
        <v/>
      </c>
      <c r="F1706" s="38" t="inlineStr">
        <is>
          <t>NFV  :TENDA ATACADO LTDA</t>
        </is>
      </c>
      <c r="G1706" s="38" t="inlineStr">
        <is>
          <t>MARIO FRUGIS (01.04.01)</t>
        </is>
      </c>
      <c r="H1706" s="38" t="inlineStr">
        <is>
          <t>NFV</t>
        </is>
      </c>
      <c r="I1706" s="40" t="n">
        <v>129.02</v>
      </c>
      <c r="J1706" s="40" t="n">
        <v>0</v>
      </c>
      <c r="K1706" s="6">
        <f>I1706-J1706</f>
        <v/>
      </c>
      <c r="L1706" s="6">
        <f>IF(H1706="DISTRATO",0,I1706)</f>
        <v/>
      </c>
    </row>
    <row r="1707">
      <c r="A1707" s="38" t="inlineStr">
        <is>
          <t>Conta corrente FRUGIS5.XLS</t>
        </is>
      </c>
      <c r="B1707" s="39" t="n">
        <v>41052</v>
      </c>
      <c r="C1707" s="4" t="n">
        <v>41030</v>
      </c>
      <c r="D1707" s="5">
        <f>YEAR(C1707)</f>
        <v/>
      </c>
      <c r="E1707" s="5">
        <f>MONTH(C1707)</f>
        <v/>
      </c>
      <c r="F1707" s="38" t="inlineStr">
        <is>
          <t>NFV  :TENDA ATACADO LTDA</t>
        </is>
      </c>
      <c r="G1707" s="38" t="inlineStr">
        <is>
          <t>MARIO FRUGIS (01.04.01)</t>
        </is>
      </c>
      <c r="H1707" s="38" t="inlineStr">
        <is>
          <t>NFV</t>
        </is>
      </c>
      <c r="I1707" s="40" t="n">
        <v>109.02</v>
      </c>
      <c r="J1707" s="40" t="n">
        <v>0</v>
      </c>
      <c r="K1707" s="6">
        <f>I1707-J1707</f>
        <v/>
      </c>
      <c r="L1707" s="6">
        <f>IF(H1707="DISTRATO",0,I1707)</f>
        <v/>
      </c>
    </row>
    <row r="1708">
      <c r="A1708" s="38" t="inlineStr">
        <is>
          <t>Conta corrente FRUGIS5.XLS</t>
        </is>
      </c>
      <c r="B1708" s="39" t="n">
        <v>41052</v>
      </c>
      <c r="C1708" s="4" t="n">
        <v>41030</v>
      </c>
      <c r="D1708" s="5">
        <f>YEAR(C1708)</f>
        <v/>
      </c>
      <c r="E1708" s="5">
        <f>MONTH(C1708)</f>
        <v/>
      </c>
      <c r="F1708" s="38" t="inlineStr">
        <is>
          <t>NFV  :TENDA ATACADO LTDA</t>
        </is>
      </c>
      <c r="G1708" s="38" t="inlineStr">
        <is>
          <t>MARIO FRUGIS (01.04.01)</t>
        </is>
      </c>
      <c r="H1708" s="38" t="inlineStr">
        <is>
          <t>NFV</t>
        </is>
      </c>
      <c r="I1708" s="40" t="n">
        <v>112.1</v>
      </c>
      <c r="J1708" s="40" t="n">
        <v>0</v>
      </c>
      <c r="K1708" s="6">
        <f>I1708-J1708</f>
        <v/>
      </c>
      <c r="L1708" s="6">
        <f>IF(H1708="DISTRATO",0,I1708)</f>
        <v/>
      </c>
    </row>
    <row r="1709">
      <c r="A1709" s="38" t="inlineStr">
        <is>
          <t>Conta corrente FRUGIS5.XLS</t>
        </is>
      </c>
      <c r="B1709" s="39" t="n">
        <v>41052</v>
      </c>
      <c r="C1709" s="4" t="n">
        <v>41030</v>
      </c>
      <c r="D1709" s="5">
        <f>YEAR(C1709)</f>
        <v/>
      </c>
      <c r="E1709" s="5">
        <f>MONTH(C1709)</f>
        <v/>
      </c>
      <c r="F1709" s="38" t="inlineStr">
        <is>
          <t>NFV  :TENDA ATACADO LTDA</t>
        </is>
      </c>
      <c r="G1709" s="38" t="inlineStr">
        <is>
          <t>MARIO FRUGIS (01.04.01)</t>
        </is>
      </c>
      <c r="H1709" s="38" t="inlineStr">
        <is>
          <t>NFV</t>
        </is>
      </c>
      <c r="I1709" s="40" t="n">
        <v>37.64</v>
      </c>
      <c r="J1709" s="40" t="n">
        <v>0</v>
      </c>
      <c r="K1709" s="6">
        <f>I1709-J1709</f>
        <v/>
      </c>
      <c r="L1709" s="6">
        <f>IF(H1709="DISTRATO",0,I1709)</f>
        <v/>
      </c>
    </row>
    <row r="1710">
      <c r="A1710" s="38" t="inlineStr">
        <is>
          <t>Conta corrente FRUGIS5.XLS</t>
        </is>
      </c>
      <c r="B1710" s="39" t="n">
        <v>41052</v>
      </c>
      <c r="C1710" s="4" t="n">
        <v>41030</v>
      </c>
      <c r="D1710" s="5">
        <f>YEAR(C1710)</f>
        <v/>
      </c>
      <c r="E1710" s="5">
        <f>MONTH(C1710)</f>
        <v/>
      </c>
      <c r="F1710" s="38" t="inlineStr">
        <is>
          <t>NFV  :TENDA ATACADO LTDA</t>
        </is>
      </c>
      <c r="G1710" s="38" t="inlineStr">
        <is>
          <t>MARIO FRUGIS (01.04.01)</t>
        </is>
      </c>
      <c r="H1710" s="38" t="inlineStr">
        <is>
          <t>NFV</t>
        </is>
      </c>
      <c r="I1710" s="40" t="n">
        <v>97.23</v>
      </c>
      <c r="J1710" s="40" t="n">
        <v>0</v>
      </c>
      <c r="K1710" s="6">
        <f>I1710-J1710</f>
        <v/>
      </c>
      <c r="L1710" s="6">
        <f>IF(H1710="DISTRATO",0,I1710)</f>
        <v/>
      </c>
    </row>
    <row r="1711">
      <c r="A1711" s="38" t="inlineStr">
        <is>
          <t>Conta corrente FRUGIS5.XLS</t>
        </is>
      </c>
      <c r="B1711" s="39" t="n">
        <v>41053</v>
      </c>
      <c r="C1711" s="4" t="n">
        <v>41030</v>
      </c>
      <c r="D1711" s="5">
        <f>YEAR(C1711)</f>
        <v/>
      </c>
      <c r="E1711" s="5">
        <f>MONTH(C1711)</f>
        <v/>
      </c>
      <c r="F1711" s="38" t="inlineStr">
        <is>
          <t>NFV  :TENDA ATACADO LTDA</t>
        </is>
      </c>
      <c r="G1711" s="38" t="inlineStr">
        <is>
          <t>MARIO FRUGIS (01.04.01)</t>
        </is>
      </c>
      <c r="H1711" s="38" t="inlineStr">
        <is>
          <t>NFV</t>
        </is>
      </c>
      <c r="I1711" s="40" t="n">
        <v>36.23</v>
      </c>
      <c r="J1711" s="40" t="n">
        <v>0</v>
      </c>
      <c r="K1711" s="6">
        <f>I1711-J1711</f>
        <v/>
      </c>
      <c r="L1711" s="6">
        <f>IF(H1711="DISTRATO",0,I1711)</f>
        <v/>
      </c>
    </row>
    <row r="1712">
      <c r="A1712" s="38" t="inlineStr">
        <is>
          <t>Conta corrente FRUGIS5.XLS</t>
        </is>
      </c>
      <c r="B1712" s="39" t="n">
        <v>41053</v>
      </c>
      <c r="C1712" s="4" t="n">
        <v>41030</v>
      </c>
      <c r="D1712" s="5">
        <f>YEAR(C1712)</f>
        <v/>
      </c>
      <c r="E1712" s="5">
        <f>MONTH(C1712)</f>
        <v/>
      </c>
      <c r="F1712" s="38" t="inlineStr">
        <is>
          <t>NFV  :TENDA ATACADO LTDA</t>
        </is>
      </c>
      <c r="G1712" s="38" t="inlineStr">
        <is>
          <t>MARIO FRUGIS (01.04.01)</t>
        </is>
      </c>
      <c r="H1712" s="38" t="inlineStr">
        <is>
          <t>NFV</t>
        </is>
      </c>
      <c r="I1712" s="40" t="n">
        <v>36.23</v>
      </c>
      <c r="J1712" s="40" t="n">
        <v>0</v>
      </c>
      <c r="K1712" s="6">
        <f>I1712-J1712</f>
        <v/>
      </c>
      <c r="L1712" s="6">
        <f>IF(H1712="DISTRATO",0,I1712)</f>
        <v/>
      </c>
    </row>
    <row r="1713">
      <c r="A1713" s="38" t="inlineStr">
        <is>
          <t>Conta corrente FRUGIS5.XLS</t>
        </is>
      </c>
      <c r="B1713" s="39" t="n">
        <v>41053</v>
      </c>
      <c r="C1713" s="4" t="n">
        <v>41030</v>
      </c>
      <c r="D1713" s="5">
        <f>YEAR(C1713)</f>
        <v/>
      </c>
      <c r="E1713" s="5">
        <f>MONTH(C1713)</f>
        <v/>
      </c>
      <c r="F1713" s="38" t="inlineStr">
        <is>
          <t>NFV  :TENDA ATACADO LTDA</t>
        </is>
      </c>
      <c r="G1713" s="38" t="inlineStr">
        <is>
          <t>MARIO FRUGIS (01.04.01)</t>
        </is>
      </c>
      <c r="H1713" s="38" t="inlineStr">
        <is>
          <t>NFV</t>
        </is>
      </c>
      <c r="I1713" s="40" t="n">
        <v>189.23</v>
      </c>
      <c r="J1713" s="40" t="n">
        <v>0</v>
      </c>
      <c r="K1713" s="6">
        <f>I1713-J1713</f>
        <v/>
      </c>
      <c r="L1713" s="6">
        <f>IF(H1713="DISTRATO",0,I1713)</f>
        <v/>
      </c>
    </row>
    <row r="1714">
      <c r="A1714" s="38" t="inlineStr">
        <is>
          <t>Conta corrente FRUGIS5.XLS</t>
        </is>
      </c>
      <c r="B1714" s="39" t="n">
        <v>41053</v>
      </c>
      <c r="C1714" s="4" t="n">
        <v>41030</v>
      </c>
      <c r="D1714" s="5">
        <f>YEAR(C1714)</f>
        <v/>
      </c>
      <c r="E1714" s="5">
        <f>MONTH(C1714)</f>
        <v/>
      </c>
      <c r="F1714" s="38" t="inlineStr">
        <is>
          <t>NFV  :TENDA ATACADO LTDA</t>
        </is>
      </c>
      <c r="G1714" s="38" t="inlineStr">
        <is>
          <t>MARIO FRUGIS (01.04.01)</t>
        </is>
      </c>
      <c r="H1714" s="38" t="inlineStr">
        <is>
          <t>NFV</t>
        </is>
      </c>
      <c r="I1714" s="40" t="n">
        <v>14.58</v>
      </c>
      <c r="J1714" s="40" t="n">
        <v>0</v>
      </c>
      <c r="K1714" s="6">
        <f>I1714-J1714</f>
        <v/>
      </c>
      <c r="L1714" s="6">
        <f>IF(H1714="DISTRATO",0,I1714)</f>
        <v/>
      </c>
    </row>
    <row r="1715">
      <c r="A1715" s="38" t="inlineStr">
        <is>
          <t>Conta corrente FRUGIS5.XLS</t>
        </is>
      </c>
      <c r="B1715" s="39" t="n">
        <v>41053</v>
      </c>
      <c r="C1715" s="4" t="n">
        <v>41030</v>
      </c>
      <c r="D1715" s="5">
        <f>YEAR(C1715)</f>
        <v/>
      </c>
      <c r="E1715" s="5">
        <f>MONTH(C1715)</f>
        <v/>
      </c>
      <c r="F1715" s="38" t="inlineStr">
        <is>
          <t>NFV  :TENDA ATACADO LTDA</t>
        </is>
      </c>
      <c r="G1715" s="38" t="inlineStr">
        <is>
          <t>MARIO FRUGIS (01.04.01)</t>
        </is>
      </c>
      <c r="H1715" s="38" t="inlineStr">
        <is>
          <t>NFV</t>
        </is>
      </c>
      <c r="I1715" s="40" t="n">
        <v>126.63</v>
      </c>
      <c r="J1715" s="40" t="n">
        <v>0</v>
      </c>
      <c r="K1715" s="6">
        <f>I1715-J1715</f>
        <v/>
      </c>
      <c r="L1715" s="6">
        <f>IF(H1715="DISTRATO",0,I1715)</f>
        <v/>
      </c>
    </row>
    <row r="1716">
      <c r="A1716" s="38" t="inlineStr">
        <is>
          <t>Conta corrente FRUGIS5.XLS</t>
        </is>
      </c>
      <c r="B1716" s="39" t="n">
        <v>41053</v>
      </c>
      <c r="C1716" s="4" t="n">
        <v>41030</v>
      </c>
      <c r="D1716" s="5">
        <f>YEAR(C1716)</f>
        <v/>
      </c>
      <c r="E1716" s="5">
        <f>MONTH(C1716)</f>
        <v/>
      </c>
      <c r="F1716" s="38" t="inlineStr">
        <is>
          <t>NFV  :TENDA ATACADO LTDA</t>
        </is>
      </c>
      <c r="G1716" s="38" t="inlineStr">
        <is>
          <t>MARIO FRUGIS (01.04.01)</t>
        </is>
      </c>
      <c r="H1716" s="38" t="inlineStr">
        <is>
          <t>NFV</t>
        </is>
      </c>
      <c r="I1716" s="40" t="n">
        <v>74.94</v>
      </c>
      <c r="J1716" s="40" t="n">
        <v>0</v>
      </c>
      <c r="K1716" s="6">
        <f>I1716-J1716</f>
        <v/>
      </c>
      <c r="L1716" s="6">
        <f>IF(H1716="DISTRATO",0,I1716)</f>
        <v/>
      </c>
    </row>
    <row r="1717">
      <c r="A1717" s="38" t="inlineStr">
        <is>
          <t>Conta corrente FRUGIS5.XLS</t>
        </is>
      </c>
      <c r="B1717" s="39" t="n">
        <v>41053</v>
      </c>
      <c r="C1717" s="4" t="n">
        <v>41030</v>
      </c>
      <c r="D1717" s="5">
        <f>YEAR(C1717)</f>
        <v/>
      </c>
      <c r="E1717" s="5">
        <f>MONTH(C1717)</f>
        <v/>
      </c>
      <c r="F1717" s="38" t="inlineStr">
        <is>
          <t>NFV  :TENDA ATACADO LTDA</t>
        </is>
      </c>
      <c r="G1717" s="38" t="inlineStr">
        <is>
          <t>MARIO FRUGIS (01.04.01)</t>
        </is>
      </c>
      <c r="H1717" s="38" t="inlineStr">
        <is>
          <t>NFV</t>
        </is>
      </c>
      <c r="I1717" s="40" t="n">
        <v>86.33</v>
      </c>
      <c r="J1717" s="40" t="n">
        <v>0</v>
      </c>
      <c r="K1717" s="6">
        <f>I1717-J1717</f>
        <v/>
      </c>
      <c r="L1717" s="6">
        <f>IF(H1717="DISTRATO",0,I1717)</f>
        <v/>
      </c>
    </row>
    <row r="1718">
      <c r="A1718" s="38" t="inlineStr">
        <is>
          <t>Conta corrente FRUGIS5.XLS</t>
        </is>
      </c>
      <c r="B1718" s="39" t="n">
        <v>41053</v>
      </c>
      <c r="C1718" s="4" t="n">
        <v>41030</v>
      </c>
      <c r="D1718" s="5">
        <f>YEAR(C1718)</f>
        <v/>
      </c>
      <c r="E1718" s="5">
        <f>MONTH(C1718)</f>
        <v/>
      </c>
      <c r="F1718" s="38" t="inlineStr">
        <is>
          <t>NFV  :TENDA ATACADO LTDA</t>
        </is>
      </c>
      <c r="G1718" s="38" t="inlineStr">
        <is>
          <t>MARIO FRUGIS (01.04.01)</t>
        </is>
      </c>
      <c r="H1718" s="38" t="inlineStr">
        <is>
          <t>NFV</t>
        </is>
      </c>
      <c r="I1718" s="40" t="n">
        <v>28.24</v>
      </c>
      <c r="J1718" s="40" t="n">
        <v>0</v>
      </c>
      <c r="K1718" s="6">
        <f>I1718-J1718</f>
        <v/>
      </c>
      <c r="L1718" s="6">
        <f>IF(H1718="DISTRATO",0,I1718)</f>
        <v/>
      </c>
    </row>
    <row r="1719">
      <c r="A1719" s="38" t="inlineStr">
        <is>
          <t>Conta corrente FRUGIS5.XLS</t>
        </is>
      </c>
      <c r="B1719" s="39" t="n">
        <v>41053</v>
      </c>
      <c r="C1719" s="4" t="n">
        <v>41030</v>
      </c>
      <c r="D1719" s="5">
        <f>YEAR(C1719)</f>
        <v/>
      </c>
      <c r="E1719" s="5">
        <f>MONTH(C1719)</f>
        <v/>
      </c>
      <c r="F1719" s="38" t="inlineStr">
        <is>
          <t>NFV  :TENDA ATACADO LTDA</t>
        </is>
      </c>
      <c r="G1719" s="38" t="inlineStr">
        <is>
          <t>MARIO FRUGIS (01.04.01)</t>
        </is>
      </c>
      <c r="H1719" s="38" t="inlineStr">
        <is>
          <t>NFV</t>
        </is>
      </c>
      <c r="I1719" s="40" t="n">
        <v>84.09</v>
      </c>
      <c r="J1719" s="40" t="n">
        <v>0</v>
      </c>
      <c r="K1719" s="6">
        <f>I1719-J1719</f>
        <v/>
      </c>
      <c r="L1719" s="6">
        <f>IF(H1719="DISTRATO",0,I1719)</f>
        <v/>
      </c>
    </row>
    <row r="1720">
      <c r="A1720" s="38" t="inlineStr">
        <is>
          <t>Conta corrente FRUGIS5.XLS</t>
        </is>
      </c>
      <c r="B1720" s="39" t="n">
        <v>41053</v>
      </c>
      <c r="C1720" s="4" t="n">
        <v>41030</v>
      </c>
      <c r="D1720" s="5">
        <f>YEAR(C1720)</f>
        <v/>
      </c>
      <c r="E1720" s="5">
        <f>MONTH(C1720)</f>
        <v/>
      </c>
      <c r="F1720" s="38" t="inlineStr">
        <is>
          <t>NFV  :TENDA ATACADO LTDA</t>
        </is>
      </c>
      <c r="G1720" s="38" t="inlineStr">
        <is>
          <t>MARIO FRUGIS (01.04.01)</t>
        </is>
      </c>
      <c r="H1720" s="38" t="inlineStr">
        <is>
          <t>NFV</t>
        </is>
      </c>
      <c r="I1720" s="40" t="n">
        <v>139.71</v>
      </c>
      <c r="J1720" s="40" t="n">
        <v>0</v>
      </c>
      <c r="K1720" s="6">
        <f>I1720-J1720</f>
        <v/>
      </c>
      <c r="L1720" s="6">
        <f>IF(H1720="DISTRATO",0,I1720)</f>
        <v/>
      </c>
    </row>
    <row r="1721">
      <c r="A1721" s="38" t="inlineStr">
        <is>
          <t>Conta corrente FRUGIS5.XLS</t>
        </is>
      </c>
      <c r="B1721" s="39" t="n">
        <v>41057</v>
      </c>
      <c r="C1721" s="4" t="n">
        <v>41030</v>
      </c>
      <c r="D1721" s="5">
        <f>YEAR(C1721)</f>
        <v/>
      </c>
      <c r="E1721" s="5">
        <f>MONTH(C1721)</f>
        <v/>
      </c>
      <c r="F1721" s="38" t="inlineStr">
        <is>
          <t>NFV  :TENDA ATACADO LTDA</t>
        </is>
      </c>
      <c r="G1721" s="38" t="inlineStr">
        <is>
          <t>MARIO FRUGIS (01.04.01)</t>
        </is>
      </c>
      <c r="H1721" s="38" t="inlineStr">
        <is>
          <t>NFV</t>
        </is>
      </c>
      <c r="I1721" s="40" t="n">
        <v>27.36</v>
      </c>
      <c r="J1721" s="40" t="n">
        <v>0</v>
      </c>
      <c r="K1721" s="6">
        <f>I1721-J1721</f>
        <v/>
      </c>
      <c r="L1721" s="6">
        <f>IF(H1721="DISTRATO",0,I1721)</f>
        <v/>
      </c>
    </row>
    <row r="1722">
      <c r="A1722" s="38" t="inlineStr">
        <is>
          <t>Conta corrente FRUGIS5.XLS</t>
        </is>
      </c>
      <c r="B1722" s="39" t="n">
        <v>41059</v>
      </c>
      <c r="C1722" s="4" t="n">
        <v>41030</v>
      </c>
      <c r="D1722" s="5">
        <f>YEAR(C1722)</f>
        <v/>
      </c>
      <c r="E1722" s="5">
        <f>MONTH(C1722)</f>
        <v/>
      </c>
      <c r="F1722" s="38" t="inlineStr">
        <is>
          <t>NFV  :TENDA ATACADO LTDA</t>
        </is>
      </c>
      <c r="G1722" s="38" t="inlineStr">
        <is>
          <t>MARIO FRUGIS (01.04.01)</t>
        </is>
      </c>
      <c r="H1722" s="38" t="inlineStr">
        <is>
          <t>NFV</t>
        </is>
      </c>
      <c r="I1722" s="40" t="n">
        <v>36.81</v>
      </c>
      <c r="J1722" s="40" t="n">
        <v>0</v>
      </c>
      <c r="K1722" s="6">
        <f>I1722-J1722</f>
        <v/>
      </c>
      <c r="L1722" s="6">
        <f>IF(H1722="DISTRATO",0,I1722)</f>
        <v/>
      </c>
    </row>
    <row r="1723">
      <c r="A1723" s="38" t="inlineStr">
        <is>
          <t>Conta corrente FRUGIS5.XLS</t>
        </is>
      </c>
      <c r="B1723" s="39" t="n">
        <v>41060</v>
      </c>
      <c r="C1723" s="4" t="n">
        <v>41030</v>
      </c>
      <c r="D1723" s="5">
        <f>YEAR(C1723)</f>
        <v/>
      </c>
      <c r="E1723" s="5">
        <f>MONTH(C1723)</f>
        <v/>
      </c>
      <c r="F1723" s="38" t="inlineStr">
        <is>
          <t>NFV  :TENDA ATACADO LTDA</t>
        </is>
      </c>
      <c r="G1723" s="38" t="inlineStr">
        <is>
          <t>MARIO FRUGIS (01.04.01)</t>
        </is>
      </c>
      <c r="H1723" s="38" t="inlineStr">
        <is>
          <t>NFV</t>
        </is>
      </c>
      <c r="I1723" s="40" t="n">
        <v>101.54</v>
      </c>
      <c r="J1723" s="40" t="n">
        <v>0</v>
      </c>
      <c r="K1723" s="6">
        <f>I1723-J1723</f>
        <v/>
      </c>
      <c r="L1723" s="6">
        <f>IF(H1723="DISTRATO",0,I1723)</f>
        <v/>
      </c>
    </row>
    <row r="1724">
      <c r="A1724" s="38" t="inlineStr">
        <is>
          <t>Conta corrente FRUGIS5.XLS</t>
        </is>
      </c>
      <c r="B1724" s="39" t="n">
        <v>41060</v>
      </c>
      <c r="C1724" s="4" t="n">
        <v>41030</v>
      </c>
      <c r="D1724" s="5">
        <f>YEAR(C1724)</f>
        <v/>
      </c>
      <c r="E1724" s="5">
        <f>MONTH(C1724)</f>
        <v/>
      </c>
      <c r="F1724" s="38" t="inlineStr">
        <is>
          <t>NFV  :TENDA ATACADO LTDA</t>
        </is>
      </c>
      <c r="G1724" s="38" t="inlineStr">
        <is>
          <t>MARIO FRUGIS (01.04.01)</t>
        </is>
      </c>
      <c r="H1724" s="38" t="inlineStr">
        <is>
          <t>NFV</t>
        </is>
      </c>
      <c r="I1724" s="40" t="n">
        <v>42.94</v>
      </c>
      <c r="J1724" s="40" t="n">
        <v>0</v>
      </c>
      <c r="K1724" s="6">
        <f>I1724-J1724</f>
        <v/>
      </c>
      <c r="L1724" s="6">
        <f>IF(H1724="DISTRATO",0,I1724)</f>
        <v/>
      </c>
    </row>
    <row r="1725">
      <c r="A1725" s="38" t="inlineStr">
        <is>
          <t>Conta corrente FRUGIS5.XLS</t>
        </is>
      </c>
      <c r="B1725" s="39" t="n">
        <v>41060</v>
      </c>
      <c r="C1725" s="4" t="n">
        <v>41030</v>
      </c>
      <c r="D1725" s="5">
        <f>YEAR(C1725)</f>
        <v/>
      </c>
      <c r="E1725" s="5">
        <f>MONTH(C1725)</f>
        <v/>
      </c>
      <c r="F1725" s="38" t="inlineStr">
        <is>
          <t>NFV  :TENDA ATACADO LTDA</t>
        </is>
      </c>
      <c r="G1725" s="38" t="inlineStr">
        <is>
          <t>MARIO FRUGIS (01.04.01)</t>
        </is>
      </c>
      <c r="H1725" s="38" t="inlineStr">
        <is>
          <t>NFV</t>
        </is>
      </c>
      <c r="I1725" s="40" t="n">
        <v>157.39</v>
      </c>
      <c r="J1725" s="40" t="n">
        <v>0</v>
      </c>
      <c r="K1725" s="6">
        <f>I1725-J1725</f>
        <v/>
      </c>
      <c r="L1725" s="6">
        <f>IF(H1725="DISTRATO",0,I1725)</f>
        <v/>
      </c>
    </row>
    <row r="1726">
      <c r="A1726" s="38" t="inlineStr">
        <is>
          <t>Conta corrente FRUGIS5.XLS</t>
        </is>
      </c>
      <c r="B1726" s="39" t="n">
        <v>41060</v>
      </c>
      <c r="C1726" s="4" t="n">
        <v>41030</v>
      </c>
      <c r="D1726" s="5">
        <f>YEAR(C1726)</f>
        <v/>
      </c>
      <c r="E1726" s="5">
        <f>MONTH(C1726)</f>
        <v/>
      </c>
      <c r="F1726" s="38" t="inlineStr">
        <is>
          <t>NFV  :TENDA ATACADO LTDA</t>
        </is>
      </c>
      <c r="G1726" s="38" t="inlineStr">
        <is>
          <t>MARIO FRUGIS (01.04.01)</t>
        </is>
      </c>
      <c r="H1726" s="38" t="inlineStr">
        <is>
          <t>NFV</t>
        </is>
      </c>
      <c r="I1726" s="40" t="n">
        <v>82.36</v>
      </c>
      <c r="J1726" s="40" t="n">
        <v>0</v>
      </c>
      <c r="K1726" s="6">
        <f>I1726-J1726</f>
        <v/>
      </c>
      <c r="L1726" s="6">
        <f>IF(H1726="DISTRATO",0,I1726)</f>
        <v/>
      </c>
    </row>
    <row r="1727">
      <c r="A1727" s="38" t="inlineStr">
        <is>
          <t>Conta corrente FRUGIS5.XLS</t>
        </is>
      </c>
      <c r="B1727" s="39" t="n">
        <v>41060</v>
      </c>
      <c r="C1727" s="4" t="n">
        <v>41030</v>
      </c>
      <c r="D1727" s="5">
        <f>YEAR(C1727)</f>
        <v/>
      </c>
      <c r="E1727" s="5">
        <f>MONTH(C1727)</f>
        <v/>
      </c>
      <c r="F1727" s="38" t="inlineStr">
        <is>
          <t>NFV  :TENDA ATACADO LTDA</t>
        </is>
      </c>
      <c r="G1727" s="38" t="inlineStr">
        <is>
          <t>MARIO FRUGIS (01.04.01)</t>
        </is>
      </c>
      <c r="H1727" s="38" t="inlineStr">
        <is>
          <t>NFV</t>
        </is>
      </c>
      <c r="I1727" s="40" t="n">
        <v>136.42</v>
      </c>
      <c r="J1727" s="40" t="n">
        <v>0</v>
      </c>
      <c r="K1727" s="6">
        <f>I1727-J1727</f>
        <v/>
      </c>
      <c r="L1727" s="6">
        <f>IF(H1727="DISTRATO",0,I1727)</f>
        <v/>
      </c>
    </row>
    <row r="1728">
      <c r="A1728" s="38" t="inlineStr">
        <is>
          <t>Conta corrente FRUGIS5.XLS</t>
        </is>
      </c>
      <c r="B1728" s="39" t="n">
        <v>41060</v>
      </c>
      <c r="C1728" s="4" t="n">
        <v>41030</v>
      </c>
      <c r="D1728" s="5">
        <f>YEAR(C1728)</f>
        <v/>
      </c>
      <c r="E1728" s="5">
        <f>MONTH(C1728)</f>
        <v/>
      </c>
      <c r="F1728" s="38" t="inlineStr">
        <is>
          <t>NFV  :TENDA ATACADO LTDA</t>
        </is>
      </c>
      <c r="G1728" s="38" t="inlineStr">
        <is>
          <t>MARIO FRUGIS (01.04.01)</t>
        </is>
      </c>
      <c r="H1728" s="38" t="inlineStr">
        <is>
          <t>NFV</t>
        </is>
      </c>
      <c r="I1728" s="40" t="n">
        <v>54.66</v>
      </c>
      <c r="J1728" s="40" t="n">
        <v>0</v>
      </c>
      <c r="K1728" s="6">
        <f>I1728-J1728</f>
        <v/>
      </c>
      <c r="L1728" s="6">
        <f>IF(H1728="DISTRATO",0,I1728)</f>
        <v/>
      </c>
    </row>
    <row r="1729">
      <c r="A1729" s="38" t="inlineStr">
        <is>
          <t>Conta corrente FRUGIS5.XLS</t>
        </is>
      </c>
      <c r="B1729" s="39" t="n">
        <v>41060</v>
      </c>
      <c r="C1729" s="4" t="n">
        <v>41030</v>
      </c>
      <c r="D1729" s="5">
        <f>YEAR(C1729)</f>
        <v/>
      </c>
      <c r="E1729" s="5">
        <f>MONTH(C1729)</f>
        <v/>
      </c>
      <c r="F1729" s="38" t="inlineStr">
        <is>
          <t>NFV  :TENDA ATACADO LTDA</t>
        </is>
      </c>
      <c r="G1729" s="38" t="inlineStr">
        <is>
          <t>MARIO FRUGIS (01.04.01)</t>
        </is>
      </c>
      <c r="H1729" s="38" t="inlineStr">
        <is>
          <t>NFV</t>
        </is>
      </c>
      <c r="I1729" s="40" t="n">
        <v>89.05</v>
      </c>
      <c r="J1729" s="40" t="n">
        <v>0</v>
      </c>
      <c r="K1729" s="6">
        <f>I1729-J1729</f>
        <v/>
      </c>
      <c r="L1729" s="6">
        <f>IF(H1729="DISTRATO",0,I1729)</f>
        <v/>
      </c>
    </row>
    <row r="1730">
      <c r="A1730" s="38" t="inlineStr">
        <is>
          <t>Conta corrente FRUGIS5.XLS</t>
        </is>
      </c>
      <c r="B1730" s="39" t="n">
        <v>41060</v>
      </c>
      <c r="C1730" s="4" t="n">
        <v>41030</v>
      </c>
      <c r="D1730" s="5">
        <f>YEAR(C1730)</f>
        <v/>
      </c>
      <c r="E1730" s="5">
        <f>MONTH(C1730)</f>
        <v/>
      </c>
      <c r="F1730" s="38" t="inlineStr">
        <is>
          <t>NFV  :TENDA ATACADO LTDA</t>
        </is>
      </c>
      <c r="G1730" s="38" t="inlineStr">
        <is>
          <t>MARIO FRUGIS (01.04.01)</t>
        </is>
      </c>
      <c r="H1730" s="38" t="inlineStr">
        <is>
          <t>NFV</t>
        </is>
      </c>
      <c r="I1730" s="40" t="n">
        <v>121.87</v>
      </c>
      <c r="J1730" s="40" t="n">
        <v>0</v>
      </c>
      <c r="K1730" s="6">
        <f>I1730-J1730</f>
        <v/>
      </c>
      <c r="L1730" s="6">
        <f>IF(H1730="DISTRATO",0,I1730)</f>
        <v/>
      </c>
    </row>
    <row r="1731">
      <c r="A1731" s="38" t="inlineStr">
        <is>
          <t>Conta corrente FRUGIS5.XLS</t>
        </is>
      </c>
      <c r="B1731" s="39" t="n">
        <v>41060</v>
      </c>
      <c r="C1731" s="4" t="n">
        <v>41030</v>
      </c>
      <c r="D1731" s="5">
        <f>YEAR(C1731)</f>
        <v/>
      </c>
      <c r="E1731" s="5">
        <f>MONTH(C1731)</f>
        <v/>
      </c>
      <c r="F1731" s="38" t="inlineStr">
        <is>
          <t>NFV  :TENDA ATACADO LTDA</t>
        </is>
      </c>
      <c r="G1731" s="38" t="inlineStr">
        <is>
          <t>MARIO FRUGIS (01.04.01)</t>
        </is>
      </c>
      <c r="H1731" s="38" t="inlineStr">
        <is>
          <t>NFV</t>
        </is>
      </c>
      <c r="I1731" s="40" t="n">
        <v>110.69</v>
      </c>
      <c r="J1731" s="40" t="n">
        <v>0</v>
      </c>
      <c r="K1731" s="6">
        <f>I1731-J1731</f>
        <v/>
      </c>
      <c r="L1731" s="6">
        <f>IF(H1731="DISTRATO",0,I1731)</f>
        <v/>
      </c>
    </row>
    <row r="1732">
      <c r="A1732" s="38" t="inlineStr">
        <is>
          <t>Conta corrente FRUGIS5.XLS</t>
        </is>
      </c>
      <c r="B1732" s="39" t="n">
        <v>41060</v>
      </c>
      <c r="C1732" s="4" t="n">
        <v>41030</v>
      </c>
      <c r="D1732" s="5">
        <f>YEAR(C1732)</f>
        <v/>
      </c>
      <c r="E1732" s="5">
        <f>MONTH(C1732)</f>
        <v/>
      </c>
      <c r="F1732" s="38" t="inlineStr">
        <is>
          <t>NFV  :TENDA ATACADO LTDA</t>
        </is>
      </c>
      <c r="G1732" s="38" t="inlineStr">
        <is>
          <t>MARIO FRUGIS (01.04.01)</t>
        </is>
      </c>
      <c r="H1732" s="38" t="inlineStr">
        <is>
          <t>NFV</t>
        </is>
      </c>
      <c r="I1732" s="40" t="n">
        <v>83.08</v>
      </c>
      <c r="J1732" s="40" t="n">
        <v>0</v>
      </c>
      <c r="K1732" s="6">
        <f>I1732-J1732</f>
        <v/>
      </c>
      <c r="L1732" s="6">
        <f>IF(H1732="DISTRATO",0,I1732)</f>
        <v/>
      </c>
    </row>
    <row r="1733">
      <c r="A1733" s="38" t="inlineStr">
        <is>
          <t>Conta corrente FRUGIS5.XLS</t>
        </is>
      </c>
      <c r="B1733" s="39" t="n">
        <v>41060</v>
      </c>
      <c r="C1733" s="4" t="n">
        <v>41030</v>
      </c>
      <c r="D1733" s="5">
        <f>YEAR(C1733)</f>
        <v/>
      </c>
      <c r="E1733" s="5">
        <f>MONTH(C1733)</f>
        <v/>
      </c>
      <c r="F1733" s="38" t="inlineStr">
        <is>
          <t>NFV  :TENDA ATACADO LTDA</t>
        </is>
      </c>
      <c r="G1733" s="38" t="inlineStr">
        <is>
          <t>MARIO FRUGIS (01.04.01)</t>
        </is>
      </c>
      <c r="H1733" s="38" t="inlineStr">
        <is>
          <t>NFV</t>
        </is>
      </c>
      <c r="I1733" s="40" t="n">
        <v>63.74</v>
      </c>
      <c r="J1733" s="40" t="n">
        <v>0</v>
      </c>
      <c r="K1733" s="6">
        <f>I1733-J1733</f>
        <v/>
      </c>
      <c r="L1733" s="6">
        <f>IF(H1733="DISTRATO",0,I1733)</f>
        <v/>
      </c>
    </row>
    <row r="1734">
      <c r="A1734" s="38" t="inlineStr">
        <is>
          <t>Conta corrente FRUGIS5.XLS</t>
        </is>
      </c>
      <c r="B1734" s="39" t="n">
        <v>41060</v>
      </c>
      <c r="C1734" s="4" t="n">
        <v>41030</v>
      </c>
      <c r="D1734" s="5">
        <f>YEAR(C1734)</f>
        <v/>
      </c>
      <c r="E1734" s="5">
        <f>MONTH(C1734)</f>
        <v/>
      </c>
      <c r="F1734" s="38" t="inlineStr">
        <is>
          <t>NFV  :TENDA ATACADO LTDA</t>
        </is>
      </c>
      <c r="G1734" s="38" t="inlineStr">
        <is>
          <t>MARIO FRUGIS (01.04.01)</t>
        </is>
      </c>
      <c r="H1734" s="38" t="inlineStr">
        <is>
          <t>NFV</t>
        </is>
      </c>
      <c r="I1734" s="40" t="n">
        <v>95.72</v>
      </c>
      <c r="J1734" s="40" t="n">
        <v>0</v>
      </c>
      <c r="K1734" s="6">
        <f>I1734-J1734</f>
        <v/>
      </c>
      <c r="L1734" s="6">
        <f>IF(H1734="DISTRATO",0,I1734)</f>
        <v/>
      </c>
    </row>
    <row r="1735">
      <c r="A1735" s="38" t="inlineStr">
        <is>
          <t>Conta corrente FRUGIS5.XLS</t>
        </is>
      </c>
      <c r="B1735" s="39" t="n">
        <v>41060</v>
      </c>
      <c r="C1735" s="4" t="n">
        <v>41030</v>
      </c>
      <c r="D1735" s="5">
        <f>YEAR(C1735)</f>
        <v/>
      </c>
      <c r="E1735" s="5">
        <f>MONTH(C1735)</f>
        <v/>
      </c>
      <c r="F1735" s="38" t="inlineStr">
        <is>
          <t>NFV  :TENDA ATACADO LTDA</t>
        </is>
      </c>
      <c r="G1735" s="38" t="inlineStr">
        <is>
          <t>MARIO FRUGIS (01.04.01)</t>
        </is>
      </c>
      <c r="H1735" s="38" t="inlineStr">
        <is>
          <t>NFV</t>
        </is>
      </c>
      <c r="I1735" s="40" t="n">
        <v>110.31</v>
      </c>
      <c r="J1735" s="40" t="n">
        <v>0</v>
      </c>
      <c r="K1735" s="6">
        <f>I1735-J1735</f>
        <v/>
      </c>
      <c r="L1735" s="6">
        <f>IF(H1735="DISTRATO",0,I1735)</f>
        <v/>
      </c>
    </row>
    <row r="1736">
      <c r="A1736" s="38" t="inlineStr">
        <is>
          <t>Conta corrente FRUGIS5.XLS</t>
        </is>
      </c>
      <c r="B1736" s="39" t="n">
        <v>41060</v>
      </c>
      <c r="C1736" s="4" t="n">
        <v>41030</v>
      </c>
      <c r="D1736" s="5">
        <f>YEAR(C1736)</f>
        <v/>
      </c>
      <c r="E1736" s="5">
        <f>MONTH(C1736)</f>
        <v/>
      </c>
      <c r="F1736" s="38" t="inlineStr">
        <is>
          <t>NFV  :TENDA ATACADO LTDA</t>
        </is>
      </c>
      <c r="G1736" s="38" t="inlineStr">
        <is>
          <t>MARIO FRUGIS (01.04.01)</t>
        </is>
      </c>
      <c r="H1736" s="38" t="inlineStr">
        <is>
          <t>NFV</t>
        </is>
      </c>
      <c r="I1736" s="40" t="n">
        <v>105.37</v>
      </c>
      <c r="J1736" s="40" t="n">
        <v>0</v>
      </c>
      <c r="K1736" s="6">
        <f>I1736-J1736</f>
        <v/>
      </c>
      <c r="L1736" s="6">
        <f>IF(H1736="DISTRATO",0,I1736)</f>
        <v/>
      </c>
    </row>
    <row r="1737">
      <c r="A1737" s="38" t="inlineStr">
        <is>
          <t>Conta corrente FRUGIS5.XLS</t>
        </is>
      </c>
      <c r="B1737" s="39" t="n">
        <v>41073</v>
      </c>
      <c r="C1737" s="4" t="n">
        <v>41061</v>
      </c>
      <c r="D1737" s="5">
        <f>YEAR(C1737)</f>
        <v/>
      </c>
      <c r="E1737" s="5">
        <f>MONTH(C1737)</f>
        <v/>
      </c>
      <c r="F1737" s="38" t="inlineStr">
        <is>
          <t>NFV  :TENDA ATACADO LTDA</t>
        </is>
      </c>
      <c r="G1737" s="38" t="inlineStr">
        <is>
          <t>MARIO FRUGIS (01.04.01)</t>
        </is>
      </c>
      <c r="H1737" s="38" t="inlineStr">
        <is>
          <t>NFV</t>
        </is>
      </c>
      <c r="I1737" s="40" t="n">
        <v>130.04</v>
      </c>
      <c r="J1737" s="40" t="n">
        <v>0</v>
      </c>
      <c r="K1737" s="6">
        <f>I1737-J1737</f>
        <v/>
      </c>
      <c r="L1737" s="6">
        <f>IF(H1737="DISTRATO",0,I1737)</f>
        <v/>
      </c>
    </row>
    <row r="1738">
      <c r="A1738" s="38" t="inlineStr">
        <is>
          <t>Conta corrente FRUGIS5.XLS</t>
        </is>
      </c>
      <c r="B1738" s="39" t="n">
        <v>41073</v>
      </c>
      <c r="C1738" s="4" t="n">
        <v>41061</v>
      </c>
      <c r="D1738" s="5">
        <f>YEAR(C1738)</f>
        <v/>
      </c>
      <c r="E1738" s="5">
        <f>MONTH(C1738)</f>
        <v/>
      </c>
      <c r="F1738" s="38" t="inlineStr">
        <is>
          <t>NFV  :TENDA ATACADO LTDA</t>
        </is>
      </c>
      <c r="G1738" s="38" t="inlineStr">
        <is>
          <t>MARIO FRUGIS (01.04.01)</t>
        </is>
      </c>
      <c r="H1738" s="38" t="inlineStr">
        <is>
          <t>NFV</t>
        </is>
      </c>
      <c r="I1738" s="40" t="n">
        <v>88.84999999999999</v>
      </c>
      <c r="J1738" s="40" t="n">
        <v>0</v>
      </c>
      <c r="K1738" s="6">
        <f>I1738-J1738</f>
        <v/>
      </c>
      <c r="L1738" s="6">
        <f>IF(H1738="DISTRATO",0,I1738)</f>
        <v/>
      </c>
    </row>
    <row r="1739">
      <c r="A1739" s="38" t="inlineStr">
        <is>
          <t>Conta corrente FRUGIS5.XLS</t>
        </is>
      </c>
      <c r="B1739" s="39" t="n">
        <v>41073</v>
      </c>
      <c r="C1739" s="4" t="n">
        <v>41061</v>
      </c>
      <c r="D1739" s="5">
        <f>YEAR(C1739)</f>
        <v/>
      </c>
      <c r="E1739" s="5">
        <f>MONTH(C1739)</f>
        <v/>
      </c>
      <c r="F1739" s="38" t="inlineStr">
        <is>
          <t>NFV  :TENDA ATACADO LTDA</t>
        </is>
      </c>
      <c r="G1739" s="38" t="inlineStr">
        <is>
          <t>MARIO FRUGIS (01.04.01)</t>
        </is>
      </c>
      <c r="H1739" s="38" t="inlineStr">
        <is>
          <t>NFV</t>
        </is>
      </c>
      <c r="I1739" s="40" t="n">
        <v>44.07</v>
      </c>
      <c r="J1739" s="40" t="n">
        <v>0</v>
      </c>
      <c r="K1739" s="6">
        <f>I1739-J1739</f>
        <v/>
      </c>
      <c r="L1739" s="6">
        <f>IF(H1739="DISTRATO",0,I1739)</f>
        <v/>
      </c>
    </row>
    <row r="1740">
      <c r="A1740" s="38" t="inlineStr">
        <is>
          <t>Conta corrente FRUGIS5.XLS</t>
        </is>
      </c>
      <c r="B1740" s="39" t="n">
        <v>41073</v>
      </c>
      <c r="C1740" s="4" t="n">
        <v>41061</v>
      </c>
      <c r="D1740" s="5">
        <f>YEAR(C1740)</f>
        <v/>
      </c>
      <c r="E1740" s="5">
        <f>MONTH(C1740)</f>
        <v/>
      </c>
      <c r="F1740" s="38" t="inlineStr">
        <is>
          <t>NFV  :TENDA ATACADO LTDA</t>
        </is>
      </c>
      <c r="G1740" s="38" t="inlineStr">
        <is>
          <t>MARIO FRUGIS (01.04.01)</t>
        </is>
      </c>
      <c r="H1740" s="38" t="inlineStr">
        <is>
          <t>NFV</t>
        </is>
      </c>
      <c r="I1740" s="40" t="n">
        <v>106.66</v>
      </c>
      <c r="J1740" s="40" t="n">
        <v>0</v>
      </c>
      <c r="K1740" s="6">
        <f>I1740-J1740</f>
        <v/>
      </c>
      <c r="L1740" s="6">
        <f>IF(H1740="DISTRATO",0,I1740)</f>
        <v/>
      </c>
    </row>
    <row r="1741">
      <c r="A1741" s="38" t="inlineStr">
        <is>
          <t>Conta corrente FRUGIS5.XLS</t>
        </is>
      </c>
      <c r="B1741" s="39" t="n">
        <v>41073</v>
      </c>
      <c r="C1741" s="4" t="n">
        <v>41061</v>
      </c>
      <c r="D1741" s="5">
        <f>YEAR(C1741)</f>
        <v/>
      </c>
      <c r="E1741" s="5">
        <f>MONTH(C1741)</f>
        <v/>
      </c>
      <c r="F1741" s="38" t="inlineStr">
        <is>
          <t>NFV  :TENDA ATACADO LTDA</t>
        </is>
      </c>
      <c r="G1741" s="38" t="inlineStr">
        <is>
          <t>MARIO FRUGIS (01.04.01)</t>
        </is>
      </c>
      <c r="H1741" s="38" t="inlineStr">
        <is>
          <t>NFV</t>
        </is>
      </c>
      <c r="I1741" s="40" t="n">
        <v>69.04000000000001</v>
      </c>
      <c r="J1741" s="40" t="n">
        <v>0</v>
      </c>
      <c r="K1741" s="6">
        <f>I1741-J1741</f>
        <v/>
      </c>
      <c r="L1741" s="6">
        <f>IF(H1741="DISTRATO",0,I1741)</f>
        <v/>
      </c>
    </row>
    <row r="1742">
      <c r="A1742" s="38" t="inlineStr">
        <is>
          <t>Conta corrente FRUGIS5.XLS</t>
        </is>
      </c>
      <c r="B1742" s="39" t="n">
        <v>41073</v>
      </c>
      <c r="C1742" s="4" t="n">
        <v>41061</v>
      </c>
      <c r="D1742" s="5">
        <f>YEAR(C1742)</f>
        <v/>
      </c>
      <c r="E1742" s="5">
        <f>MONTH(C1742)</f>
        <v/>
      </c>
      <c r="F1742" s="38" t="inlineStr">
        <is>
          <t>NFV  :TENDA ATACADO LTDA</t>
        </is>
      </c>
      <c r="G1742" s="38" t="inlineStr">
        <is>
          <t>MARIO FRUGIS (01.04.01)</t>
        </is>
      </c>
      <c r="H1742" s="38" t="inlineStr">
        <is>
          <t>NFV</t>
        </is>
      </c>
      <c r="I1742" s="40" t="n">
        <v>79.90000000000001</v>
      </c>
      <c r="J1742" s="40" t="n">
        <v>0</v>
      </c>
      <c r="K1742" s="6">
        <f>I1742-J1742</f>
        <v/>
      </c>
      <c r="L1742" s="6">
        <f>IF(H1742="DISTRATO",0,I1742)</f>
        <v/>
      </c>
    </row>
    <row r="1743">
      <c r="A1743" s="38" t="inlineStr">
        <is>
          <t>Conta corrente FRUGIS5.XLS</t>
        </is>
      </c>
      <c r="B1743" s="39" t="n">
        <v>41073</v>
      </c>
      <c r="C1743" s="4" t="n">
        <v>41061</v>
      </c>
      <c r="D1743" s="5">
        <f>YEAR(C1743)</f>
        <v/>
      </c>
      <c r="E1743" s="5">
        <f>MONTH(C1743)</f>
        <v/>
      </c>
      <c r="F1743" s="38" t="inlineStr">
        <is>
          <t>NFV  :TENDA ATACADO LTDA</t>
        </is>
      </c>
      <c r="G1743" s="38" t="inlineStr">
        <is>
          <t>MARIO FRUGIS (01.04.01)</t>
        </is>
      </c>
      <c r="H1743" s="38" t="inlineStr">
        <is>
          <t>NFV</t>
        </is>
      </c>
      <c r="I1743" s="40" t="n">
        <v>97.04000000000001</v>
      </c>
      <c r="J1743" s="40" t="n">
        <v>0</v>
      </c>
      <c r="K1743" s="6">
        <f>I1743-J1743</f>
        <v/>
      </c>
      <c r="L1743" s="6">
        <f>IF(H1743="DISTRATO",0,I1743)</f>
        <v/>
      </c>
    </row>
    <row r="1744">
      <c r="A1744" s="38" t="inlineStr">
        <is>
          <t>Conta corrente FRUGIS5.XLS</t>
        </is>
      </c>
      <c r="B1744" s="39" t="n">
        <v>41074</v>
      </c>
      <c r="C1744" s="4" t="n">
        <v>41061</v>
      </c>
      <c r="D1744" s="5">
        <f>YEAR(C1744)</f>
        <v/>
      </c>
      <c r="E1744" s="5">
        <f>MONTH(C1744)</f>
        <v/>
      </c>
      <c r="F1744" s="38" t="inlineStr">
        <is>
          <t>NFV  :TENDA ATACADO LTDA</t>
        </is>
      </c>
      <c r="G1744" s="38" t="inlineStr">
        <is>
          <t>MARIO FRUGIS (01.04.01)</t>
        </is>
      </c>
      <c r="H1744" s="38" t="inlineStr">
        <is>
          <t>NFV</t>
        </is>
      </c>
      <c r="I1744" s="40" t="n">
        <v>133.66</v>
      </c>
      <c r="J1744" s="40" t="n">
        <v>0</v>
      </c>
      <c r="K1744" s="6">
        <f>I1744-J1744</f>
        <v/>
      </c>
      <c r="L1744" s="6">
        <f>IF(H1744="DISTRATO",0,I1744)</f>
        <v/>
      </c>
    </row>
    <row r="1745">
      <c r="A1745" s="38" t="inlineStr">
        <is>
          <t>Conta corrente FRUGIS5.XLS</t>
        </is>
      </c>
      <c r="B1745" s="39" t="n">
        <v>41074</v>
      </c>
      <c r="C1745" s="4" t="n">
        <v>41061</v>
      </c>
      <c r="D1745" s="5">
        <f>YEAR(C1745)</f>
        <v/>
      </c>
      <c r="E1745" s="5">
        <f>MONTH(C1745)</f>
        <v/>
      </c>
      <c r="F1745" s="38" t="inlineStr">
        <is>
          <t>NFV  :TENDA ATACADO LTDA</t>
        </is>
      </c>
      <c r="G1745" s="38" t="inlineStr">
        <is>
          <t>MARIO FRUGIS (01.04.01)</t>
        </is>
      </c>
      <c r="H1745" s="38" t="inlineStr">
        <is>
          <t>NFV</t>
        </is>
      </c>
      <c r="I1745" s="40" t="n">
        <v>108</v>
      </c>
      <c r="J1745" s="40" t="n">
        <v>0</v>
      </c>
      <c r="K1745" s="6">
        <f>I1745-J1745</f>
        <v/>
      </c>
      <c r="L1745" s="6">
        <f>IF(H1745="DISTRATO",0,I1745)</f>
        <v/>
      </c>
    </row>
    <row r="1746">
      <c r="A1746" s="38" t="inlineStr">
        <is>
          <t>Conta corrente FRUGIS5.XLS</t>
        </is>
      </c>
      <c r="B1746" s="39" t="n">
        <v>41074</v>
      </c>
      <c r="C1746" s="4" t="n">
        <v>41061</v>
      </c>
      <c r="D1746" s="5">
        <f>YEAR(C1746)</f>
        <v/>
      </c>
      <c r="E1746" s="5">
        <f>MONTH(C1746)</f>
        <v/>
      </c>
      <c r="F1746" s="38" t="inlineStr">
        <is>
          <t>NFV  :TENDA ATACADO LTDA</t>
        </is>
      </c>
      <c r="G1746" s="38" t="inlineStr">
        <is>
          <t>MARIO FRUGIS (01.04.01)</t>
        </is>
      </c>
      <c r="H1746" s="38" t="inlineStr">
        <is>
          <t>NFV</t>
        </is>
      </c>
      <c r="I1746" s="40" t="n">
        <v>123.12</v>
      </c>
      <c r="J1746" s="40" t="n">
        <v>0</v>
      </c>
      <c r="K1746" s="6">
        <f>I1746-J1746</f>
        <v/>
      </c>
      <c r="L1746" s="6">
        <f>IF(H1746="DISTRATO",0,I1746)</f>
        <v/>
      </c>
    </row>
    <row r="1747">
      <c r="A1747" s="38" t="inlineStr">
        <is>
          <t>Conta corrente FRUGIS5.XLS</t>
        </is>
      </c>
      <c r="B1747" s="39" t="n">
        <v>41074</v>
      </c>
      <c r="C1747" s="4" t="n">
        <v>41061</v>
      </c>
      <c r="D1747" s="5">
        <f>YEAR(C1747)</f>
        <v/>
      </c>
      <c r="E1747" s="5">
        <f>MONTH(C1747)</f>
        <v/>
      </c>
      <c r="F1747" s="38" t="inlineStr">
        <is>
          <t>NFV  :TENDA ATACADO LTDA</t>
        </is>
      </c>
      <c r="G1747" s="38" t="inlineStr">
        <is>
          <t>MARIO FRUGIS (01.04.01)</t>
        </is>
      </c>
      <c r="H1747" s="38" t="inlineStr">
        <is>
          <t>NFV</t>
        </is>
      </c>
      <c r="I1747" s="40" t="n">
        <v>103.5</v>
      </c>
      <c r="J1747" s="40" t="n">
        <v>0</v>
      </c>
      <c r="K1747" s="6">
        <f>I1747-J1747</f>
        <v/>
      </c>
      <c r="L1747" s="6">
        <f>IF(H1747="DISTRATO",0,I1747)</f>
        <v/>
      </c>
    </row>
    <row r="1748">
      <c r="A1748" s="38" t="inlineStr">
        <is>
          <t>Conta corrente FRUGIS5.XLS</t>
        </is>
      </c>
      <c r="B1748" s="39" t="n">
        <v>41074</v>
      </c>
      <c r="C1748" s="4" t="n">
        <v>41061</v>
      </c>
      <c r="D1748" s="5">
        <f>YEAR(C1748)</f>
        <v/>
      </c>
      <c r="E1748" s="5">
        <f>MONTH(C1748)</f>
        <v/>
      </c>
      <c r="F1748" s="38" t="inlineStr">
        <is>
          <t>NFV  :TENDA ATACADO LTDA</t>
        </is>
      </c>
      <c r="G1748" s="38" t="inlineStr">
        <is>
          <t>MARIO FRUGIS (01.04.01)</t>
        </is>
      </c>
      <c r="H1748" s="38" t="inlineStr">
        <is>
          <t>NFV</t>
        </is>
      </c>
      <c r="I1748" s="40" t="n">
        <v>102.1</v>
      </c>
      <c r="J1748" s="40" t="n">
        <v>0</v>
      </c>
      <c r="K1748" s="6">
        <f>I1748-J1748</f>
        <v/>
      </c>
      <c r="L1748" s="6">
        <f>IF(H1748="DISTRATO",0,I1748)</f>
        <v/>
      </c>
    </row>
    <row r="1749">
      <c r="A1749" s="38" t="inlineStr">
        <is>
          <t>Conta corrente FRUGIS5.XLS</t>
        </is>
      </c>
      <c r="B1749" s="39" t="n">
        <v>41074</v>
      </c>
      <c r="C1749" s="4" t="n">
        <v>41061</v>
      </c>
      <c r="D1749" s="5">
        <f>YEAR(C1749)</f>
        <v/>
      </c>
      <c r="E1749" s="5">
        <f>MONTH(C1749)</f>
        <v/>
      </c>
      <c r="F1749" s="38" t="inlineStr">
        <is>
          <t>NFV  :TENDA ATACADO LTDA</t>
        </is>
      </c>
      <c r="G1749" s="38" t="inlineStr">
        <is>
          <t>MARIO FRUGIS (01.04.01)</t>
        </is>
      </c>
      <c r="H1749" s="38" t="inlineStr">
        <is>
          <t>NFV</t>
        </is>
      </c>
      <c r="I1749" s="40" t="n">
        <v>91.8</v>
      </c>
      <c r="J1749" s="40" t="n">
        <v>0</v>
      </c>
      <c r="K1749" s="6">
        <f>I1749-J1749</f>
        <v/>
      </c>
      <c r="L1749" s="6">
        <f>IF(H1749="DISTRATO",0,I1749)</f>
        <v/>
      </c>
    </row>
    <row r="1750">
      <c r="A1750" s="38" t="inlineStr">
        <is>
          <t>Conta corrente FRUGIS5.XLS</t>
        </is>
      </c>
      <c r="B1750" s="39" t="n">
        <v>41074</v>
      </c>
      <c r="C1750" s="4" t="n">
        <v>41061</v>
      </c>
      <c r="D1750" s="5">
        <f>YEAR(C1750)</f>
        <v/>
      </c>
      <c r="E1750" s="5">
        <f>MONTH(C1750)</f>
        <v/>
      </c>
      <c r="F1750" s="38" t="inlineStr">
        <is>
          <t>NFV  :TENDA ATACADO LTDA</t>
        </is>
      </c>
      <c r="G1750" s="38" t="inlineStr">
        <is>
          <t>MARIO FRUGIS (01.04.01)</t>
        </is>
      </c>
      <c r="H1750" s="38" t="inlineStr">
        <is>
          <t>NFV</t>
        </is>
      </c>
      <c r="I1750" s="40" t="n">
        <v>63.67</v>
      </c>
      <c r="J1750" s="40" t="n">
        <v>0</v>
      </c>
      <c r="K1750" s="6">
        <f>I1750-J1750</f>
        <v/>
      </c>
      <c r="L1750" s="6">
        <f>IF(H1750="DISTRATO",0,I1750)</f>
        <v/>
      </c>
    </row>
    <row r="1751">
      <c r="A1751" s="38" t="inlineStr">
        <is>
          <t>Conta corrente FRUGIS5.XLS</t>
        </is>
      </c>
      <c r="B1751" s="39" t="n">
        <v>41074</v>
      </c>
      <c r="C1751" s="4" t="n">
        <v>41061</v>
      </c>
      <c r="D1751" s="5">
        <f>YEAR(C1751)</f>
        <v/>
      </c>
      <c r="E1751" s="5">
        <f>MONTH(C1751)</f>
        <v/>
      </c>
      <c r="F1751" s="38" t="inlineStr">
        <is>
          <t>NFV  :TENDA ATACADO LTDA</t>
        </is>
      </c>
      <c r="G1751" s="38" t="inlineStr">
        <is>
          <t>MARIO FRUGIS (01.04.01)</t>
        </is>
      </c>
      <c r="H1751" s="38" t="inlineStr">
        <is>
          <t>NFV</t>
        </is>
      </c>
      <c r="I1751" s="40" t="n">
        <v>91.8</v>
      </c>
      <c r="J1751" s="40" t="n">
        <v>0</v>
      </c>
      <c r="K1751" s="6">
        <f>I1751-J1751</f>
        <v/>
      </c>
      <c r="L1751" s="6">
        <f>IF(H1751="DISTRATO",0,I1751)</f>
        <v/>
      </c>
    </row>
    <row r="1752">
      <c r="A1752" s="38" t="inlineStr">
        <is>
          <t>Conta corrente FRUGIS5.XLS</t>
        </is>
      </c>
      <c r="B1752" s="39" t="n">
        <v>41074</v>
      </c>
      <c r="C1752" s="4" t="n">
        <v>41061</v>
      </c>
      <c r="D1752" s="5">
        <f>YEAR(C1752)</f>
        <v/>
      </c>
      <c r="E1752" s="5">
        <f>MONTH(C1752)</f>
        <v/>
      </c>
      <c r="F1752" s="38" t="inlineStr">
        <is>
          <t>NFV  :TENDA ATACADO LTDA</t>
        </is>
      </c>
      <c r="G1752" s="38" t="inlineStr">
        <is>
          <t>MARIO FRUGIS (01.04.01)</t>
        </is>
      </c>
      <c r="H1752" s="38" t="inlineStr">
        <is>
          <t>NFV</t>
        </is>
      </c>
      <c r="I1752" s="40" t="n">
        <v>96.25</v>
      </c>
      <c r="J1752" s="40" t="n">
        <v>0</v>
      </c>
      <c r="K1752" s="6">
        <f>I1752-J1752</f>
        <v/>
      </c>
      <c r="L1752" s="6">
        <f>IF(H1752="DISTRATO",0,I1752)</f>
        <v/>
      </c>
    </row>
    <row r="1753">
      <c r="A1753" s="38" t="inlineStr">
        <is>
          <t>Conta corrente FRUGIS5.XLS</t>
        </is>
      </c>
      <c r="B1753" s="39" t="n">
        <v>41080</v>
      </c>
      <c r="C1753" s="4" t="n">
        <v>41061</v>
      </c>
      <c r="D1753" s="5">
        <f>YEAR(C1753)</f>
        <v/>
      </c>
      <c r="E1753" s="5">
        <f>MONTH(C1753)</f>
        <v/>
      </c>
      <c r="F1753" s="38" t="inlineStr">
        <is>
          <t>NFV  :TENDA ATACADO LTDA</t>
        </is>
      </c>
      <c r="G1753" s="38" t="inlineStr">
        <is>
          <t>MARIO FRUGIS (01.04.01)</t>
        </is>
      </c>
      <c r="H1753" s="38" t="inlineStr">
        <is>
          <t>NFV</t>
        </is>
      </c>
      <c r="I1753" s="40" t="n">
        <v>10.36</v>
      </c>
      <c r="J1753" s="40" t="n">
        <v>0</v>
      </c>
      <c r="K1753" s="6">
        <f>I1753-J1753</f>
        <v/>
      </c>
      <c r="L1753" s="6">
        <f>IF(H1753="DISTRATO",0,I1753)</f>
        <v/>
      </c>
    </row>
    <row r="1754">
      <c r="A1754" s="38" t="inlineStr">
        <is>
          <t>Conta corrente FRUGIS5.XLS</t>
        </is>
      </c>
      <c r="B1754" s="39" t="n">
        <v>41081</v>
      </c>
      <c r="C1754" s="4" t="n">
        <v>41061</v>
      </c>
      <c r="D1754" s="5">
        <f>YEAR(C1754)</f>
        <v/>
      </c>
      <c r="E1754" s="5">
        <f>MONTH(C1754)</f>
        <v/>
      </c>
      <c r="F1754" s="38" t="inlineStr">
        <is>
          <t>NFV  :TENDA ATACADO LTDA</t>
        </is>
      </c>
      <c r="G1754" s="38" t="inlineStr">
        <is>
          <t>MARIO FRUGIS (01.04.01)</t>
        </is>
      </c>
      <c r="H1754" s="38" t="inlineStr">
        <is>
          <t>NFV</t>
        </is>
      </c>
      <c r="I1754" s="40" t="n">
        <v>42.45</v>
      </c>
      <c r="J1754" s="40" t="n">
        <v>0</v>
      </c>
      <c r="K1754" s="6">
        <f>I1754-J1754</f>
        <v/>
      </c>
      <c r="L1754" s="6">
        <f>IF(H1754="DISTRATO",0,I1754)</f>
        <v/>
      </c>
    </row>
    <row r="1755">
      <c r="A1755" s="38" t="inlineStr">
        <is>
          <t>Conta corrente FRUGIS5.XLS</t>
        </is>
      </c>
      <c r="B1755" s="39" t="n">
        <v>41081</v>
      </c>
      <c r="C1755" s="4" t="n">
        <v>41061</v>
      </c>
      <c r="D1755" s="5">
        <f>YEAR(C1755)</f>
        <v/>
      </c>
      <c r="E1755" s="5">
        <f>MONTH(C1755)</f>
        <v/>
      </c>
      <c r="F1755" s="38" t="inlineStr">
        <is>
          <t>NFV  :TENDA ATACADO LTDA</t>
        </is>
      </c>
      <c r="G1755" s="38" t="inlineStr">
        <is>
          <t>MARIO FRUGIS (01.04.01)</t>
        </is>
      </c>
      <c r="H1755" s="38" t="inlineStr">
        <is>
          <t>NFV</t>
        </is>
      </c>
      <c r="I1755" s="40" t="n">
        <v>11.13</v>
      </c>
      <c r="J1755" s="40" t="n">
        <v>0</v>
      </c>
      <c r="K1755" s="6">
        <f>I1755-J1755</f>
        <v/>
      </c>
      <c r="L1755" s="6">
        <f>IF(H1755="DISTRATO",0,I1755)</f>
        <v/>
      </c>
    </row>
    <row r="1756">
      <c r="A1756" s="38" t="inlineStr">
        <is>
          <t>Conta corrente FRUGIS5.XLS</t>
        </is>
      </c>
      <c r="B1756" s="39" t="n">
        <v>41081</v>
      </c>
      <c r="C1756" s="4" t="n">
        <v>41061</v>
      </c>
      <c r="D1756" s="5">
        <f>YEAR(C1756)</f>
        <v/>
      </c>
      <c r="E1756" s="5">
        <f>MONTH(C1756)</f>
        <v/>
      </c>
      <c r="F1756" s="38" t="inlineStr">
        <is>
          <t>NFV  :TENDA ATACADO LTDA</t>
        </is>
      </c>
      <c r="G1756" s="38" t="inlineStr">
        <is>
          <t>MARIO FRUGIS (01.04.01)</t>
        </is>
      </c>
      <c r="H1756" s="38" t="inlineStr">
        <is>
          <t>NFV</t>
        </is>
      </c>
      <c r="I1756" s="40" t="n">
        <v>29.65</v>
      </c>
      <c r="J1756" s="40" t="n">
        <v>0</v>
      </c>
      <c r="K1756" s="6">
        <f>I1756-J1756</f>
        <v/>
      </c>
      <c r="L1756" s="6">
        <f>IF(H1756="DISTRATO",0,I1756)</f>
        <v/>
      </c>
    </row>
    <row r="1757">
      <c r="A1757" s="38" t="inlineStr">
        <is>
          <t>Conta corrente FRUGIS5.XLS</t>
        </is>
      </c>
      <c r="B1757" s="39" t="n">
        <v>41081</v>
      </c>
      <c r="C1757" s="4" t="n">
        <v>41061</v>
      </c>
      <c r="D1757" s="5">
        <f>YEAR(C1757)</f>
        <v/>
      </c>
      <c r="E1757" s="5">
        <f>MONTH(C1757)</f>
        <v/>
      </c>
      <c r="F1757" s="38" t="inlineStr">
        <is>
          <t>NFV  :TENDA ATACADO LTDA</t>
        </is>
      </c>
      <c r="G1757" s="38" t="inlineStr">
        <is>
          <t>MARIO FRUGIS (01.04.01)</t>
        </is>
      </c>
      <c r="H1757" s="38" t="inlineStr">
        <is>
          <t>NFV</t>
        </is>
      </c>
      <c r="I1757" s="40" t="n">
        <v>62.14</v>
      </c>
      <c r="J1757" s="40" t="n">
        <v>0</v>
      </c>
      <c r="K1757" s="6">
        <f>I1757-J1757</f>
        <v/>
      </c>
      <c r="L1757" s="6">
        <f>IF(H1757="DISTRATO",0,I1757)</f>
        <v/>
      </c>
    </row>
    <row r="1758">
      <c r="A1758" s="38" t="inlineStr">
        <is>
          <t>Conta corrente FRUGIS5.XLS</t>
        </is>
      </c>
      <c r="B1758" s="39" t="n">
        <v>41081</v>
      </c>
      <c r="C1758" s="4" t="n">
        <v>41061</v>
      </c>
      <c r="D1758" s="5">
        <f>YEAR(C1758)</f>
        <v/>
      </c>
      <c r="E1758" s="5">
        <f>MONTH(C1758)</f>
        <v/>
      </c>
      <c r="F1758" s="38" t="inlineStr">
        <is>
          <t>NFV  :TENDA ATACADO LTDA</t>
        </is>
      </c>
      <c r="G1758" s="38" t="inlineStr">
        <is>
          <t>MARIO FRUGIS (01.04.01)</t>
        </is>
      </c>
      <c r="H1758" s="38" t="inlineStr">
        <is>
          <t>NFV</t>
        </is>
      </c>
      <c r="I1758" s="40" t="n">
        <v>102.1</v>
      </c>
      <c r="J1758" s="40" t="n">
        <v>0</v>
      </c>
      <c r="K1758" s="6">
        <f>I1758-J1758</f>
        <v/>
      </c>
      <c r="L1758" s="6">
        <f>IF(H1758="DISTRATO",0,I1758)</f>
        <v/>
      </c>
    </row>
    <row r="1759">
      <c r="A1759" s="38" t="inlineStr">
        <is>
          <t>Conta corrente FRUGIS5.XLS</t>
        </is>
      </c>
      <c r="B1759" s="39" t="n">
        <v>41081</v>
      </c>
      <c r="C1759" s="4" t="n">
        <v>41061</v>
      </c>
      <c r="D1759" s="5">
        <f>YEAR(C1759)</f>
        <v/>
      </c>
      <c r="E1759" s="5">
        <f>MONTH(C1759)</f>
        <v/>
      </c>
      <c r="F1759" s="38" t="inlineStr">
        <is>
          <t>NFV  :TENDA ATACADO LTDA</t>
        </is>
      </c>
      <c r="G1759" s="38" t="inlineStr">
        <is>
          <t>MARIO FRUGIS (01.04.01)</t>
        </is>
      </c>
      <c r="H1759" s="38" t="inlineStr">
        <is>
          <t>NFV</t>
        </is>
      </c>
      <c r="I1759" s="40" t="n">
        <v>43.89</v>
      </c>
      <c r="J1759" s="40" t="n">
        <v>0</v>
      </c>
      <c r="K1759" s="6">
        <f>I1759-J1759</f>
        <v/>
      </c>
      <c r="L1759" s="6">
        <f>IF(H1759="DISTRATO",0,I1759)</f>
        <v/>
      </c>
    </row>
    <row r="1760">
      <c r="A1760" s="38" t="inlineStr">
        <is>
          <t>Conta corrente FRUGIS5.XLS</t>
        </is>
      </c>
      <c r="B1760" s="39" t="n">
        <v>41081</v>
      </c>
      <c r="C1760" s="4" t="n">
        <v>41061</v>
      </c>
      <c r="D1760" s="5">
        <f>YEAR(C1760)</f>
        <v/>
      </c>
      <c r="E1760" s="5">
        <f>MONTH(C1760)</f>
        <v/>
      </c>
      <c r="F1760" s="38" t="inlineStr">
        <is>
          <t>NFV  :TENDA ATACADO LTDA</t>
        </is>
      </c>
      <c r="G1760" s="38" t="inlineStr">
        <is>
          <t>MARIO FRUGIS (01.04.01)</t>
        </is>
      </c>
      <c r="H1760" s="38" t="inlineStr">
        <is>
          <t>NFV</t>
        </is>
      </c>
      <c r="I1760" s="40" t="n">
        <v>35.55</v>
      </c>
      <c r="J1760" s="40" t="n">
        <v>0</v>
      </c>
      <c r="K1760" s="6">
        <f>I1760-J1760</f>
        <v/>
      </c>
      <c r="L1760" s="6">
        <f>IF(H1760="DISTRATO",0,I1760)</f>
        <v/>
      </c>
    </row>
    <row r="1761">
      <c r="A1761" s="38" t="inlineStr">
        <is>
          <t>Conta corrente FRUGIS5.XLS</t>
        </is>
      </c>
      <c r="B1761" s="39" t="n">
        <v>41081</v>
      </c>
      <c r="C1761" s="4" t="n">
        <v>41061</v>
      </c>
      <c r="D1761" s="5">
        <f>YEAR(C1761)</f>
        <v/>
      </c>
      <c r="E1761" s="5">
        <f>MONTH(C1761)</f>
        <v/>
      </c>
      <c r="F1761" s="38" t="inlineStr">
        <is>
          <t>NFV  :TENDA ATACADO LTDA</t>
        </is>
      </c>
      <c r="G1761" s="38" t="inlineStr">
        <is>
          <t>MARIO FRUGIS (01.04.01)</t>
        </is>
      </c>
      <c r="H1761" s="38" t="inlineStr">
        <is>
          <t>NFV</t>
        </is>
      </c>
      <c r="I1761" s="40" t="n">
        <v>50.18</v>
      </c>
      <c r="J1761" s="40" t="n">
        <v>0</v>
      </c>
      <c r="K1761" s="6">
        <f>I1761-J1761</f>
        <v/>
      </c>
      <c r="L1761" s="6">
        <f>IF(H1761="DISTRATO",0,I1761)</f>
        <v/>
      </c>
    </row>
    <row r="1762">
      <c r="A1762" s="38" t="inlineStr">
        <is>
          <t>Conta corrente FRUGIS5.XLS</t>
        </is>
      </c>
      <c r="B1762" s="39" t="n">
        <v>41081</v>
      </c>
      <c r="C1762" s="4" t="n">
        <v>41061</v>
      </c>
      <c r="D1762" s="5">
        <f>YEAR(C1762)</f>
        <v/>
      </c>
      <c r="E1762" s="5">
        <f>MONTH(C1762)</f>
        <v/>
      </c>
      <c r="F1762" s="38" t="inlineStr">
        <is>
          <t>NFV  :TENDA ATACADO LTDA</t>
        </is>
      </c>
      <c r="G1762" s="38" t="inlineStr">
        <is>
          <t>MARIO FRUGIS (01.04.01)</t>
        </is>
      </c>
      <c r="H1762" s="38" t="inlineStr">
        <is>
          <t>NFV</t>
        </is>
      </c>
      <c r="I1762" s="40" t="n">
        <v>48.09</v>
      </c>
      <c r="J1762" s="40" t="n">
        <v>0</v>
      </c>
      <c r="K1762" s="6">
        <f>I1762-J1762</f>
        <v/>
      </c>
      <c r="L1762" s="6">
        <f>IF(H1762="DISTRATO",0,I1762)</f>
        <v/>
      </c>
    </row>
    <row r="1763">
      <c r="A1763" s="38" t="inlineStr">
        <is>
          <t>Conta corrente FRUGIS5.XLS</t>
        </is>
      </c>
      <c r="B1763" s="39" t="n">
        <v>41081</v>
      </c>
      <c r="C1763" s="4" t="n">
        <v>41061</v>
      </c>
      <c r="D1763" s="5">
        <f>YEAR(C1763)</f>
        <v/>
      </c>
      <c r="E1763" s="5">
        <f>MONTH(C1763)</f>
        <v/>
      </c>
      <c r="F1763" s="38" t="inlineStr">
        <is>
          <t>NFV  :TENDA ATACADO LTDA</t>
        </is>
      </c>
      <c r="G1763" s="38" t="inlineStr">
        <is>
          <t>MARIO FRUGIS (01.04.01)</t>
        </is>
      </c>
      <c r="H1763" s="38" t="inlineStr">
        <is>
          <t>NFV</t>
        </is>
      </c>
      <c r="I1763" s="40" t="n">
        <v>27.92</v>
      </c>
      <c r="J1763" s="40" t="n">
        <v>0</v>
      </c>
      <c r="K1763" s="6">
        <f>I1763-J1763</f>
        <v/>
      </c>
      <c r="L1763" s="6">
        <f>IF(H1763="DISTRATO",0,I1763)</f>
        <v/>
      </c>
    </row>
    <row r="1764">
      <c r="A1764" s="38" t="inlineStr">
        <is>
          <t>Conta corrente FRUGIS5.XLS</t>
        </is>
      </c>
      <c r="B1764" s="39" t="n">
        <v>41081</v>
      </c>
      <c r="C1764" s="4" t="n">
        <v>41061</v>
      </c>
      <c r="D1764" s="5">
        <f>YEAR(C1764)</f>
        <v/>
      </c>
      <c r="E1764" s="5">
        <f>MONTH(C1764)</f>
        <v/>
      </c>
      <c r="F1764" s="38" t="inlineStr">
        <is>
          <t>NFV  :TENDA ATACADO LTDA</t>
        </is>
      </c>
      <c r="G1764" s="38" t="inlineStr">
        <is>
          <t>MARIO FRUGIS (01.04.01)</t>
        </is>
      </c>
      <c r="H1764" s="38" t="inlineStr">
        <is>
          <t>NFV</t>
        </is>
      </c>
      <c r="I1764" s="40" t="n">
        <v>22.79</v>
      </c>
      <c r="J1764" s="40" t="n">
        <v>0</v>
      </c>
      <c r="K1764" s="6">
        <f>I1764-J1764</f>
        <v/>
      </c>
      <c r="L1764" s="6">
        <f>IF(H1764="DISTRATO",0,I1764)</f>
        <v/>
      </c>
    </row>
    <row r="1765">
      <c r="A1765" s="38" t="inlineStr">
        <is>
          <t>Conta corrente FRUGIS5.XLS</t>
        </is>
      </c>
      <c r="B1765" s="39" t="n">
        <v>41081</v>
      </c>
      <c r="C1765" s="4" t="n">
        <v>41061</v>
      </c>
      <c r="D1765" s="5">
        <f>YEAR(C1765)</f>
        <v/>
      </c>
      <c r="E1765" s="5">
        <f>MONTH(C1765)</f>
        <v/>
      </c>
      <c r="F1765" s="38" t="inlineStr">
        <is>
          <t>NFV  :TENDA ATACADO LTDA</t>
        </is>
      </c>
      <c r="G1765" s="38" t="inlineStr">
        <is>
          <t>MARIO FRUGIS (01.04.01)</t>
        </is>
      </c>
      <c r="H1765" s="38" t="inlineStr">
        <is>
          <t>NFV</t>
        </is>
      </c>
      <c r="I1765" s="40" t="n">
        <v>104.32</v>
      </c>
      <c r="J1765" s="40" t="n">
        <v>0</v>
      </c>
      <c r="K1765" s="6">
        <f>I1765-J1765</f>
        <v/>
      </c>
      <c r="L1765" s="6">
        <f>IF(H1765="DISTRATO",0,I1765)</f>
        <v/>
      </c>
    </row>
    <row r="1766">
      <c r="A1766" s="38" t="inlineStr">
        <is>
          <t>Conta corrente FRUGIS5.XLS</t>
        </is>
      </c>
      <c r="B1766" s="39" t="n">
        <v>41081</v>
      </c>
      <c r="C1766" s="4" t="n">
        <v>41061</v>
      </c>
      <c r="D1766" s="5">
        <f>YEAR(C1766)</f>
        <v/>
      </c>
      <c r="E1766" s="5">
        <f>MONTH(C1766)</f>
        <v/>
      </c>
      <c r="F1766" s="38" t="inlineStr">
        <is>
          <t>NFV  :TENDA ATACADO LTDA</t>
        </is>
      </c>
      <c r="G1766" s="38" t="inlineStr">
        <is>
          <t>MARIO FRUGIS (01.04.01)</t>
        </is>
      </c>
      <c r="H1766" s="38" t="inlineStr">
        <is>
          <t>NFV</t>
        </is>
      </c>
      <c r="I1766" s="40" t="n">
        <v>11.91</v>
      </c>
      <c r="J1766" s="40" t="n">
        <v>0</v>
      </c>
      <c r="K1766" s="6">
        <f>I1766-J1766</f>
        <v/>
      </c>
      <c r="L1766" s="6">
        <f>IF(H1766="DISTRATO",0,I1766)</f>
        <v/>
      </c>
    </row>
    <row r="1767">
      <c r="A1767" s="38" t="inlineStr">
        <is>
          <t>Conta corrente FRUGIS5.XLS</t>
        </is>
      </c>
      <c r="B1767" s="39" t="n">
        <v>41081</v>
      </c>
      <c r="C1767" s="4" t="n">
        <v>41061</v>
      </c>
      <c r="D1767" s="5">
        <f>YEAR(C1767)</f>
        <v/>
      </c>
      <c r="E1767" s="5">
        <f>MONTH(C1767)</f>
        <v/>
      </c>
      <c r="F1767" s="38" t="inlineStr">
        <is>
          <t>NFV  :TENDA ATACADO LTDA</t>
        </is>
      </c>
      <c r="G1767" s="38" t="inlineStr">
        <is>
          <t>MARIO FRUGIS (01.04.01)</t>
        </is>
      </c>
      <c r="H1767" s="38" t="inlineStr">
        <is>
          <t>NFV</t>
        </is>
      </c>
      <c r="I1767" s="40" t="n">
        <v>120.2</v>
      </c>
      <c r="J1767" s="40" t="n">
        <v>0</v>
      </c>
      <c r="K1767" s="6">
        <f>I1767-J1767</f>
        <v/>
      </c>
      <c r="L1767" s="6">
        <f>IF(H1767="DISTRATO",0,I1767)</f>
        <v/>
      </c>
    </row>
    <row r="1768">
      <c r="A1768" s="38" t="inlineStr">
        <is>
          <t>Conta corrente FRUGIS5.XLS</t>
        </is>
      </c>
      <c r="B1768" s="39" t="n">
        <v>41088</v>
      </c>
      <c r="C1768" s="4" t="n">
        <v>41061</v>
      </c>
      <c r="D1768" s="5">
        <f>YEAR(C1768)</f>
        <v/>
      </c>
      <c r="E1768" s="5">
        <f>MONTH(C1768)</f>
        <v/>
      </c>
      <c r="F1768" s="38" t="inlineStr">
        <is>
          <t>NFV  :TENDA ATACADO LTDA</t>
        </is>
      </c>
      <c r="G1768" s="38" t="inlineStr">
        <is>
          <t>MARIO FRUGIS (01.04.01)</t>
        </is>
      </c>
      <c r="H1768" s="38" t="inlineStr">
        <is>
          <t>NFV</t>
        </is>
      </c>
      <c r="I1768" s="40" t="n">
        <v>71.52</v>
      </c>
      <c r="J1768" s="40" t="n">
        <v>0</v>
      </c>
      <c r="K1768" s="6">
        <f>I1768-J1768</f>
        <v/>
      </c>
      <c r="L1768" s="6">
        <f>IF(H1768="DISTRATO",0,I1768)</f>
        <v/>
      </c>
    </row>
    <row r="1769">
      <c r="A1769" s="38" t="inlineStr">
        <is>
          <t>Conta corrente FRUGIS5.XLS</t>
        </is>
      </c>
      <c r="B1769" s="39" t="n">
        <v>41088</v>
      </c>
      <c r="C1769" s="4" t="n">
        <v>41061</v>
      </c>
      <c r="D1769" s="5">
        <f>YEAR(C1769)</f>
        <v/>
      </c>
      <c r="E1769" s="5">
        <f>MONTH(C1769)</f>
        <v/>
      </c>
      <c r="F1769" s="38" t="inlineStr">
        <is>
          <t>NFV  :TENDA ATACADO LTDA</t>
        </is>
      </c>
      <c r="G1769" s="38" t="inlineStr">
        <is>
          <t>MARIO FRUGIS (01.04.01)</t>
        </is>
      </c>
      <c r="H1769" s="38" t="inlineStr">
        <is>
          <t>NFV</t>
        </is>
      </c>
      <c r="I1769" s="40" t="n">
        <v>75.68000000000001</v>
      </c>
      <c r="J1769" s="40" t="n">
        <v>0</v>
      </c>
      <c r="K1769" s="6">
        <f>I1769-J1769</f>
        <v/>
      </c>
      <c r="L1769" s="6">
        <f>IF(H1769="DISTRATO",0,I1769)</f>
        <v/>
      </c>
    </row>
    <row r="1770">
      <c r="A1770" s="38" t="inlineStr">
        <is>
          <t>Conta corrente FRUGIS5.XLS</t>
        </is>
      </c>
      <c r="B1770" s="39" t="n">
        <v>41088</v>
      </c>
      <c r="C1770" s="4" t="n">
        <v>41061</v>
      </c>
      <c r="D1770" s="5">
        <f>YEAR(C1770)</f>
        <v/>
      </c>
      <c r="E1770" s="5">
        <f>MONTH(C1770)</f>
        <v/>
      </c>
      <c r="F1770" s="38" t="inlineStr">
        <is>
          <t>NFV  :TENDA ATACADO LTDA</t>
        </is>
      </c>
      <c r="G1770" s="38" t="inlineStr">
        <is>
          <t>MARIO FRUGIS (01.04.01)</t>
        </is>
      </c>
      <c r="H1770" s="38" t="inlineStr">
        <is>
          <t>NFV</t>
        </is>
      </c>
      <c r="I1770" s="40" t="n">
        <v>16.06</v>
      </c>
      <c r="J1770" s="40" t="n">
        <v>0</v>
      </c>
      <c r="K1770" s="6">
        <f>I1770-J1770</f>
        <v/>
      </c>
      <c r="L1770" s="6">
        <f>IF(H1770="DISTRATO",0,I1770)</f>
        <v/>
      </c>
    </row>
    <row r="1771">
      <c r="A1771" s="38" t="inlineStr">
        <is>
          <t>Conta corrente FRUGIS5.XLS</t>
        </is>
      </c>
      <c r="B1771" s="39" t="n">
        <v>41089</v>
      </c>
      <c r="C1771" s="4" t="n">
        <v>41061</v>
      </c>
      <c r="D1771" s="5">
        <f>YEAR(C1771)</f>
        <v/>
      </c>
      <c r="E1771" s="5">
        <f>MONTH(C1771)</f>
        <v/>
      </c>
      <c r="F1771" s="38" t="inlineStr">
        <is>
          <t>NFV  :TENDA ATACADO LTDA</t>
        </is>
      </c>
      <c r="G1771" s="38" t="inlineStr">
        <is>
          <t>MARIO FRUGIS (01.04.01)</t>
        </is>
      </c>
      <c r="H1771" s="38" t="inlineStr">
        <is>
          <t>NFV</t>
        </is>
      </c>
      <c r="I1771" s="40" t="n">
        <v>22.7</v>
      </c>
      <c r="J1771" s="40" t="n">
        <v>0</v>
      </c>
      <c r="K1771" s="6">
        <f>I1771-J1771</f>
        <v/>
      </c>
      <c r="L1771" s="6">
        <f>IF(H1771="DISTRATO",0,I1771)</f>
        <v/>
      </c>
    </row>
    <row r="1772">
      <c r="A1772" s="38" t="inlineStr">
        <is>
          <t>Conta corrente FRUGIS5.XLS</t>
        </is>
      </c>
      <c r="B1772" s="39" t="n">
        <v>41089</v>
      </c>
      <c r="C1772" s="4" t="n">
        <v>41061</v>
      </c>
      <c r="D1772" s="5">
        <f>YEAR(C1772)</f>
        <v/>
      </c>
      <c r="E1772" s="5">
        <f>MONTH(C1772)</f>
        <v/>
      </c>
      <c r="F1772" s="38" t="inlineStr">
        <is>
          <t>NFV  :TENDA ATACADO LTDA</t>
        </is>
      </c>
      <c r="G1772" s="38" t="inlineStr">
        <is>
          <t>MARIO FRUGIS (01.04.01)</t>
        </is>
      </c>
      <c r="H1772" s="38" t="inlineStr">
        <is>
          <t>NFV</t>
        </is>
      </c>
      <c r="I1772" s="40" t="n">
        <v>28.37</v>
      </c>
      <c r="J1772" s="40" t="n">
        <v>0</v>
      </c>
      <c r="K1772" s="6">
        <f>I1772-J1772</f>
        <v/>
      </c>
      <c r="L1772" s="6">
        <f>IF(H1772="DISTRATO",0,I1772)</f>
        <v/>
      </c>
    </row>
    <row r="1773">
      <c r="A1773" s="38" t="inlineStr">
        <is>
          <t>Conta corrente FRUGIS5.XLS</t>
        </is>
      </c>
      <c r="B1773" s="39" t="n">
        <v>41089</v>
      </c>
      <c r="C1773" s="4" t="n">
        <v>41061</v>
      </c>
      <c r="D1773" s="5">
        <f>YEAR(C1773)</f>
        <v/>
      </c>
      <c r="E1773" s="5">
        <f>MONTH(C1773)</f>
        <v/>
      </c>
      <c r="F1773" s="38" t="inlineStr">
        <is>
          <t>NFV  :TENDA ATACADO LTDA</t>
        </is>
      </c>
      <c r="G1773" s="38" t="inlineStr">
        <is>
          <t>MARIO FRUGIS (01.04.01)</t>
        </is>
      </c>
      <c r="H1773" s="38" t="inlineStr">
        <is>
          <t>NFV</t>
        </is>
      </c>
      <c r="I1773" s="40" t="n">
        <v>77.42</v>
      </c>
      <c r="J1773" s="40" t="n">
        <v>0</v>
      </c>
      <c r="K1773" s="6">
        <f>I1773-J1773</f>
        <v/>
      </c>
      <c r="L1773" s="6">
        <f>IF(H1773="DISTRATO",0,I1773)</f>
        <v/>
      </c>
    </row>
    <row r="1774">
      <c r="A1774" s="38" t="inlineStr">
        <is>
          <t>Conta corrente FRUGIS5.XLS</t>
        </is>
      </c>
      <c r="B1774" s="39" t="n">
        <v>41089</v>
      </c>
      <c r="C1774" s="4" t="n">
        <v>41061</v>
      </c>
      <c r="D1774" s="5">
        <f>YEAR(C1774)</f>
        <v/>
      </c>
      <c r="E1774" s="5">
        <f>MONTH(C1774)</f>
        <v/>
      </c>
      <c r="F1774" s="38" t="inlineStr">
        <is>
          <t>NFV  :TENDA ATACADO LTDA</t>
        </is>
      </c>
      <c r="G1774" s="38" t="inlineStr">
        <is>
          <t>MARIO FRUGIS (01.04.01)</t>
        </is>
      </c>
      <c r="H1774" s="38" t="inlineStr">
        <is>
          <t>NFV</t>
        </is>
      </c>
      <c r="I1774" s="40" t="n">
        <v>87.16</v>
      </c>
      <c r="J1774" s="40" t="n">
        <v>0</v>
      </c>
      <c r="K1774" s="6">
        <f>I1774-J1774</f>
        <v/>
      </c>
      <c r="L1774" s="6">
        <f>IF(H1774="DISTRATO",0,I1774)</f>
        <v/>
      </c>
    </row>
    <row r="1775">
      <c r="A1775" s="38" t="inlineStr">
        <is>
          <t>Conta corrente FRUGIS5.XLS</t>
        </is>
      </c>
      <c r="B1775" s="39" t="n">
        <v>41089</v>
      </c>
      <c r="C1775" s="4" t="n">
        <v>41061</v>
      </c>
      <c r="D1775" s="5">
        <f>YEAR(C1775)</f>
        <v/>
      </c>
      <c r="E1775" s="5">
        <f>MONTH(C1775)</f>
        <v/>
      </c>
      <c r="F1775" s="38" t="inlineStr">
        <is>
          <t>NFV  :TENDA ATACADO LTDA</t>
        </is>
      </c>
      <c r="G1775" s="38" t="inlineStr">
        <is>
          <t>MARIO FRUGIS (01.04.01)</t>
        </is>
      </c>
      <c r="H1775" s="38" t="inlineStr">
        <is>
          <t>NFV</t>
        </is>
      </c>
      <c r="I1775" s="40" t="n">
        <v>50</v>
      </c>
      <c r="J1775" s="40" t="n">
        <v>0</v>
      </c>
      <c r="K1775" s="6">
        <f>I1775-J1775</f>
        <v/>
      </c>
      <c r="L1775" s="6">
        <f>IF(H1775="DISTRATO",0,I1775)</f>
        <v/>
      </c>
    </row>
    <row r="1776">
      <c r="A1776" s="38" t="inlineStr">
        <is>
          <t>Conta corrente FRUGIS5.XLS</t>
        </is>
      </c>
      <c r="B1776" s="39" t="n">
        <v>41089</v>
      </c>
      <c r="C1776" s="4" t="n">
        <v>41061</v>
      </c>
      <c r="D1776" s="5">
        <f>YEAR(C1776)</f>
        <v/>
      </c>
      <c r="E1776" s="5">
        <f>MONTH(C1776)</f>
        <v/>
      </c>
      <c r="F1776" s="38" t="inlineStr">
        <is>
          <t>NFV  :TENDA ATACADO LTDA</t>
        </is>
      </c>
      <c r="G1776" s="38" t="inlineStr">
        <is>
          <t>MARIO FRUGIS (01.04.01)</t>
        </is>
      </c>
      <c r="H1776" s="38" t="inlineStr">
        <is>
          <t>NFV</t>
        </is>
      </c>
      <c r="I1776" s="40" t="n">
        <v>14.54</v>
      </c>
      <c r="J1776" s="40" t="n">
        <v>0</v>
      </c>
      <c r="K1776" s="6">
        <f>I1776-J1776</f>
        <v/>
      </c>
      <c r="L1776" s="6">
        <f>IF(H1776="DISTRATO",0,I1776)</f>
        <v/>
      </c>
    </row>
    <row r="1777">
      <c r="A1777" s="38" t="inlineStr">
        <is>
          <t>Conta corrente FRUGIS5.XLS</t>
        </is>
      </c>
      <c r="B1777" s="39" t="n">
        <v>41089</v>
      </c>
      <c r="C1777" s="4" t="n">
        <v>41061</v>
      </c>
      <c r="D1777" s="5">
        <f>YEAR(C1777)</f>
        <v/>
      </c>
      <c r="E1777" s="5">
        <f>MONTH(C1777)</f>
        <v/>
      </c>
      <c r="F1777" s="38" t="inlineStr">
        <is>
          <t>NFV  :TENDA ATACADO LTDA</t>
        </is>
      </c>
      <c r="G1777" s="38" t="inlineStr">
        <is>
          <t>MARIO FRUGIS (01.04.01)</t>
        </is>
      </c>
      <c r="H1777" s="38" t="inlineStr">
        <is>
          <t>NFV</t>
        </is>
      </c>
      <c r="I1777" s="40" t="n">
        <v>63.06</v>
      </c>
      <c r="J1777" s="40" t="n">
        <v>0</v>
      </c>
      <c r="K1777" s="6">
        <f>I1777-J1777</f>
        <v/>
      </c>
      <c r="L1777" s="6">
        <f>IF(H1777="DISTRATO",0,I1777)</f>
        <v/>
      </c>
    </row>
    <row r="1778">
      <c r="A1778" s="38" t="inlineStr">
        <is>
          <t>Conta corrente FRUGIS5.XLS</t>
        </is>
      </c>
      <c r="B1778" s="39" t="n">
        <v>41089</v>
      </c>
      <c r="C1778" s="4" t="n">
        <v>41061</v>
      </c>
      <c r="D1778" s="5">
        <f>YEAR(C1778)</f>
        <v/>
      </c>
      <c r="E1778" s="5">
        <f>MONTH(C1778)</f>
        <v/>
      </c>
      <c r="F1778" s="38" t="inlineStr">
        <is>
          <t>NFV  :TENDA ATACADO LTDA</t>
        </is>
      </c>
      <c r="G1778" s="38" t="inlineStr">
        <is>
          <t>MARIO FRUGIS (01.04.01)</t>
        </is>
      </c>
      <c r="H1778" s="38" t="inlineStr">
        <is>
          <t>NFV</t>
        </is>
      </c>
      <c r="I1778" s="40" t="n">
        <v>61.62</v>
      </c>
      <c r="J1778" s="40" t="n">
        <v>0</v>
      </c>
      <c r="K1778" s="6">
        <f>I1778-J1778</f>
        <v/>
      </c>
      <c r="L1778" s="6">
        <f>IF(H1778="DISTRATO",0,I1778)</f>
        <v/>
      </c>
    </row>
    <row r="1779">
      <c r="A1779" s="38" t="inlineStr">
        <is>
          <t>Conta corrente FRUGIS5.XLS</t>
        </is>
      </c>
      <c r="B1779" s="39" t="n">
        <v>41090</v>
      </c>
      <c r="C1779" s="4" t="n">
        <v>41061</v>
      </c>
      <c r="D1779" s="5">
        <f>YEAR(C1779)</f>
        <v/>
      </c>
      <c r="E1779" s="5">
        <f>MONTH(C1779)</f>
        <v/>
      </c>
      <c r="F1779" s="38" t="inlineStr">
        <is>
          <t>NFV  :TENDA ATACADO LTDA</t>
        </is>
      </c>
      <c r="G1779" s="38" t="inlineStr">
        <is>
          <t>MARIO FRUGIS (01.04.01)</t>
        </is>
      </c>
      <c r="H1779" s="38" t="inlineStr">
        <is>
          <t>NFV</t>
        </is>
      </c>
      <c r="I1779" s="40" t="n">
        <v>19.17</v>
      </c>
      <c r="J1779" s="40" t="n">
        <v>0</v>
      </c>
      <c r="K1779" s="6">
        <f>I1779-J1779</f>
        <v/>
      </c>
      <c r="L1779" s="6">
        <f>IF(H1779="DISTRATO",0,I1779)</f>
        <v/>
      </c>
    </row>
    <row r="1780">
      <c r="A1780" s="38" t="inlineStr">
        <is>
          <t>Conta corrente FRUGIS5.XLS</t>
        </is>
      </c>
      <c r="B1780" s="39" t="n">
        <v>41090</v>
      </c>
      <c r="C1780" s="4" t="n">
        <v>41061</v>
      </c>
      <c r="D1780" s="5">
        <f>YEAR(C1780)</f>
        <v/>
      </c>
      <c r="E1780" s="5">
        <f>MONTH(C1780)</f>
        <v/>
      </c>
      <c r="F1780" s="38" t="inlineStr">
        <is>
          <t>NFV  :TENDA ATACADO LTDA</t>
        </is>
      </c>
      <c r="G1780" s="38" t="inlineStr">
        <is>
          <t>MARIO FRUGIS (01.04.01)</t>
        </is>
      </c>
      <c r="H1780" s="38" t="inlineStr">
        <is>
          <t>NFV</t>
        </is>
      </c>
      <c r="I1780" s="40" t="n">
        <v>58.18</v>
      </c>
      <c r="J1780" s="40" t="n">
        <v>0</v>
      </c>
      <c r="K1780" s="6">
        <f>I1780-J1780</f>
        <v/>
      </c>
      <c r="L1780" s="6">
        <f>IF(H1780="DISTRATO",0,I1780)</f>
        <v/>
      </c>
    </row>
    <row r="1781">
      <c r="A1781" s="38" t="inlineStr">
        <is>
          <t>Conta corrente FRUGIS5.XLS</t>
        </is>
      </c>
      <c r="B1781" s="39" t="n">
        <v>41090</v>
      </c>
      <c r="C1781" s="4" t="n">
        <v>41061</v>
      </c>
      <c r="D1781" s="5">
        <f>YEAR(C1781)</f>
        <v/>
      </c>
      <c r="E1781" s="5">
        <f>MONTH(C1781)</f>
        <v/>
      </c>
      <c r="F1781" s="38" t="inlineStr">
        <is>
          <t>NFV  :TENDA ATACADO LTDA</t>
        </is>
      </c>
      <c r="G1781" s="38" t="inlineStr">
        <is>
          <t>MARIO FRUGIS (01.04.01)</t>
        </is>
      </c>
      <c r="H1781" s="38" t="inlineStr">
        <is>
          <t>NFV</t>
        </is>
      </c>
      <c r="I1781" s="40" t="n">
        <v>51.07</v>
      </c>
      <c r="J1781" s="40" t="n">
        <v>0</v>
      </c>
      <c r="K1781" s="6">
        <f>I1781-J1781</f>
        <v/>
      </c>
      <c r="L1781" s="6">
        <f>IF(H1781="DISTRATO",0,I1781)</f>
        <v/>
      </c>
    </row>
    <row r="1782">
      <c r="A1782" s="38" t="inlineStr">
        <is>
          <t>Conta corrente FRUGIS5.XLS</t>
        </is>
      </c>
      <c r="B1782" s="39" t="n">
        <v>41090</v>
      </c>
      <c r="C1782" s="4" t="n">
        <v>41061</v>
      </c>
      <c r="D1782" s="5">
        <f>YEAR(C1782)</f>
        <v/>
      </c>
      <c r="E1782" s="5">
        <f>MONTH(C1782)</f>
        <v/>
      </c>
      <c r="F1782" s="38" t="inlineStr">
        <is>
          <t>NFV  :TENDA ATACADO LTDA</t>
        </is>
      </c>
      <c r="G1782" s="38" t="inlineStr">
        <is>
          <t>MARIO FRUGIS (01.04.01)</t>
        </is>
      </c>
      <c r="H1782" s="38" t="inlineStr">
        <is>
          <t>NFV</t>
        </is>
      </c>
      <c r="I1782" s="40" t="n">
        <v>65.34</v>
      </c>
      <c r="J1782" s="40" t="n">
        <v>0</v>
      </c>
      <c r="K1782" s="6">
        <f>I1782-J1782</f>
        <v/>
      </c>
      <c r="L1782" s="6">
        <f>IF(H1782="DISTRATO",0,I1782)</f>
        <v/>
      </c>
    </row>
    <row r="1783">
      <c r="A1783" s="38" t="inlineStr">
        <is>
          <t>Conta corrente FRUGIS5.XLS</t>
        </is>
      </c>
      <c r="B1783" s="39" t="n">
        <v>41090</v>
      </c>
      <c r="C1783" s="4" t="n">
        <v>41061</v>
      </c>
      <c r="D1783" s="5">
        <f>YEAR(C1783)</f>
        <v/>
      </c>
      <c r="E1783" s="5">
        <f>MONTH(C1783)</f>
        <v/>
      </c>
      <c r="F1783" s="38" t="inlineStr">
        <is>
          <t>NFV  :TENDA ATACADO LTDA</t>
        </is>
      </c>
      <c r="G1783" s="38" t="inlineStr">
        <is>
          <t>MARIO FRUGIS (01.04.01)</t>
        </is>
      </c>
      <c r="H1783" s="38" t="inlineStr">
        <is>
          <t>NFV</t>
        </is>
      </c>
      <c r="I1783" s="40" t="n">
        <v>141.32</v>
      </c>
      <c r="J1783" s="40" t="n">
        <v>0</v>
      </c>
      <c r="K1783" s="6">
        <f>I1783-J1783</f>
        <v/>
      </c>
      <c r="L1783" s="6">
        <f>IF(H1783="DISTRATO",0,I1783)</f>
        <v/>
      </c>
    </row>
    <row r="1784">
      <c r="A1784" s="38" t="inlineStr">
        <is>
          <t>Conta corrente FRUGIS5.XLS</t>
        </is>
      </c>
      <c r="B1784" s="39" t="n">
        <v>41090</v>
      </c>
      <c r="C1784" s="4" t="n">
        <v>41061</v>
      </c>
      <c r="D1784" s="5">
        <f>YEAR(C1784)</f>
        <v/>
      </c>
      <c r="E1784" s="5">
        <f>MONTH(C1784)</f>
        <v/>
      </c>
      <c r="F1784" s="38" t="inlineStr">
        <is>
          <t>NFV  :TENDA ATACADO LTDA</t>
        </is>
      </c>
      <c r="G1784" s="38" t="inlineStr">
        <is>
          <t>MARIO FRUGIS (01.04.01)</t>
        </is>
      </c>
      <c r="H1784" s="38" t="inlineStr">
        <is>
          <t>NFV</t>
        </is>
      </c>
      <c r="I1784" s="40" t="n">
        <v>27.06</v>
      </c>
      <c r="J1784" s="40" t="n">
        <v>0</v>
      </c>
      <c r="K1784" s="6">
        <f>I1784-J1784</f>
        <v/>
      </c>
      <c r="L1784" s="6">
        <f>IF(H1784="DISTRATO",0,I1784)</f>
        <v/>
      </c>
    </row>
    <row r="1785">
      <c r="A1785" s="38" t="inlineStr">
        <is>
          <t>Conta corrente FRUGIS5.XLS</t>
        </is>
      </c>
      <c r="B1785" s="39" t="n">
        <v>41090</v>
      </c>
      <c r="C1785" s="4" t="n">
        <v>41061</v>
      </c>
      <c r="D1785" s="5">
        <f>YEAR(C1785)</f>
        <v/>
      </c>
      <c r="E1785" s="5">
        <f>MONTH(C1785)</f>
        <v/>
      </c>
      <c r="F1785" s="38" t="inlineStr">
        <is>
          <t>NFV  :TENDA ATACADO LTDA</t>
        </is>
      </c>
      <c r="G1785" s="38" t="inlineStr">
        <is>
          <t>MARIO FRUGIS (01.04.01)</t>
        </is>
      </c>
      <c r="H1785" s="38" t="inlineStr">
        <is>
          <t>NFV</t>
        </is>
      </c>
      <c r="I1785" s="40" t="n">
        <v>84.67</v>
      </c>
      <c r="J1785" s="40" t="n">
        <v>0</v>
      </c>
      <c r="K1785" s="6">
        <f>I1785-J1785</f>
        <v/>
      </c>
      <c r="L1785" s="6">
        <f>IF(H1785="DISTRATO",0,I1785)</f>
        <v/>
      </c>
    </row>
    <row r="1786">
      <c r="A1786" s="38" t="inlineStr">
        <is>
          <t>Conta corrente FRUGIS5.XLS</t>
        </is>
      </c>
      <c r="B1786" s="39" t="n">
        <v>41090</v>
      </c>
      <c r="C1786" s="4" t="n">
        <v>41061</v>
      </c>
      <c r="D1786" s="5">
        <f>YEAR(C1786)</f>
        <v/>
      </c>
      <c r="E1786" s="5">
        <f>MONTH(C1786)</f>
        <v/>
      </c>
      <c r="F1786" s="38" t="inlineStr">
        <is>
          <t>NFV  :TENDA ATACADO LTDA</t>
        </is>
      </c>
      <c r="G1786" s="38" t="inlineStr">
        <is>
          <t>MARIO FRUGIS (01.04.01)</t>
        </is>
      </c>
      <c r="H1786" s="38" t="inlineStr">
        <is>
          <t>NFV</t>
        </is>
      </c>
      <c r="I1786" s="40" t="n">
        <v>69.22</v>
      </c>
      <c r="J1786" s="40" t="n">
        <v>0</v>
      </c>
      <c r="K1786" s="6">
        <f>I1786-J1786</f>
        <v/>
      </c>
      <c r="L1786" s="6">
        <f>IF(H1786="DISTRATO",0,I1786)</f>
        <v/>
      </c>
    </row>
    <row r="1787">
      <c r="A1787" s="38" t="inlineStr">
        <is>
          <t>Conta corrente FRUGIS5.XLS</t>
        </is>
      </c>
      <c r="B1787" s="39" t="n">
        <v>41090</v>
      </c>
      <c r="C1787" s="4" t="n">
        <v>41061</v>
      </c>
      <c r="D1787" s="5">
        <f>YEAR(C1787)</f>
        <v/>
      </c>
      <c r="E1787" s="5">
        <f>MONTH(C1787)</f>
        <v/>
      </c>
      <c r="F1787" s="38" t="inlineStr">
        <is>
          <t>NFV  :TENDA ATACADO LTDA</t>
        </is>
      </c>
      <c r="G1787" s="38" t="inlineStr">
        <is>
          <t>MARIO FRUGIS (01.04.01)</t>
        </is>
      </c>
      <c r="H1787" s="38" t="inlineStr">
        <is>
          <t>NFV</t>
        </is>
      </c>
      <c r="I1787" s="40" t="n">
        <v>97.78</v>
      </c>
      <c r="J1787" s="40" t="n">
        <v>0</v>
      </c>
      <c r="K1787" s="6">
        <f>I1787-J1787</f>
        <v/>
      </c>
      <c r="L1787" s="6">
        <f>IF(H1787="DISTRATO",0,I1787)</f>
        <v/>
      </c>
    </row>
    <row r="1788">
      <c r="A1788" s="38" t="inlineStr">
        <is>
          <t>Conta corrente FRUGIS5.XLS</t>
        </is>
      </c>
      <c r="B1788" s="39" t="n">
        <v>41090</v>
      </c>
      <c r="C1788" s="4" t="n">
        <v>41061</v>
      </c>
      <c r="D1788" s="5">
        <f>YEAR(C1788)</f>
        <v/>
      </c>
      <c r="E1788" s="5">
        <f>MONTH(C1788)</f>
        <v/>
      </c>
      <c r="F1788" s="38" t="inlineStr">
        <is>
          <t>NFV  :TENDA ATACADO LTDA</t>
        </is>
      </c>
      <c r="G1788" s="38" t="inlineStr">
        <is>
          <t>MARIO FRUGIS (01.04.01)</t>
        </is>
      </c>
      <c r="H1788" s="38" t="inlineStr">
        <is>
          <t>NFV</t>
        </is>
      </c>
      <c r="I1788" s="40" t="n">
        <v>22.65</v>
      </c>
      <c r="J1788" s="40" t="n">
        <v>0</v>
      </c>
      <c r="K1788" s="6">
        <f>I1788-J1788</f>
        <v/>
      </c>
      <c r="L1788" s="6">
        <f>IF(H1788="DISTRATO",0,I1788)</f>
        <v/>
      </c>
    </row>
    <row r="1789">
      <c r="A1789" s="38" t="inlineStr">
        <is>
          <t>Conta corrente FRUGIS5.XLS</t>
        </is>
      </c>
      <c r="B1789" s="39" t="n">
        <v>41090</v>
      </c>
      <c r="C1789" s="4" t="n">
        <v>41061</v>
      </c>
      <c r="D1789" s="5">
        <f>YEAR(C1789)</f>
        <v/>
      </c>
      <c r="E1789" s="5">
        <f>MONTH(C1789)</f>
        <v/>
      </c>
      <c r="F1789" s="38" t="inlineStr">
        <is>
          <t>NFV  :TENDA ATACADO LTDA</t>
        </is>
      </c>
      <c r="G1789" s="38" t="inlineStr">
        <is>
          <t>MARIO FRUGIS (01.04.01)</t>
        </is>
      </c>
      <c r="H1789" s="38" t="inlineStr">
        <is>
          <t>NFV</t>
        </is>
      </c>
      <c r="I1789" s="40" t="n">
        <v>126.74</v>
      </c>
      <c r="J1789" s="40" t="n">
        <v>0</v>
      </c>
      <c r="K1789" s="6">
        <f>I1789-J1789</f>
        <v/>
      </c>
      <c r="L1789" s="6">
        <f>IF(H1789="DISTRATO",0,I1789)</f>
        <v/>
      </c>
    </row>
    <row r="1790">
      <c r="A1790" s="38" t="inlineStr">
        <is>
          <t>Conta corrente FRUGIS5.XLS</t>
        </is>
      </c>
      <c r="B1790" s="39" t="n">
        <v>41090</v>
      </c>
      <c r="C1790" s="4" t="n">
        <v>41061</v>
      </c>
      <c r="D1790" s="5">
        <f>YEAR(C1790)</f>
        <v/>
      </c>
      <c r="E1790" s="5">
        <f>MONTH(C1790)</f>
        <v/>
      </c>
      <c r="F1790" s="38" t="inlineStr">
        <is>
          <t>NFV  :TENDA ATACADO LTDA</t>
        </is>
      </c>
      <c r="G1790" s="38" t="inlineStr">
        <is>
          <t>MARIO FRUGIS (01.04.01)</t>
        </is>
      </c>
      <c r="H1790" s="38" t="inlineStr">
        <is>
          <t>NFV</t>
        </is>
      </c>
      <c r="I1790" s="40" t="n">
        <v>109.31</v>
      </c>
      <c r="J1790" s="40" t="n">
        <v>0</v>
      </c>
      <c r="K1790" s="6">
        <f>I1790-J1790</f>
        <v/>
      </c>
      <c r="L1790" s="6">
        <f>IF(H1790="DISTRATO",0,I1790)</f>
        <v/>
      </c>
    </row>
    <row r="1791">
      <c r="A1791" s="38" t="inlineStr">
        <is>
          <t>Conta corrente FRUGIS5.XLS</t>
        </is>
      </c>
      <c r="B1791" s="39" t="n">
        <v>41090</v>
      </c>
      <c r="C1791" s="4" t="n">
        <v>41061</v>
      </c>
      <c r="D1791" s="5">
        <f>YEAR(C1791)</f>
        <v/>
      </c>
      <c r="E1791" s="5">
        <f>MONTH(C1791)</f>
        <v/>
      </c>
      <c r="F1791" s="38" t="inlineStr">
        <is>
          <t>NFV  :TENDA ATACADO LTDA</t>
        </is>
      </c>
      <c r="G1791" s="38" t="inlineStr">
        <is>
          <t>MARIO FRUGIS (01.04.01)</t>
        </is>
      </c>
      <c r="H1791" s="38" t="inlineStr">
        <is>
          <t>NFV</t>
        </is>
      </c>
      <c r="I1791" s="40" t="n">
        <v>17.02</v>
      </c>
      <c r="J1791" s="40" t="n">
        <v>0</v>
      </c>
      <c r="K1791" s="6">
        <f>I1791-J1791</f>
        <v/>
      </c>
      <c r="L1791" s="6">
        <f>IF(H1791="DISTRATO",0,I1791)</f>
        <v/>
      </c>
    </row>
    <row r="1792">
      <c r="A1792" s="38" t="inlineStr">
        <is>
          <t>Conta corrente FRUGIS5.XLS</t>
        </is>
      </c>
      <c r="B1792" s="39" t="n">
        <v>41090</v>
      </c>
      <c r="C1792" s="4" t="n">
        <v>41061</v>
      </c>
      <c r="D1792" s="5">
        <f>YEAR(C1792)</f>
        <v/>
      </c>
      <c r="E1792" s="5">
        <f>MONTH(C1792)</f>
        <v/>
      </c>
      <c r="F1792" s="38" t="inlineStr">
        <is>
          <t>NFV  :TENDA ATACADO LTDA</t>
        </is>
      </c>
      <c r="G1792" s="38" t="inlineStr">
        <is>
          <t>MARIO FRUGIS (01.04.01)</t>
        </is>
      </c>
      <c r="H1792" s="38" t="inlineStr">
        <is>
          <t>NFV</t>
        </is>
      </c>
      <c r="I1792" s="40" t="n">
        <v>65.09</v>
      </c>
      <c r="J1792" s="40" t="n">
        <v>0</v>
      </c>
      <c r="K1792" s="6">
        <f>I1792-J1792</f>
        <v/>
      </c>
      <c r="L1792" s="6">
        <f>IF(H1792="DISTRATO",0,I1792)</f>
        <v/>
      </c>
    </row>
    <row r="1793">
      <c r="A1793" s="38" t="inlineStr">
        <is>
          <t>Conta corrente FRUGIS5.XLS</t>
        </is>
      </c>
      <c r="B1793" s="39" t="n">
        <v>41109</v>
      </c>
      <c r="C1793" s="4" t="n">
        <v>41091</v>
      </c>
      <c r="D1793" s="5">
        <f>YEAR(C1793)</f>
        <v/>
      </c>
      <c r="E1793" s="5">
        <f>MONTH(C1793)</f>
        <v/>
      </c>
      <c r="F1793" s="38" t="inlineStr">
        <is>
          <t>NFV  :TENDA ATACADO LTDA</t>
        </is>
      </c>
      <c r="G1793" s="38" t="inlineStr">
        <is>
          <t>MARIO FRUGIS (01.04.01)</t>
        </is>
      </c>
      <c r="H1793" s="38" t="inlineStr">
        <is>
          <t>NFV</t>
        </is>
      </c>
      <c r="I1793" s="40" t="n">
        <v>127.26</v>
      </c>
      <c r="J1793" s="40" t="n">
        <v>0</v>
      </c>
      <c r="K1793" s="6">
        <f>I1793-J1793</f>
        <v/>
      </c>
      <c r="L1793" s="6">
        <f>IF(H1793="DISTRATO",0,I1793)</f>
        <v/>
      </c>
    </row>
    <row r="1794">
      <c r="A1794" s="38" t="inlineStr">
        <is>
          <t>Conta corrente FRUGIS5.XLS</t>
        </is>
      </c>
      <c r="B1794" s="39" t="n">
        <v>41109</v>
      </c>
      <c r="C1794" s="4" t="n">
        <v>41091</v>
      </c>
      <c r="D1794" s="5">
        <f>YEAR(C1794)</f>
        <v/>
      </c>
      <c r="E1794" s="5">
        <f>MONTH(C1794)</f>
        <v/>
      </c>
      <c r="F1794" s="38" t="inlineStr">
        <is>
          <t>NFV  :TENDA ATACADO LTDA</t>
        </is>
      </c>
      <c r="G1794" s="38" t="inlineStr">
        <is>
          <t>MARIO FRUGIS (01.04.01)</t>
        </is>
      </c>
      <c r="H1794" s="38" t="inlineStr">
        <is>
          <t>NFV</t>
        </is>
      </c>
      <c r="I1794" s="40" t="n">
        <v>115.31</v>
      </c>
      <c r="J1794" s="40" t="n">
        <v>0</v>
      </c>
      <c r="K1794" s="6">
        <f>I1794-J1794</f>
        <v/>
      </c>
      <c r="L1794" s="6">
        <f>IF(H1794="DISTRATO",0,I1794)</f>
        <v/>
      </c>
    </row>
    <row r="1795">
      <c r="A1795" s="38" t="inlineStr">
        <is>
          <t>Conta corrente FRUGIS5.XLS</t>
        </is>
      </c>
      <c r="B1795" s="39" t="n">
        <v>41109</v>
      </c>
      <c r="C1795" s="4" t="n">
        <v>41091</v>
      </c>
      <c r="D1795" s="5">
        <f>YEAR(C1795)</f>
        <v/>
      </c>
      <c r="E1795" s="5">
        <f>MONTH(C1795)</f>
        <v/>
      </c>
      <c r="F1795" s="38" t="inlineStr">
        <is>
          <t>NFV  :TENDA ATACADO LTDA</t>
        </is>
      </c>
      <c r="G1795" s="38" t="inlineStr">
        <is>
          <t>MARIO FRUGIS (01.04.01)</t>
        </is>
      </c>
      <c r="H1795" s="38" t="inlineStr">
        <is>
          <t>NFV</t>
        </is>
      </c>
      <c r="I1795" s="40" t="n">
        <v>54.96</v>
      </c>
      <c r="J1795" s="40" t="n">
        <v>0</v>
      </c>
      <c r="K1795" s="6">
        <f>I1795-J1795</f>
        <v/>
      </c>
      <c r="L1795" s="6">
        <f>IF(H1795="DISTRATO",0,I1795)</f>
        <v/>
      </c>
    </row>
    <row r="1796">
      <c r="A1796" s="38" t="inlineStr">
        <is>
          <t>Conta corrente FRUGIS5.XLS</t>
        </is>
      </c>
      <c r="B1796" s="39" t="n">
        <v>41109</v>
      </c>
      <c r="C1796" s="4" t="n">
        <v>41091</v>
      </c>
      <c r="D1796" s="5">
        <f>YEAR(C1796)</f>
        <v/>
      </c>
      <c r="E1796" s="5">
        <f>MONTH(C1796)</f>
        <v/>
      </c>
      <c r="F1796" s="38" t="inlineStr">
        <is>
          <t>NFV  :TENDA ATACADO LTDA</t>
        </is>
      </c>
      <c r="G1796" s="38" t="inlineStr">
        <is>
          <t>MARIO FRUGIS (01.04.01)</t>
        </is>
      </c>
      <c r="H1796" s="38" t="inlineStr">
        <is>
          <t>NFV</t>
        </is>
      </c>
      <c r="I1796" s="40" t="n">
        <v>98.97</v>
      </c>
      <c r="J1796" s="40" t="n">
        <v>0</v>
      </c>
      <c r="K1796" s="6">
        <f>I1796-J1796</f>
        <v/>
      </c>
      <c r="L1796" s="6">
        <f>IF(H1796="DISTRATO",0,I1796)</f>
        <v/>
      </c>
    </row>
    <row r="1797">
      <c r="A1797" s="38" t="inlineStr">
        <is>
          <t>Conta corrente FRUGIS5.XLS</t>
        </is>
      </c>
      <c r="B1797" s="39" t="n">
        <v>41109</v>
      </c>
      <c r="C1797" s="4" t="n">
        <v>41091</v>
      </c>
      <c r="D1797" s="5">
        <f>YEAR(C1797)</f>
        <v/>
      </c>
      <c r="E1797" s="5">
        <f>MONTH(C1797)</f>
        <v/>
      </c>
      <c r="F1797" s="38" t="inlineStr">
        <is>
          <t>NFV  :TENDA ATACADO LTDA</t>
        </is>
      </c>
      <c r="G1797" s="38" t="inlineStr">
        <is>
          <t>MARIO FRUGIS (01.04.01)</t>
        </is>
      </c>
      <c r="H1797" s="38" t="inlineStr">
        <is>
          <t>NFV</t>
        </is>
      </c>
      <c r="I1797" s="40" t="n">
        <v>61.45</v>
      </c>
      <c r="J1797" s="40" t="n">
        <v>0</v>
      </c>
      <c r="K1797" s="6">
        <f>I1797-J1797</f>
        <v/>
      </c>
      <c r="L1797" s="6">
        <f>IF(H1797="DISTRATO",0,I1797)</f>
        <v/>
      </c>
    </row>
    <row r="1798">
      <c r="A1798" s="38" t="inlineStr">
        <is>
          <t>Conta corrente FRUGIS5.XLS</t>
        </is>
      </c>
      <c r="B1798" s="39" t="n">
        <v>41109</v>
      </c>
      <c r="C1798" s="4" t="n">
        <v>41091</v>
      </c>
      <c r="D1798" s="5">
        <f>YEAR(C1798)</f>
        <v/>
      </c>
      <c r="E1798" s="5">
        <f>MONTH(C1798)</f>
        <v/>
      </c>
      <c r="F1798" s="38" t="inlineStr">
        <is>
          <t>NFV  :TENDA ATACADO LTDA</t>
        </is>
      </c>
      <c r="G1798" s="38" t="inlineStr">
        <is>
          <t>MARIO FRUGIS (01.04.01)</t>
        </is>
      </c>
      <c r="H1798" s="38" t="inlineStr">
        <is>
          <t>NFV</t>
        </is>
      </c>
      <c r="I1798" s="40" t="n">
        <v>71.81</v>
      </c>
      <c r="J1798" s="40" t="n">
        <v>0</v>
      </c>
      <c r="K1798" s="6">
        <f>I1798-J1798</f>
        <v/>
      </c>
      <c r="L1798" s="6">
        <f>IF(H1798="DISTRATO",0,I1798)</f>
        <v/>
      </c>
    </row>
    <row r="1799">
      <c r="A1799" s="38" t="inlineStr">
        <is>
          <t>Conta corrente FRUGIS5.XLS</t>
        </is>
      </c>
      <c r="B1799" s="39" t="n">
        <v>41109</v>
      </c>
      <c r="C1799" s="4" t="n">
        <v>41091</v>
      </c>
      <c r="D1799" s="5">
        <f>YEAR(C1799)</f>
        <v/>
      </c>
      <c r="E1799" s="5">
        <f>MONTH(C1799)</f>
        <v/>
      </c>
      <c r="F1799" s="38" t="inlineStr">
        <is>
          <t>NFV  :TENDA ATACADO LTDA</t>
        </is>
      </c>
      <c r="G1799" s="38" t="inlineStr">
        <is>
          <t>MARIO FRUGIS (01.04.01)</t>
        </is>
      </c>
      <c r="H1799" s="38" t="inlineStr">
        <is>
          <t>NFV</t>
        </is>
      </c>
      <c r="I1799" s="40" t="n">
        <v>97.89</v>
      </c>
      <c r="J1799" s="40" t="n">
        <v>0</v>
      </c>
      <c r="K1799" s="6">
        <f>I1799-J1799</f>
        <v/>
      </c>
      <c r="L1799" s="6">
        <f>IF(H1799="DISTRATO",0,I1799)</f>
        <v/>
      </c>
    </row>
    <row r="1800">
      <c r="A1800" s="38" t="inlineStr">
        <is>
          <t>Conta corrente FRUGIS5.XLS</t>
        </is>
      </c>
      <c r="B1800" s="39" t="n">
        <v>41109</v>
      </c>
      <c r="C1800" s="4" t="n">
        <v>41091</v>
      </c>
      <c r="D1800" s="5">
        <f>YEAR(C1800)</f>
        <v/>
      </c>
      <c r="E1800" s="5">
        <f>MONTH(C1800)</f>
        <v/>
      </c>
      <c r="F1800" s="38" t="inlineStr">
        <is>
          <t>NFV  :TENDA ATACADO LTDA</t>
        </is>
      </c>
      <c r="G1800" s="38" t="inlineStr">
        <is>
          <t>MARIO FRUGIS (01.04.01)</t>
        </is>
      </c>
      <c r="H1800" s="38" t="inlineStr">
        <is>
          <t>NFV</t>
        </is>
      </c>
      <c r="I1800" s="40" t="n">
        <v>47.87</v>
      </c>
      <c r="J1800" s="40" t="n">
        <v>0</v>
      </c>
      <c r="K1800" s="6">
        <f>I1800-J1800</f>
        <v/>
      </c>
      <c r="L1800" s="6">
        <f>IF(H1800="DISTRATO",0,I1800)</f>
        <v/>
      </c>
    </row>
    <row r="1801">
      <c r="A1801" s="38" t="inlineStr">
        <is>
          <t>Conta corrente FRUGIS5.XLS</t>
        </is>
      </c>
      <c r="B1801" s="39" t="n">
        <v>41109</v>
      </c>
      <c r="C1801" s="4" t="n">
        <v>41091</v>
      </c>
      <c r="D1801" s="5">
        <f>YEAR(C1801)</f>
        <v/>
      </c>
      <c r="E1801" s="5">
        <f>MONTH(C1801)</f>
        <v/>
      </c>
      <c r="F1801" s="38" t="inlineStr">
        <is>
          <t>NFV  :TENDA ATACADO LTDA</t>
        </is>
      </c>
      <c r="G1801" s="38" t="inlineStr">
        <is>
          <t>MARIO FRUGIS (01.04.01)</t>
        </is>
      </c>
      <c r="H1801" s="38" t="inlineStr">
        <is>
          <t>NFV</t>
        </is>
      </c>
      <c r="I1801" s="40" t="n">
        <v>105.98</v>
      </c>
      <c r="J1801" s="40" t="n">
        <v>0</v>
      </c>
      <c r="K1801" s="6">
        <f>I1801-J1801</f>
        <v/>
      </c>
      <c r="L1801" s="6">
        <f>IF(H1801="DISTRATO",0,I1801)</f>
        <v/>
      </c>
    </row>
    <row r="1802">
      <c r="A1802" s="38" t="inlineStr">
        <is>
          <t>Conta corrente FRUGIS5.XLS</t>
        </is>
      </c>
      <c r="B1802" s="39" t="n">
        <v>41110</v>
      </c>
      <c r="C1802" s="4" t="n">
        <v>41091</v>
      </c>
      <c r="D1802" s="5">
        <f>YEAR(C1802)</f>
        <v/>
      </c>
      <c r="E1802" s="5">
        <f>MONTH(C1802)</f>
        <v/>
      </c>
      <c r="F1802" s="38" t="inlineStr">
        <is>
          <t>NFV  :TENDA ATACADO LTDA</t>
        </is>
      </c>
      <c r="G1802" s="38" t="inlineStr">
        <is>
          <t>MARIO FRUGIS (01.04.01)</t>
        </is>
      </c>
      <c r="H1802" s="38" t="inlineStr">
        <is>
          <t>NFV</t>
        </is>
      </c>
      <c r="I1802" s="40" t="n">
        <v>58</v>
      </c>
      <c r="J1802" s="40" t="n">
        <v>0</v>
      </c>
      <c r="K1802" s="6">
        <f>I1802-J1802</f>
        <v/>
      </c>
      <c r="L1802" s="6">
        <f>IF(H1802="DISTRATO",0,I1802)</f>
        <v/>
      </c>
    </row>
    <row r="1803">
      <c r="A1803" s="38" t="inlineStr">
        <is>
          <t>Conta corrente FRUGIS5.XLS</t>
        </is>
      </c>
      <c r="B1803" s="39" t="n">
        <v>41110</v>
      </c>
      <c r="C1803" s="4" t="n">
        <v>41091</v>
      </c>
      <c r="D1803" s="5">
        <f>YEAR(C1803)</f>
        <v/>
      </c>
      <c r="E1803" s="5">
        <f>MONTH(C1803)</f>
        <v/>
      </c>
      <c r="F1803" s="38" t="inlineStr">
        <is>
          <t>NFV  :TENDA ATACADO LTDA</t>
        </is>
      </c>
      <c r="G1803" s="38" t="inlineStr">
        <is>
          <t>MARIO FRUGIS (01.04.01)</t>
        </is>
      </c>
      <c r="H1803" s="38" t="inlineStr">
        <is>
          <t>NFV</t>
        </is>
      </c>
      <c r="I1803" s="40" t="n">
        <v>53.44</v>
      </c>
      <c r="J1803" s="40" t="n">
        <v>0</v>
      </c>
      <c r="K1803" s="6">
        <f>I1803-J1803</f>
        <v/>
      </c>
      <c r="L1803" s="6">
        <f>IF(H1803="DISTRATO",0,I1803)</f>
        <v/>
      </c>
    </row>
    <row r="1804">
      <c r="A1804" s="38" t="inlineStr">
        <is>
          <t>Conta corrente FRUGIS5.XLS</t>
        </is>
      </c>
      <c r="B1804" s="39" t="n">
        <v>41111</v>
      </c>
      <c r="C1804" s="4" t="n">
        <v>41091</v>
      </c>
      <c r="D1804" s="5">
        <f>YEAR(C1804)</f>
        <v/>
      </c>
      <c r="E1804" s="5">
        <f>MONTH(C1804)</f>
        <v/>
      </c>
      <c r="F1804" s="38" t="inlineStr">
        <is>
          <t>NFV  :TENDA ATACADO LTDA</t>
        </is>
      </c>
      <c r="G1804" s="38" t="inlineStr">
        <is>
          <t>MARIO FRUGIS (01.04.01)</t>
        </is>
      </c>
      <c r="H1804" s="38" t="inlineStr">
        <is>
          <t>NFV</t>
        </is>
      </c>
      <c r="I1804" s="40" t="n">
        <v>34.08</v>
      </c>
      <c r="J1804" s="40" t="n">
        <v>0</v>
      </c>
      <c r="K1804" s="6">
        <f>I1804-J1804</f>
        <v/>
      </c>
      <c r="L1804" s="6">
        <f>IF(H1804="DISTRATO",0,I1804)</f>
        <v/>
      </c>
    </row>
    <row r="1805">
      <c r="A1805" s="38" t="inlineStr">
        <is>
          <t>Conta corrente FRUGIS5.XLS</t>
        </is>
      </c>
      <c r="B1805" s="39" t="n">
        <v>41112</v>
      </c>
      <c r="C1805" s="4" t="n">
        <v>41091</v>
      </c>
      <c r="D1805" s="5">
        <f>YEAR(C1805)</f>
        <v/>
      </c>
      <c r="E1805" s="5">
        <f>MONTH(C1805)</f>
        <v/>
      </c>
      <c r="F1805" s="38" t="inlineStr">
        <is>
          <t>NFV  :TENDA ATACADO LTDA</t>
        </is>
      </c>
      <c r="G1805" s="38" t="inlineStr">
        <is>
          <t>MARIO FRUGIS (01.04.01)</t>
        </is>
      </c>
      <c r="H1805" s="38" t="inlineStr">
        <is>
          <t>NFV</t>
        </is>
      </c>
      <c r="I1805" s="40" t="n">
        <v>77.63</v>
      </c>
      <c r="J1805" s="40" t="n">
        <v>0</v>
      </c>
      <c r="K1805" s="6">
        <f>I1805-J1805</f>
        <v/>
      </c>
      <c r="L1805" s="6">
        <f>IF(H1805="DISTRATO",0,I1805)</f>
        <v/>
      </c>
    </row>
    <row r="1806">
      <c r="A1806" s="38" t="inlineStr">
        <is>
          <t>Conta corrente FRUGIS5.XLS</t>
        </is>
      </c>
      <c r="B1806" s="39" t="n">
        <v>41112</v>
      </c>
      <c r="C1806" s="4" t="n">
        <v>41091</v>
      </c>
      <c r="D1806" s="5">
        <f>YEAR(C1806)</f>
        <v/>
      </c>
      <c r="E1806" s="5">
        <f>MONTH(C1806)</f>
        <v/>
      </c>
      <c r="F1806" s="38" t="inlineStr">
        <is>
          <t>NFV  :TENDA ATACADO LTDA</t>
        </is>
      </c>
      <c r="G1806" s="38" t="inlineStr">
        <is>
          <t>MARIO FRUGIS (01.04.01)</t>
        </is>
      </c>
      <c r="H1806" s="38" t="inlineStr">
        <is>
          <t>NFV</t>
        </is>
      </c>
      <c r="I1806" s="40" t="n">
        <v>52.7</v>
      </c>
      <c r="J1806" s="40" t="n">
        <v>0</v>
      </c>
      <c r="K1806" s="6">
        <f>I1806-J1806</f>
        <v/>
      </c>
      <c r="L1806" s="6">
        <f>IF(H1806="DISTRATO",0,I1806)</f>
        <v/>
      </c>
    </row>
    <row r="1807">
      <c r="A1807" s="38" t="inlineStr">
        <is>
          <t>Conta corrente FRUGIS5.XLS</t>
        </is>
      </c>
      <c r="B1807" s="39" t="n">
        <v>41113</v>
      </c>
      <c r="C1807" s="4" t="n">
        <v>41091</v>
      </c>
      <c r="D1807" s="5">
        <f>YEAR(C1807)</f>
        <v/>
      </c>
      <c r="E1807" s="5">
        <f>MONTH(C1807)</f>
        <v/>
      </c>
      <c r="F1807" s="38" t="inlineStr">
        <is>
          <t>NFV  :TENDA ATACADO LTDA</t>
        </is>
      </c>
      <c r="G1807" s="38" t="inlineStr">
        <is>
          <t>MARIO FRUGIS (01.04.01)</t>
        </is>
      </c>
      <c r="H1807" s="38" t="inlineStr">
        <is>
          <t>NFV</t>
        </is>
      </c>
      <c r="I1807" s="40" t="n">
        <v>75.70999999999999</v>
      </c>
      <c r="J1807" s="40" t="n">
        <v>0</v>
      </c>
      <c r="K1807" s="6">
        <f>I1807-J1807</f>
        <v/>
      </c>
      <c r="L1807" s="6">
        <f>IF(H1807="DISTRATO",0,I1807)</f>
        <v/>
      </c>
    </row>
    <row r="1808">
      <c r="A1808" s="38" t="inlineStr">
        <is>
          <t>Conta corrente FRUGIS5.XLS</t>
        </is>
      </c>
      <c r="B1808" s="39" t="n">
        <v>41113</v>
      </c>
      <c r="C1808" s="4" t="n">
        <v>41091</v>
      </c>
      <c r="D1808" s="5">
        <f>YEAR(C1808)</f>
        <v/>
      </c>
      <c r="E1808" s="5">
        <f>MONTH(C1808)</f>
        <v/>
      </c>
      <c r="F1808" s="38" t="inlineStr">
        <is>
          <t>NFV  :TENDA ATACADO LTDA</t>
        </is>
      </c>
      <c r="G1808" s="38" t="inlineStr">
        <is>
          <t>MARIO FRUGIS (01.04.01)</t>
        </is>
      </c>
      <c r="H1808" s="38" t="inlineStr">
        <is>
          <t>NFV</t>
        </is>
      </c>
      <c r="I1808" s="40" t="n">
        <v>92.72</v>
      </c>
      <c r="J1808" s="40" t="n">
        <v>0</v>
      </c>
      <c r="K1808" s="6">
        <f>I1808-J1808</f>
        <v/>
      </c>
      <c r="L1808" s="6">
        <f>IF(H1808="DISTRATO",0,I1808)</f>
        <v/>
      </c>
    </row>
    <row r="1809">
      <c r="A1809" s="38" t="inlineStr">
        <is>
          <t>Conta corrente FRUGIS5.XLS</t>
        </is>
      </c>
      <c r="B1809" s="39" t="n">
        <v>41115</v>
      </c>
      <c r="C1809" s="4" t="n">
        <v>41091</v>
      </c>
      <c r="D1809" s="5">
        <f>YEAR(C1809)</f>
        <v/>
      </c>
      <c r="E1809" s="5">
        <f>MONTH(C1809)</f>
        <v/>
      </c>
      <c r="F1809" s="38" t="inlineStr">
        <is>
          <t>BONIF:TENDA ATACADO LTDA</t>
        </is>
      </c>
      <c r="G1809" s="38" t="inlineStr">
        <is>
          <t>MARIO FRUGIS (01.04.01)</t>
        </is>
      </c>
      <c r="H1809" s="38" t="inlineStr">
        <is>
          <t>BONIFICACAO</t>
        </is>
      </c>
      <c r="I1809" s="40" t="n">
        <v>-16.47</v>
      </c>
      <c r="J1809" s="40" t="n">
        <v>0</v>
      </c>
      <c r="K1809" s="6">
        <f>I1809-J1809</f>
        <v/>
      </c>
      <c r="L1809" s="6">
        <f>IF(H1809="DISTRATO",0,I1809)</f>
        <v/>
      </c>
    </row>
    <row r="1810">
      <c r="A1810" s="38" t="inlineStr">
        <is>
          <t>Conta corrente FRUGIS5.XLS</t>
        </is>
      </c>
      <c r="B1810" s="39" t="n">
        <v>41115</v>
      </c>
      <c r="C1810" s="4" t="n">
        <v>41091</v>
      </c>
      <c r="D1810" s="5">
        <f>YEAR(C1810)</f>
        <v/>
      </c>
      <c r="E1810" s="5">
        <f>MONTH(C1810)</f>
        <v/>
      </c>
      <c r="F1810" s="38" t="inlineStr">
        <is>
          <t>BONIF:TENDA ATACADO LTDA</t>
        </is>
      </c>
      <c r="G1810" s="38" t="inlineStr">
        <is>
          <t>MARIO FRUGIS (01.04.01)</t>
        </is>
      </c>
      <c r="H1810" s="38" t="inlineStr">
        <is>
          <t>BONIFICACAO</t>
        </is>
      </c>
      <c r="I1810" s="40" t="n">
        <v>-16.47</v>
      </c>
      <c r="J1810" s="40" t="n">
        <v>0</v>
      </c>
      <c r="K1810" s="6">
        <f>I1810-J1810</f>
        <v/>
      </c>
      <c r="L1810" s="6">
        <f>IF(H1810="DISTRATO",0,I1810)</f>
        <v/>
      </c>
    </row>
    <row r="1811">
      <c r="A1811" s="38" t="inlineStr">
        <is>
          <t>Conta corrente FRUGIS5.XLS</t>
        </is>
      </c>
      <c r="B1811" s="39" t="n">
        <v>41115</v>
      </c>
      <c r="C1811" s="4" t="n">
        <v>41091</v>
      </c>
      <c r="D1811" s="5">
        <f>YEAR(C1811)</f>
        <v/>
      </c>
      <c r="E1811" s="5">
        <f>MONTH(C1811)</f>
        <v/>
      </c>
      <c r="F1811" s="38" t="inlineStr">
        <is>
          <t>BONIF:TENDA ATACADO LTDA</t>
        </is>
      </c>
      <c r="G1811" s="38" t="inlineStr">
        <is>
          <t>MARIO FRUGIS (01.04.01)</t>
        </is>
      </c>
      <c r="H1811" s="38" t="inlineStr">
        <is>
          <t>BONIFICACAO</t>
        </is>
      </c>
      <c r="I1811" s="40" t="n">
        <v>-16.47</v>
      </c>
      <c r="J1811" s="40" t="n">
        <v>0</v>
      </c>
      <c r="K1811" s="6">
        <f>I1811-J1811</f>
        <v/>
      </c>
      <c r="L1811" s="6">
        <f>IF(H1811="DISTRATO",0,I1811)</f>
        <v/>
      </c>
    </row>
    <row r="1812">
      <c r="A1812" s="38" t="inlineStr">
        <is>
          <t>Conta corrente FRUGIS5.XLS</t>
        </is>
      </c>
      <c r="B1812" s="39" t="n">
        <v>41115</v>
      </c>
      <c r="C1812" s="4" t="n">
        <v>41091</v>
      </c>
      <c r="D1812" s="5">
        <f>YEAR(C1812)</f>
        <v/>
      </c>
      <c r="E1812" s="5">
        <f>MONTH(C1812)</f>
        <v/>
      </c>
      <c r="F1812" s="38" t="inlineStr">
        <is>
          <t>NFV  :TENDA ATACADO LTDA</t>
        </is>
      </c>
      <c r="G1812" s="38" t="inlineStr">
        <is>
          <t>MARIO FRUGIS (01.04.01)</t>
        </is>
      </c>
      <c r="H1812" s="38" t="inlineStr">
        <is>
          <t>NFV</t>
        </is>
      </c>
      <c r="I1812" s="40" t="n">
        <v>129.97</v>
      </c>
      <c r="J1812" s="40" t="n">
        <v>0</v>
      </c>
      <c r="K1812" s="6">
        <f>I1812-J1812</f>
        <v/>
      </c>
      <c r="L1812" s="6">
        <f>IF(H1812="DISTRATO",0,I1812)</f>
        <v/>
      </c>
    </row>
    <row r="1813">
      <c r="A1813" s="38" t="inlineStr">
        <is>
          <t>Conta corrente FRUGIS5.XLS</t>
        </is>
      </c>
      <c r="B1813" s="39" t="n">
        <v>41115</v>
      </c>
      <c r="C1813" s="4" t="n">
        <v>41091</v>
      </c>
      <c r="D1813" s="5">
        <f>YEAR(C1813)</f>
        <v/>
      </c>
      <c r="E1813" s="5">
        <f>MONTH(C1813)</f>
        <v/>
      </c>
      <c r="F1813" s="38" t="inlineStr">
        <is>
          <t>NFV  :TENDA ATACADO LTDA</t>
        </is>
      </c>
      <c r="G1813" s="38" t="inlineStr">
        <is>
          <t>MARIO FRUGIS (01.04.01)</t>
        </is>
      </c>
      <c r="H1813" s="38" t="inlineStr">
        <is>
          <t>NFV</t>
        </is>
      </c>
      <c r="I1813" s="40" t="n">
        <v>113.99</v>
      </c>
      <c r="J1813" s="40" t="n">
        <v>0</v>
      </c>
      <c r="K1813" s="6">
        <f>I1813-J1813</f>
        <v/>
      </c>
      <c r="L1813" s="6">
        <f>IF(H1813="DISTRATO",0,I1813)</f>
        <v/>
      </c>
    </row>
    <row r="1814">
      <c r="A1814" s="38" t="inlineStr">
        <is>
          <t>Conta corrente FRUGIS5.XLS</t>
        </is>
      </c>
      <c r="B1814" s="39" t="n">
        <v>41115</v>
      </c>
      <c r="C1814" s="4" t="n">
        <v>41091</v>
      </c>
      <c r="D1814" s="5">
        <f>YEAR(C1814)</f>
        <v/>
      </c>
      <c r="E1814" s="5">
        <f>MONTH(C1814)</f>
        <v/>
      </c>
      <c r="F1814" s="38" t="inlineStr">
        <is>
          <t>NFV  :TENDA ATACADO LTDA</t>
        </is>
      </c>
      <c r="G1814" s="38" t="inlineStr">
        <is>
          <t>MARIO FRUGIS (01.04.01)</t>
        </is>
      </c>
      <c r="H1814" s="38" t="inlineStr">
        <is>
          <t>NFV</t>
        </is>
      </c>
      <c r="I1814" s="40" t="n">
        <v>97.25</v>
      </c>
      <c r="J1814" s="40" t="n">
        <v>0</v>
      </c>
      <c r="K1814" s="6">
        <f>I1814-J1814</f>
        <v/>
      </c>
      <c r="L1814" s="6">
        <f>IF(H1814="DISTRATO",0,I1814)</f>
        <v/>
      </c>
    </row>
    <row r="1815">
      <c r="A1815" s="38" t="inlineStr">
        <is>
          <t>Conta corrente FRUGIS5.XLS</t>
        </is>
      </c>
      <c r="B1815" s="39" t="n">
        <v>41116</v>
      </c>
      <c r="C1815" s="4" t="n">
        <v>41091</v>
      </c>
      <c r="D1815" s="5">
        <f>YEAR(C1815)</f>
        <v/>
      </c>
      <c r="E1815" s="5">
        <f>MONTH(C1815)</f>
        <v/>
      </c>
      <c r="F1815" s="38" t="inlineStr">
        <is>
          <t>BONIF:TENDA ATACADO LTDA</t>
        </is>
      </c>
      <c r="G1815" s="38" t="inlineStr">
        <is>
          <t>MARIO FRUGIS (01.04.01)</t>
        </is>
      </c>
      <c r="H1815" s="38" t="inlineStr">
        <is>
          <t>BONIFICACAO</t>
        </is>
      </c>
      <c r="I1815" s="40" t="n">
        <v>-16.47</v>
      </c>
      <c r="J1815" s="40" t="n">
        <v>0</v>
      </c>
      <c r="K1815" s="6">
        <f>I1815-J1815</f>
        <v/>
      </c>
      <c r="L1815" s="6">
        <f>IF(H1815="DISTRATO",0,I1815)</f>
        <v/>
      </c>
    </row>
    <row r="1816">
      <c r="A1816" s="38" t="inlineStr">
        <is>
          <t>Conta corrente FRUGIS5.XLS</t>
        </is>
      </c>
      <c r="B1816" s="39" t="n">
        <v>41116</v>
      </c>
      <c r="C1816" s="4" t="n">
        <v>41091</v>
      </c>
      <c r="D1816" s="5">
        <f>YEAR(C1816)</f>
        <v/>
      </c>
      <c r="E1816" s="5">
        <f>MONTH(C1816)</f>
        <v/>
      </c>
      <c r="F1816" s="38" t="inlineStr">
        <is>
          <t>BONIF:TENDA ATACADO LTDA</t>
        </is>
      </c>
      <c r="G1816" s="38" t="inlineStr">
        <is>
          <t>MARIO FRUGIS (01.04.01)</t>
        </is>
      </c>
      <c r="H1816" s="38" t="inlineStr">
        <is>
          <t>BONIFICACAO</t>
        </is>
      </c>
      <c r="I1816" s="40" t="n">
        <v>-16.47</v>
      </c>
      <c r="J1816" s="40" t="n">
        <v>0</v>
      </c>
      <c r="K1816" s="6">
        <f>I1816-J1816</f>
        <v/>
      </c>
      <c r="L1816" s="6">
        <f>IF(H1816="DISTRATO",0,I1816)</f>
        <v/>
      </c>
    </row>
    <row r="1817">
      <c r="A1817" s="38" t="inlineStr">
        <is>
          <t>Conta corrente FRUGIS5.XLS</t>
        </is>
      </c>
      <c r="B1817" s="39" t="n">
        <v>41116</v>
      </c>
      <c r="C1817" s="4" t="n">
        <v>41091</v>
      </c>
      <c r="D1817" s="5">
        <f>YEAR(C1817)</f>
        <v/>
      </c>
      <c r="E1817" s="5">
        <f>MONTH(C1817)</f>
        <v/>
      </c>
      <c r="F1817" s="38" t="inlineStr">
        <is>
          <t>BONIF:TENDA ATACADO LTDA</t>
        </is>
      </c>
      <c r="G1817" s="38" t="inlineStr">
        <is>
          <t>MARIO FRUGIS (01.04.01)</t>
        </is>
      </c>
      <c r="H1817" s="38" t="inlineStr">
        <is>
          <t>BONIFICACAO</t>
        </is>
      </c>
      <c r="I1817" s="40" t="n">
        <v>-6.59</v>
      </c>
      <c r="J1817" s="40" t="n">
        <v>0</v>
      </c>
      <c r="K1817" s="6">
        <f>I1817-J1817</f>
        <v/>
      </c>
      <c r="L1817" s="6">
        <f>IF(H1817="DISTRATO",0,I1817)</f>
        <v/>
      </c>
    </row>
    <row r="1818">
      <c r="A1818" s="38" t="inlineStr">
        <is>
          <t>Conta corrente FRUGIS5.XLS</t>
        </is>
      </c>
      <c r="B1818" s="39" t="n">
        <v>41116</v>
      </c>
      <c r="C1818" s="4" t="n">
        <v>41091</v>
      </c>
      <c r="D1818" s="5">
        <f>YEAR(C1818)</f>
        <v/>
      </c>
      <c r="E1818" s="5">
        <f>MONTH(C1818)</f>
        <v/>
      </c>
      <c r="F1818" s="38" t="inlineStr">
        <is>
          <t>BONIF:TENDA ATACADO LTDA</t>
        </is>
      </c>
      <c r="G1818" s="38" t="inlineStr">
        <is>
          <t>MARIO FRUGIS (01.04.01)</t>
        </is>
      </c>
      <c r="H1818" s="38" t="inlineStr">
        <is>
          <t>BONIFICACAO</t>
        </is>
      </c>
      <c r="I1818" s="40" t="n">
        <v>-16.47</v>
      </c>
      <c r="J1818" s="40" t="n">
        <v>0</v>
      </c>
      <c r="K1818" s="6">
        <f>I1818-J1818</f>
        <v/>
      </c>
      <c r="L1818" s="6">
        <f>IF(H1818="DISTRATO",0,I1818)</f>
        <v/>
      </c>
    </row>
    <row r="1819">
      <c r="A1819" s="38" t="inlineStr">
        <is>
          <t>Conta corrente FRUGIS5.XLS</t>
        </is>
      </c>
      <c r="B1819" s="39" t="n">
        <v>41116</v>
      </c>
      <c r="C1819" s="4" t="n">
        <v>41091</v>
      </c>
      <c r="D1819" s="5">
        <f>YEAR(C1819)</f>
        <v/>
      </c>
      <c r="E1819" s="5">
        <f>MONTH(C1819)</f>
        <v/>
      </c>
      <c r="F1819" s="38" t="inlineStr">
        <is>
          <t>BONIF:TENDA ATACADO LTDA</t>
        </is>
      </c>
      <c r="G1819" s="38" t="inlineStr">
        <is>
          <t>MARIO FRUGIS (01.04.01)</t>
        </is>
      </c>
      <c r="H1819" s="38" t="inlineStr">
        <is>
          <t>BONIFICACAO</t>
        </is>
      </c>
      <c r="I1819" s="40" t="n">
        <v>-16.47</v>
      </c>
      <c r="J1819" s="40" t="n">
        <v>0</v>
      </c>
      <c r="K1819" s="6">
        <f>I1819-J1819</f>
        <v/>
      </c>
      <c r="L1819" s="6">
        <f>IF(H1819="DISTRATO",0,I1819)</f>
        <v/>
      </c>
    </row>
    <row r="1820">
      <c r="A1820" s="38" t="inlineStr">
        <is>
          <t>Conta corrente FRUGIS5.XLS</t>
        </is>
      </c>
      <c r="B1820" s="39" t="n">
        <v>41116</v>
      </c>
      <c r="C1820" s="4" t="n">
        <v>41091</v>
      </c>
      <c r="D1820" s="5">
        <f>YEAR(C1820)</f>
        <v/>
      </c>
      <c r="E1820" s="5">
        <f>MONTH(C1820)</f>
        <v/>
      </c>
      <c r="F1820" s="38" t="inlineStr">
        <is>
          <t>NFV  :TENDA ATACADO LTDA</t>
        </is>
      </c>
      <c r="G1820" s="38" t="inlineStr">
        <is>
          <t>MARIO FRUGIS (01.04.01)</t>
        </is>
      </c>
      <c r="H1820" s="38" t="inlineStr">
        <is>
          <t>NFV</t>
        </is>
      </c>
      <c r="I1820" s="40" t="n">
        <v>86.68000000000001</v>
      </c>
      <c r="J1820" s="40" t="n">
        <v>0</v>
      </c>
      <c r="K1820" s="6">
        <f>I1820-J1820</f>
        <v/>
      </c>
      <c r="L1820" s="6">
        <f>IF(H1820="DISTRATO",0,I1820)</f>
        <v/>
      </c>
    </row>
    <row r="1821">
      <c r="A1821" s="38" t="inlineStr">
        <is>
          <t>Conta corrente FRUGIS5.XLS</t>
        </is>
      </c>
      <c r="B1821" s="39" t="n">
        <v>41116</v>
      </c>
      <c r="C1821" s="4" t="n">
        <v>41091</v>
      </c>
      <c r="D1821" s="5">
        <f>YEAR(C1821)</f>
        <v/>
      </c>
      <c r="E1821" s="5">
        <f>MONTH(C1821)</f>
        <v/>
      </c>
      <c r="F1821" s="38" t="inlineStr">
        <is>
          <t>NFV  :TENDA ATACADO LTDA</t>
        </is>
      </c>
      <c r="G1821" s="38" t="inlineStr">
        <is>
          <t>MARIO FRUGIS (01.04.01)</t>
        </is>
      </c>
      <c r="H1821" s="38" t="inlineStr">
        <is>
          <t>NFV</t>
        </is>
      </c>
      <c r="I1821" s="40" t="n">
        <v>108.32</v>
      </c>
      <c r="J1821" s="40" t="n">
        <v>0</v>
      </c>
      <c r="K1821" s="6">
        <f>I1821-J1821</f>
        <v/>
      </c>
      <c r="L1821" s="6">
        <f>IF(H1821="DISTRATO",0,I1821)</f>
        <v/>
      </c>
    </row>
    <row r="1822">
      <c r="A1822" s="38" t="inlineStr">
        <is>
          <t>Conta corrente FRUGIS5.XLS</t>
        </is>
      </c>
      <c r="B1822" s="39" t="n">
        <v>41116</v>
      </c>
      <c r="C1822" s="4" t="n">
        <v>41091</v>
      </c>
      <c r="D1822" s="5">
        <f>YEAR(C1822)</f>
        <v/>
      </c>
      <c r="E1822" s="5">
        <f>MONTH(C1822)</f>
        <v/>
      </c>
      <c r="F1822" s="38" t="inlineStr">
        <is>
          <t>NFV  :TENDA ATACADO LTDA</t>
        </is>
      </c>
      <c r="G1822" s="38" t="inlineStr">
        <is>
          <t>MARIO FRUGIS (01.04.01)</t>
        </is>
      </c>
      <c r="H1822" s="38" t="inlineStr">
        <is>
          <t>NFV</t>
        </is>
      </c>
      <c r="I1822" s="40" t="n">
        <v>85.62</v>
      </c>
      <c r="J1822" s="40" t="n">
        <v>0</v>
      </c>
      <c r="K1822" s="6">
        <f>I1822-J1822</f>
        <v/>
      </c>
      <c r="L1822" s="6">
        <f>IF(H1822="DISTRATO",0,I1822)</f>
        <v/>
      </c>
    </row>
    <row r="1823">
      <c r="A1823" s="38" t="inlineStr">
        <is>
          <t>Conta corrente FRUGIS5.XLS</t>
        </is>
      </c>
      <c r="B1823" s="39" t="n">
        <v>41116</v>
      </c>
      <c r="C1823" s="4" t="n">
        <v>41091</v>
      </c>
      <c r="D1823" s="5">
        <f>YEAR(C1823)</f>
        <v/>
      </c>
      <c r="E1823" s="5">
        <f>MONTH(C1823)</f>
        <v/>
      </c>
      <c r="F1823" s="38" t="inlineStr">
        <is>
          <t>NFV  :TENDA ATACADO LTDA</t>
        </is>
      </c>
      <c r="G1823" s="38" t="inlineStr">
        <is>
          <t>MARIO FRUGIS (01.04.01)</t>
        </is>
      </c>
      <c r="H1823" s="38" t="inlineStr">
        <is>
          <t>NFV</t>
        </is>
      </c>
      <c r="I1823" s="40" t="n">
        <v>105.45</v>
      </c>
      <c r="J1823" s="40" t="n">
        <v>0</v>
      </c>
      <c r="K1823" s="6">
        <f>I1823-J1823</f>
        <v/>
      </c>
      <c r="L1823" s="6">
        <f>IF(H1823="DISTRATO",0,I1823)</f>
        <v/>
      </c>
    </row>
    <row r="1824">
      <c r="A1824" s="38" t="inlineStr">
        <is>
          <t>Conta corrente FRUGIS5.XLS</t>
        </is>
      </c>
      <c r="B1824" s="39" t="n">
        <v>41116</v>
      </c>
      <c r="C1824" s="4" t="n">
        <v>41091</v>
      </c>
      <c r="D1824" s="5">
        <f>YEAR(C1824)</f>
        <v/>
      </c>
      <c r="E1824" s="5">
        <f>MONTH(C1824)</f>
        <v/>
      </c>
      <c r="F1824" s="38" t="inlineStr">
        <is>
          <t>NFV  :TENDA ATACADO LTDA</t>
        </is>
      </c>
      <c r="G1824" s="38" t="inlineStr">
        <is>
          <t>MARIO FRUGIS (01.04.01)</t>
        </is>
      </c>
      <c r="H1824" s="38" t="inlineStr">
        <is>
          <t>NFV</t>
        </is>
      </c>
      <c r="I1824" s="40" t="n">
        <v>71.45999999999999</v>
      </c>
      <c r="J1824" s="40" t="n">
        <v>0</v>
      </c>
      <c r="K1824" s="6">
        <f>I1824-J1824</f>
        <v/>
      </c>
      <c r="L1824" s="6">
        <f>IF(H1824="DISTRATO",0,I1824)</f>
        <v/>
      </c>
    </row>
    <row r="1825">
      <c r="A1825" s="38" t="inlineStr">
        <is>
          <t>Conta corrente FRUGIS5.XLS</t>
        </is>
      </c>
      <c r="B1825" s="39" t="n">
        <v>41116</v>
      </c>
      <c r="C1825" s="4" t="n">
        <v>41091</v>
      </c>
      <c r="D1825" s="5">
        <f>YEAR(C1825)</f>
        <v/>
      </c>
      <c r="E1825" s="5">
        <f>MONTH(C1825)</f>
        <v/>
      </c>
      <c r="F1825" s="38" t="inlineStr">
        <is>
          <t>NFV  :TENDA ATACADO LTDA</t>
        </is>
      </c>
      <c r="G1825" s="38" t="inlineStr">
        <is>
          <t>MARIO FRUGIS (01.04.01)</t>
        </is>
      </c>
      <c r="H1825" s="38" t="inlineStr">
        <is>
          <t>NFV</t>
        </is>
      </c>
      <c r="I1825" s="40" t="n">
        <v>71.75</v>
      </c>
      <c r="J1825" s="40" t="n">
        <v>0</v>
      </c>
      <c r="K1825" s="6">
        <f>I1825-J1825</f>
        <v/>
      </c>
      <c r="L1825" s="6">
        <f>IF(H1825="DISTRATO",0,I1825)</f>
        <v/>
      </c>
    </row>
    <row r="1826">
      <c r="A1826" s="38" t="inlineStr">
        <is>
          <t>Conta corrente FRUGIS5.XLS</t>
        </is>
      </c>
      <c r="B1826" s="39" t="n">
        <v>41116</v>
      </c>
      <c r="C1826" s="4" t="n">
        <v>41091</v>
      </c>
      <c r="D1826" s="5">
        <f>YEAR(C1826)</f>
        <v/>
      </c>
      <c r="E1826" s="5">
        <f>MONTH(C1826)</f>
        <v/>
      </c>
      <c r="F1826" s="38" t="inlineStr">
        <is>
          <t>NFV  :TENDA ATACADO LTDA</t>
        </is>
      </c>
      <c r="G1826" s="38" t="inlineStr">
        <is>
          <t>MARIO FRUGIS (01.04.01)</t>
        </is>
      </c>
      <c r="H1826" s="38" t="inlineStr">
        <is>
          <t>NFV</t>
        </is>
      </c>
      <c r="I1826" s="40" t="n">
        <v>73.51000000000001</v>
      </c>
      <c r="J1826" s="40" t="n">
        <v>0</v>
      </c>
      <c r="K1826" s="6">
        <f>I1826-J1826</f>
        <v/>
      </c>
      <c r="L1826" s="6">
        <f>IF(H1826="DISTRATO",0,I1826)</f>
        <v/>
      </c>
    </row>
    <row r="1827">
      <c r="A1827" s="38" t="inlineStr">
        <is>
          <t>Conta corrente FRUGIS5.XLS</t>
        </is>
      </c>
      <c r="B1827" s="39" t="n">
        <v>41116</v>
      </c>
      <c r="C1827" s="4" t="n">
        <v>41091</v>
      </c>
      <c r="D1827" s="5">
        <f>YEAR(C1827)</f>
        <v/>
      </c>
      <c r="E1827" s="5">
        <f>MONTH(C1827)</f>
        <v/>
      </c>
      <c r="F1827" s="38" t="inlineStr">
        <is>
          <t>NFV  :TENDA ATACADO LTDA</t>
        </is>
      </c>
      <c r="G1827" s="38" t="inlineStr">
        <is>
          <t>MARIO FRUGIS (01.04.01)</t>
        </is>
      </c>
      <c r="H1827" s="38" t="inlineStr">
        <is>
          <t>NFV</t>
        </is>
      </c>
      <c r="I1827" s="40" t="n">
        <v>48.98</v>
      </c>
      <c r="J1827" s="40" t="n">
        <v>0</v>
      </c>
      <c r="K1827" s="6">
        <f>I1827-J1827</f>
        <v/>
      </c>
      <c r="L1827" s="6">
        <f>IF(H1827="DISTRATO",0,I1827)</f>
        <v/>
      </c>
    </row>
    <row r="1828">
      <c r="A1828" s="38" t="inlineStr">
        <is>
          <t>Conta corrente FRUGIS5.XLS</t>
        </is>
      </c>
      <c r="B1828" s="39" t="n">
        <v>41116</v>
      </c>
      <c r="C1828" s="4" t="n">
        <v>41091</v>
      </c>
      <c r="D1828" s="5">
        <f>YEAR(C1828)</f>
        <v/>
      </c>
      <c r="E1828" s="5">
        <f>MONTH(C1828)</f>
        <v/>
      </c>
      <c r="F1828" s="38" t="inlineStr">
        <is>
          <t>NFV  :TENDA ATACADO LTDA</t>
        </is>
      </c>
      <c r="G1828" s="38" t="inlineStr">
        <is>
          <t>MARIO FRUGIS (01.04.01)</t>
        </is>
      </c>
      <c r="H1828" s="38" t="inlineStr">
        <is>
          <t>NFV</t>
        </is>
      </c>
      <c r="I1828" s="40" t="n">
        <v>52.63</v>
      </c>
      <c r="J1828" s="40" t="n">
        <v>0</v>
      </c>
      <c r="K1828" s="6">
        <f>I1828-J1828</f>
        <v/>
      </c>
      <c r="L1828" s="6">
        <f>IF(H1828="DISTRATO",0,I1828)</f>
        <v/>
      </c>
    </row>
    <row r="1829">
      <c r="A1829" s="38" t="inlineStr">
        <is>
          <t>Conta corrente FRUGIS5.XLS</t>
        </is>
      </c>
      <c r="B1829" s="39" t="n">
        <v>41116</v>
      </c>
      <c r="C1829" s="4" t="n">
        <v>41091</v>
      </c>
      <c r="D1829" s="5">
        <f>YEAR(C1829)</f>
        <v/>
      </c>
      <c r="E1829" s="5">
        <f>MONTH(C1829)</f>
        <v/>
      </c>
      <c r="F1829" s="38" t="inlineStr">
        <is>
          <t>NFV  :TENDA ATACADO LTDA</t>
        </is>
      </c>
      <c r="G1829" s="38" t="inlineStr">
        <is>
          <t>MARIO FRUGIS (01.04.01)</t>
        </is>
      </c>
      <c r="H1829" s="38" t="inlineStr">
        <is>
          <t>NFV</t>
        </is>
      </c>
      <c r="I1829" s="40" t="n">
        <v>123.53</v>
      </c>
      <c r="J1829" s="40" t="n">
        <v>0</v>
      </c>
      <c r="K1829" s="6">
        <f>I1829-J1829</f>
        <v/>
      </c>
      <c r="L1829" s="6">
        <f>IF(H1829="DISTRATO",0,I1829)</f>
        <v/>
      </c>
    </row>
    <row r="1830">
      <c r="A1830" s="38" t="inlineStr">
        <is>
          <t>Conta corrente FRUGIS5.XLS</t>
        </is>
      </c>
      <c r="B1830" s="39" t="n">
        <v>41116</v>
      </c>
      <c r="C1830" s="4" t="n">
        <v>41091</v>
      </c>
      <c r="D1830" s="5">
        <f>YEAR(C1830)</f>
        <v/>
      </c>
      <c r="E1830" s="5">
        <f>MONTH(C1830)</f>
        <v/>
      </c>
      <c r="F1830" s="38" t="inlineStr">
        <is>
          <t>NFV  :TENDA ATACADO LTDA</t>
        </is>
      </c>
      <c r="G1830" s="38" t="inlineStr">
        <is>
          <t>MARIO FRUGIS (01.04.01)</t>
        </is>
      </c>
      <c r="H1830" s="38" t="inlineStr">
        <is>
          <t>NFV</t>
        </is>
      </c>
      <c r="I1830" s="40" t="n">
        <v>52.63</v>
      </c>
      <c r="J1830" s="40" t="n">
        <v>0</v>
      </c>
      <c r="K1830" s="6">
        <f>I1830-J1830</f>
        <v/>
      </c>
      <c r="L1830" s="6">
        <f>IF(H1830="DISTRATO",0,I1830)</f>
        <v/>
      </c>
    </row>
    <row r="1831">
      <c r="A1831" s="38" t="inlineStr">
        <is>
          <t>Conta corrente FRUGIS5.XLS</t>
        </is>
      </c>
      <c r="B1831" s="39" t="n">
        <v>41119</v>
      </c>
      <c r="C1831" s="4" t="n">
        <v>41091</v>
      </c>
      <c r="D1831" s="5">
        <f>YEAR(C1831)</f>
        <v/>
      </c>
      <c r="E1831" s="5">
        <f>MONTH(C1831)</f>
        <v/>
      </c>
      <c r="F1831" s="38" t="inlineStr">
        <is>
          <t>NFV  :TENDA ATACADO LTDA</t>
        </is>
      </c>
      <c r="G1831" s="38" t="inlineStr">
        <is>
          <t>MARIO FRUGIS (01.04.01)</t>
        </is>
      </c>
      <c r="H1831" s="38" t="inlineStr">
        <is>
          <t>NFV</t>
        </is>
      </c>
      <c r="I1831" s="40" t="n">
        <v>73.44</v>
      </c>
      <c r="J1831" s="40" t="n">
        <v>0</v>
      </c>
      <c r="K1831" s="6">
        <f>I1831-J1831</f>
        <v/>
      </c>
      <c r="L1831" s="6">
        <f>IF(H1831="DISTRATO",0,I1831)</f>
        <v/>
      </c>
    </row>
    <row r="1832">
      <c r="A1832" s="38" t="inlineStr">
        <is>
          <t>Conta corrente FRUGIS5.XLS</t>
        </is>
      </c>
      <c r="B1832" s="39" t="n">
        <v>41120</v>
      </c>
      <c r="C1832" s="4" t="n">
        <v>41091</v>
      </c>
      <c r="D1832" s="5">
        <f>YEAR(C1832)</f>
        <v/>
      </c>
      <c r="E1832" s="5">
        <f>MONTH(C1832)</f>
        <v/>
      </c>
      <c r="F1832" s="38" t="inlineStr">
        <is>
          <t>NFV  :TENDA ATACADO LTDA</t>
        </is>
      </c>
      <c r="G1832" s="38" t="inlineStr">
        <is>
          <t>MARIO FRUGIS (01.04.01)</t>
        </is>
      </c>
      <c r="H1832" s="38" t="inlineStr">
        <is>
          <t>NFV</t>
        </is>
      </c>
      <c r="I1832" s="40" t="n">
        <v>102.61</v>
      </c>
      <c r="J1832" s="40" t="n">
        <v>0</v>
      </c>
      <c r="K1832" s="6">
        <f>I1832-J1832</f>
        <v/>
      </c>
      <c r="L1832" s="6">
        <f>IF(H1832="DISTRATO",0,I1832)</f>
        <v/>
      </c>
    </row>
    <row r="1833">
      <c r="A1833" s="38" t="inlineStr">
        <is>
          <t>Conta corrente FRUGIS5.XLS</t>
        </is>
      </c>
      <c r="B1833" s="39" t="n">
        <v>41120</v>
      </c>
      <c r="C1833" s="4" t="n">
        <v>41091</v>
      </c>
      <c r="D1833" s="5">
        <f>YEAR(C1833)</f>
        <v/>
      </c>
      <c r="E1833" s="5">
        <f>MONTH(C1833)</f>
        <v/>
      </c>
      <c r="F1833" s="38" t="inlineStr">
        <is>
          <t>NFV  :TENDA ATACADO LTDA</t>
        </is>
      </c>
      <c r="G1833" s="38" t="inlineStr">
        <is>
          <t>MARIO FRUGIS (01.04.01)</t>
        </is>
      </c>
      <c r="H1833" s="38" t="inlineStr">
        <is>
          <t>NFV</t>
        </is>
      </c>
      <c r="I1833" s="40" t="n">
        <v>82.61</v>
      </c>
      <c r="J1833" s="40" t="n">
        <v>0</v>
      </c>
      <c r="K1833" s="6">
        <f>I1833-J1833</f>
        <v/>
      </c>
      <c r="L1833" s="6">
        <f>IF(H1833="DISTRATO",0,I1833)</f>
        <v/>
      </c>
    </row>
    <row r="1834">
      <c r="A1834" s="38" t="inlineStr">
        <is>
          <t>Conta corrente FRUGIS5.XLS</t>
        </is>
      </c>
      <c r="B1834" s="39" t="n">
        <v>41120</v>
      </c>
      <c r="C1834" s="4" t="n">
        <v>41091</v>
      </c>
      <c r="D1834" s="5">
        <f>YEAR(C1834)</f>
        <v/>
      </c>
      <c r="E1834" s="5">
        <f>MONTH(C1834)</f>
        <v/>
      </c>
      <c r="F1834" s="38" t="inlineStr">
        <is>
          <t>NFV  :TENDA ATACADO LTDA</t>
        </is>
      </c>
      <c r="G1834" s="38" t="inlineStr">
        <is>
          <t>MARIO FRUGIS (01.04.01)</t>
        </is>
      </c>
      <c r="H1834" s="38" t="inlineStr">
        <is>
          <t>NFV</t>
        </is>
      </c>
      <c r="I1834" s="40" t="n">
        <v>178.3</v>
      </c>
      <c r="J1834" s="40" t="n">
        <v>0</v>
      </c>
      <c r="K1834" s="6">
        <f>I1834-J1834</f>
        <v/>
      </c>
      <c r="L1834" s="6">
        <f>IF(H1834="DISTRATO",0,I1834)</f>
        <v/>
      </c>
    </row>
    <row r="1835">
      <c r="A1835" s="38" t="inlineStr">
        <is>
          <t>Conta corrente FRUGIS5.XLS</t>
        </is>
      </c>
      <c r="B1835" s="39" t="n">
        <v>41120</v>
      </c>
      <c r="C1835" s="4" t="n">
        <v>41091</v>
      </c>
      <c r="D1835" s="5">
        <f>YEAR(C1835)</f>
        <v/>
      </c>
      <c r="E1835" s="5">
        <f>MONTH(C1835)</f>
        <v/>
      </c>
      <c r="F1835" s="38" t="inlineStr">
        <is>
          <t>NFV  :TENDA ATACADO LTDA</t>
        </is>
      </c>
      <c r="G1835" s="38" t="inlineStr">
        <is>
          <t>MARIO FRUGIS (01.04.01)</t>
        </is>
      </c>
      <c r="H1835" s="38" t="inlineStr">
        <is>
          <t>NFV</t>
        </is>
      </c>
      <c r="I1835" s="40" t="n">
        <v>124.43</v>
      </c>
      <c r="J1835" s="40" t="n">
        <v>0</v>
      </c>
      <c r="K1835" s="6">
        <f>I1835-J1835</f>
        <v/>
      </c>
      <c r="L1835" s="6">
        <f>IF(H1835="DISTRATO",0,I1835)</f>
        <v/>
      </c>
    </row>
    <row r="1836">
      <c r="A1836" s="38" t="inlineStr">
        <is>
          <t>Conta corrente FRUGIS5.XLS</t>
        </is>
      </c>
      <c r="B1836" s="39" t="n">
        <v>41120</v>
      </c>
      <c r="C1836" s="4" t="n">
        <v>41091</v>
      </c>
      <c r="D1836" s="5">
        <f>YEAR(C1836)</f>
        <v/>
      </c>
      <c r="E1836" s="5">
        <f>MONTH(C1836)</f>
        <v/>
      </c>
      <c r="F1836" s="38" t="inlineStr">
        <is>
          <t>NFV  :TENDA ATACADO LTDA</t>
        </is>
      </c>
      <c r="G1836" s="38" t="inlineStr">
        <is>
          <t>MARIO FRUGIS (01.04.01)</t>
        </is>
      </c>
      <c r="H1836" s="38" t="inlineStr">
        <is>
          <t>NFV</t>
        </is>
      </c>
      <c r="I1836" s="40" t="n">
        <v>97.63</v>
      </c>
      <c r="J1836" s="40" t="n">
        <v>0</v>
      </c>
      <c r="K1836" s="6">
        <f>I1836-J1836</f>
        <v/>
      </c>
      <c r="L1836" s="6">
        <f>IF(H1836="DISTRATO",0,I1836)</f>
        <v/>
      </c>
    </row>
    <row r="1837">
      <c r="A1837" s="38" t="inlineStr">
        <is>
          <t>Conta corrente FRUGIS5.XLS</t>
        </is>
      </c>
      <c r="B1837" s="39" t="n">
        <v>41121</v>
      </c>
      <c r="C1837" s="4" t="n">
        <v>41091</v>
      </c>
      <c r="D1837" s="5">
        <f>YEAR(C1837)</f>
        <v/>
      </c>
      <c r="E1837" s="5">
        <f>MONTH(C1837)</f>
        <v/>
      </c>
      <c r="F1837" s="38" t="inlineStr">
        <is>
          <t>BONIF:TENDA ATACADO LTDA</t>
        </is>
      </c>
      <c r="G1837" s="38" t="inlineStr">
        <is>
          <t>MARIO FRUGIS (01.04.01)</t>
        </is>
      </c>
      <c r="H1837" s="38" t="inlineStr">
        <is>
          <t>BONIFICACAO</t>
        </is>
      </c>
      <c r="I1837" s="40" t="n">
        <v>-16.47</v>
      </c>
      <c r="J1837" s="40" t="n">
        <v>0</v>
      </c>
      <c r="K1837" s="6">
        <f>I1837-J1837</f>
        <v/>
      </c>
      <c r="L1837" s="6">
        <f>IF(H1837="DISTRATO",0,I1837)</f>
        <v/>
      </c>
    </row>
    <row r="1838">
      <c r="A1838" s="38" t="inlineStr">
        <is>
          <t>Conta corrente FRUGIS5.XLS</t>
        </is>
      </c>
      <c r="B1838" s="39" t="n">
        <v>41121</v>
      </c>
      <c r="C1838" s="4" t="n">
        <v>41091</v>
      </c>
      <c r="D1838" s="5">
        <f>YEAR(C1838)</f>
        <v/>
      </c>
      <c r="E1838" s="5">
        <f>MONTH(C1838)</f>
        <v/>
      </c>
      <c r="F1838" s="38" t="inlineStr">
        <is>
          <t>BONIF:TENDA ATACADO LTDA</t>
        </is>
      </c>
      <c r="G1838" s="38" t="inlineStr">
        <is>
          <t>MARIO FRUGIS (01.04.01)</t>
        </is>
      </c>
      <c r="H1838" s="38" t="inlineStr">
        <is>
          <t>BONIFICACAO</t>
        </is>
      </c>
      <c r="I1838" s="40" t="n">
        <v>-16.47</v>
      </c>
      <c r="J1838" s="40" t="n">
        <v>0</v>
      </c>
      <c r="K1838" s="6">
        <f>I1838-J1838</f>
        <v/>
      </c>
      <c r="L1838" s="6">
        <f>IF(H1838="DISTRATO",0,I1838)</f>
        <v/>
      </c>
    </row>
    <row r="1839">
      <c r="A1839" s="38" t="inlineStr">
        <is>
          <t>Conta corrente FRUGIS5.XLS</t>
        </is>
      </c>
      <c r="B1839" s="39" t="n">
        <v>41121</v>
      </c>
      <c r="C1839" s="4" t="n">
        <v>41091</v>
      </c>
      <c r="D1839" s="5">
        <f>YEAR(C1839)</f>
        <v/>
      </c>
      <c r="E1839" s="5">
        <f>MONTH(C1839)</f>
        <v/>
      </c>
      <c r="F1839" s="38" t="inlineStr">
        <is>
          <t>NFV  :TENDA ATACADO LTDA</t>
        </is>
      </c>
      <c r="G1839" s="38" t="inlineStr">
        <is>
          <t>MARIO FRUGIS (01.04.01)</t>
        </is>
      </c>
      <c r="H1839" s="38" t="inlineStr">
        <is>
          <t>NFV</t>
        </is>
      </c>
      <c r="I1839" s="40" t="n">
        <v>76.37</v>
      </c>
      <c r="J1839" s="40" t="n">
        <v>0</v>
      </c>
      <c r="K1839" s="6">
        <f>I1839-J1839</f>
        <v/>
      </c>
      <c r="L1839" s="6">
        <f>IF(H1839="DISTRATO",0,I1839)</f>
        <v/>
      </c>
    </row>
    <row r="1840">
      <c r="A1840" s="38" t="inlineStr">
        <is>
          <t>Conta corrente FRUGIS5.XLS</t>
        </is>
      </c>
      <c r="B1840" s="39" t="n">
        <v>41121</v>
      </c>
      <c r="C1840" s="4" t="n">
        <v>41091</v>
      </c>
      <c r="D1840" s="5">
        <f>YEAR(C1840)</f>
        <v/>
      </c>
      <c r="E1840" s="5">
        <f>MONTH(C1840)</f>
        <v/>
      </c>
      <c r="F1840" s="38" t="inlineStr">
        <is>
          <t>NFV  :TENDA ATACADO LTDA</t>
        </is>
      </c>
      <c r="G1840" s="38" t="inlineStr">
        <is>
          <t>MARIO FRUGIS (01.04.01)</t>
        </is>
      </c>
      <c r="H1840" s="38" t="inlineStr">
        <is>
          <t>NFV</t>
        </is>
      </c>
      <c r="I1840" s="40" t="n">
        <v>58.94</v>
      </c>
      <c r="J1840" s="40" t="n">
        <v>0</v>
      </c>
      <c r="K1840" s="6">
        <f>I1840-J1840</f>
        <v/>
      </c>
      <c r="L1840" s="6">
        <f>IF(H1840="DISTRATO",0,I1840)</f>
        <v/>
      </c>
    </row>
    <row r="1841">
      <c r="A1841" s="38" t="inlineStr">
        <is>
          <t>Conta corrente FRUGIS5.XLS</t>
        </is>
      </c>
      <c r="B1841" s="39" t="n">
        <v>41121</v>
      </c>
      <c r="C1841" s="4" t="n">
        <v>41091</v>
      </c>
      <c r="D1841" s="5">
        <f>YEAR(C1841)</f>
        <v/>
      </c>
      <c r="E1841" s="5">
        <f>MONTH(C1841)</f>
        <v/>
      </c>
      <c r="F1841" s="38" t="inlineStr">
        <is>
          <t>NFV  :TENDA ATACADO LTDA</t>
        </is>
      </c>
      <c r="G1841" s="38" t="inlineStr">
        <is>
          <t>MARIO FRUGIS (01.04.01)</t>
        </is>
      </c>
      <c r="H1841" s="38" t="inlineStr">
        <is>
          <t>NFV</t>
        </is>
      </c>
      <c r="I1841" s="40" t="n">
        <v>55.05</v>
      </c>
      <c r="J1841" s="40" t="n">
        <v>0</v>
      </c>
      <c r="K1841" s="6">
        <f>I1841-J1841</f>
        <v/>
      </c>
      <c r="L1841" s="6">
        <f>IF(H1841="DISTRATO",0,I1841)</f>
        <v/>
      </c>
    </row>
    <row r="1842">
      <c r="A1842" s="38" t="inlineStr">
        <is>
          <t>Conta corrente FRUGIS5.XLS</t>
        </is>
      </c>
      <c r="B1842" s="39" t="n">
        <v>41121</v>
      </c>
      <c r="C1842" s="4" t="n">
        <v>41091</v>
      </c>
      <c r="D1842" s="5">
        <f>YEAR(C1842)</f>
        <v/>
      </c>
      <c r="E1842" s="5">
        <f>MONTH(C1842)</f>
        <v/>
      </c>
      <c r="F1842" s="38" t="inlineStr">
        <is>
          <t>NFV  :TENDA ATACADO LTDA</t>
        </is>
      </c>
      <c r="G1842" s="38" t="inlineStr">
        <is>
          <t>MARIO FRUGIS (01.04.01)</t>
        </is>
      </c>
      <c r="H1842" s="38" t="inlineStr">
        <is>
          <t>NFV</t>
        </is>
      </c>
      <c r="I1842" s="40" t="n">
        <v>42.08</v>
      </c>
      <c r="J1842" s="40" t="n">
        <v>0</v>
      </c>
      <c r="K1842" s="6">
        <f>I1842-J1842</f>
        <v/>
      </c>
      <c r="L1842" s="6">
        <f>IF(H1842="DISTRATO",0,I1842)</f>
        <v/>
      </c>
    </row>
    <row r="1843">
      <c r="A1843" s="38" t="inlineStr">
        <is>
          <t>Conta corrente FRUGIS5.XLS</t>
        </is>
      </c>
      <c r="B1843" s="39" t="n">
        <v>41121</v>
      </c>
      <c r="C1843" s="4" t="n">
        <v>41091</v>
      </c>
      <c r="D1843" s="5">
        <f>YEAR(C1843)</f>
        <v/>
      </c>
      <c r="E1843" s="5">
        <f>MONTH(C1843)</f>
        <v/>
      </c>
      <c r="F1843" s="38" t="inlineStr">
        <is>
          <t>NFV  :TENDA ATACADO LTDA</t>
        </is>
      </c>
      <c r="G1843" s="38" t="inlineStr">
        <is>
          <t>MARIO FRUGIS (01.04.01)</t>
        </is>
      </c>
      <c r="H1843" s="38" t="inlineStr">
        <is>
          <t>NFV</t>
        </is>
      </c>
      <c r="I1843" s="40" t="n">
        <v>116.8</v>
      </c>
      <c r="J1843" s="40" t="n">
        <v>0</v>
      </c>
      <c r="K1843" s="6">
        <f>I1843-J1843</f>
        <v/>
      </c>
      <c r="L1843" s="6">
        <f>IF(H1843="DISTRATO",0,I1843)</f>
        <v/>
      </c>
    </row>
    <row r="1844">
      <c r="A1844" s="38" t="inlineStr">
        <is>
          <t>Conta corrente FRUGIS5.XLS</t>
        </is>
      </c>
      <c r="B1844" s="39" t="n">
        <v>41121</v>
      </c>
      <c r="C1844" s="4" t="n">
        <v>41091</v>
      </c>
      <c r="D1844" s="5">
        <f>YEAR(C1844)</f>
        <v/>
      </c>
      <c r="E1844" s="5">
        <f>MONTH(C1844)</f>
        <v/>
      </c>
      <c r="F1844" s="38" t="inlineStr">
        <is>
          <t>NFV  :TENDA ATACADO LTDA</t>
        </is>
      </c>
      <c r="G1844" s="38" t="inlineStr">
        <is>
          <t>MARIO FRUGIS (01.04.01)</t>
        </is>
      </c>
      <c r="H1844" s="38" t="inlineStr">
        <is>
          <t>NFV</t>
        </is>
      </c>
      <c r="I1844" s="40" t="n">
        <v>71.26000000000001</v>
      </c>
      <c r="J1844" s="40" t="n">
        <v>0</v>
      </c>
      <c r="K1844" s="6">
        <f>I1844-J1844</f>
        <v/>
      </c>
      <c r="L1844" s="6">
        <f>IF(H1844="DISTRATO",0,I1844)</f>
        <v/>
      </c>
    </row>
    <row r="1845">
      <c r="A1845" s="38" t="inlineStr">
        <is>
          <t>Conta corrente FRUGIS5.XLS</t>
        </is>
      </c>
      <c r="B1845" s="39" t="n">
        <v>41121</v>
      </c>
      <c r="C1845" s="4" t="n">
        <v>41091</v>
      </c>
      <c r="D1845" s="5">
        <f>YEAR(C1845)</f>
        <v/>
      </c>
      <c r="E1845" s="5">
        <f>MONTH(C1845)</f>
        <v/>
      </c>
      <c r="F1845" s="38" t="inlineStr">
        <is>
          <t>NFV  :TENDA ATACADO LTDA</t>
        </is>
      </c>
      <c r="G1845" s="38" t="inlineStr">
        <is>
          <t>MARIO FRUGIS (01.04.01)</t>
        </is>
      </c>
      <c r="H1845" s="38" t="inlineStr">
        <is>
          <t>NFV</t>
        </is>
      </c>
      <c r="I1845" s="40" t="n">
        <v>102.65</v>
      </c>
      <c r="J1845" s="40" t="n">
        <v>0</v>
      </c>
      <c r="K1845" s="6">
        <f>I1845-J1845</f>
        <v/>
      </c>
      <c r="L1845" s="6">
        <f>IF(H1845="DISTRATO",0,I1845)</f>
        <v/>
      </c>
    </row>
    <row r="1846">
      <c r="A1846" s="38" t="inlineStr">
        <is>
          <t>Conta corrente FRUGIS5.XLS</t>
        </is>
      </c>
      <c r="B1846" s="39" t="n">
        <v>41121</v>
      </c>
      <c r="C1846" s="4" t="n">
        <v>41091</v>
      </c>
      <c r="D1846" s="5">
        <f>YEAR(C1846)</f>
        <v/>
      </c>
      <c r="E1846" s="5">
        <f>MONTH(C1846)</f>
        <v/>
      </c>
      <c r="F1846" s="38" t="inlineStr">
        <is>
          <t>NFV  :TENDA ATACADO LTDA</t>
        </is>
      </c>
      <c r="G1846" s="38" t="inlineStr">
        <is>
          <t>MARIO FRUGIS (01.04.01)</t>
        </is>
      </c>
      <c r="H1846" s="38" t="inlineStr">
        <is>
          <t>NFV</t>
        </is>
      </c>
      <c r="I1846" s="40" t="n">
        <v>65.05</v>
      </c>
      <c r="J1846" s="40" t="n">
        <v>0</v>
      </c>
      <c r="K1846" s="6">
        <f>I1846-J1846</f>
        <v/>
      </c>
      <c r="L1846" s="6">
        <f>IF(H1846="DISTRATO",0,I1846)</f>
        <v/>
      </c>
    </row>
    <row r="1847">
      <c r="A1847" s="38" t="inlineStr">
        <is>
          <t>Conta corrente FRUGIS5.XLS</t>
        </is>
      </c>
      <c r="B1847" s="39" t="n">
        <v>41121</v>
      </c>
      <c r="C1847" s="4" t="n">
        <v>41091</v>
      </c>
      <c r="D1847" s="5">
        <f>YEAR(C1847)</f>
        <v/>
      </c>
      <c r="E1847" s="5">
        <f>MONTH(C1847)</f>
        <v/>
      </c>
      <c r="F1847" s="38" t="inlineStr">
        <is>
          <t>NFV  :TENDA ATACADO LTDA</t>
        </is>
      </c>
      <c r="G1847" s="38" t="inlineStr">
        <is>
          <t>MARIO FRUGIS (01.04.01)</t>
        </is>
      </c>
      <c r="H1847" s="38" t="inlineStr">
        <is>
          <t>NFV</t>
        </is>
      </c>
      <c r="I1847" s="40" t="n">
        <v>119.55</v>
      </c>
      <c r="J1847" s="40" t="n">
        <v>0</v>
      </c>
      <c r="K1847" s="6">
        <f>I1847-J1847</f>
        <v/>
      </c>
      <c r="L1847" s="6">
        <f>IF(H1847="DISTRATO",0,I1847)</f>
        <v/>
      </c>
    </row>
    <row r="1848">
      <c r="A1848" s="38" t="inlineStr">
        <is>
          <t>Conta corrente FRUGIS5.XLS</t>
        </is>
      </c>
      <c r="B1848" s="39" t="n">
        <v>41121</v>
      </c>
      <c r="C1848" s="4" t="n">
        <v>41091</v>
      </c>
      <c r="D1848" s="5">
        <f>YEAR(C1848)</f>
        <v/>
      </c>
      <c r="E1848" s="5">
        <f>MONTH(C1848)</f>
        <v/>
      </c>
      <c r="F1848" s="38" t="inlineStr">
        <is>
          <t>NFV  :TENDA ATACADO LTDA</t>
        </is>
      </c>
      <c r="G1848" s="38" t="inlineStr">
        <is>
          <t>MARIO FRUGIS (01.04.01)</t>
        </is>
      </c>
      <c r="H1848" s="38" t="inlineStr">
        <is>
          <t>NFV</t>
        </is>
      </c>
      <c r="I1848" s="40" t="n">
        <v>37.24</v>
      </c>
      <c r="J1848" s="40" t="n">
        <v>0</v>
      </c>
      <c r="K1848" s="6">
        <f>I1848-J1848</f>
        <v/>
      </c>
      <c r="L1848" s="6">
        <f>IF(H1848="DISTRATO",0,I1848)</f>
        <v/>
      </c>
    </row>
    <row r="1849">
      <c r="A1849" s="38" t="inlineStr">
        <is>
          <t>Conta corrente FRUGIS5.XLS</t>
        </is>
      </c>
      <c r="B1849" s="39" t="n">
        <v>41121</v>
      </c>
      <c r="C1849" s="4" t="n">
        <v>41091</v>
      </c>
      <c r="D1849" s="5">
        <f>YEAR(C1849)</f>
        <v/>
      </c>
      <c r="E1849" s="5">
        <f>MONTH(C1849)</f>
        <v/>
      </c>
      <c r="F1849" s="38" t="inlineStr">
        <is>
          <t>NFV  :TENDA ATACADO LTDA</t>
        </is>
      </c>
      <c r="G1849" s="38" t="inlineStr">
        <is>
          <t>MARIO FRUGIS (01.04.01)</t>
        </is>
      </c>
      <c r="H1849" s="38" t="inlineStr">
        <is>
          <t>NFV</t>
        </is>
      </c>
      <c r="I1849" s="40" t="n">
        <v>110.96</v>
      </c>
      <c r="J1849" s="40" t="n">
        <v>0</v>
      </c>
      <c r="K1849" s="6">
        <f>I1849-J1849</f>
        <v/>
      </c>
      <c r="L1849" s="6">
        <f>IF(H1849="DISTRATO",0,I1849)</f>
        <v/>
      </c>
    </row>
    <row r="1850">
      <c r="A1850" s="38" t="inlineStr">
        <is>
          <t>Conta corrente FRUGIS5.XLS</t>
        </is>
      </c>
      <c r="B1850" s="39" t="n">
        <v>41127</v>
      </c>
      <c r="C1850" s="4" t="n">
        <v>41122</v>
      </c>
      <c r="D1850" s="5">
        <f>YEAR(C1850)</f>
        <v/>
      </c>
      <c r="E1850" s="5">
        <f>MONTH(C1850)</f>
        <v/>
      </c>
      <c r="F1850" s="38" t="inlineStr">
        <is>
          <t>NFV  :TENDA ATACADO LTDA</t>
        </is>
      </c>
      <c r="G1850" s="38" t="inlineStr">
        <is>
          <t>MARIO FRUGIS (01.04.01)</t>
        </is>
      </c>
      <c r="H1850" s="38" t="inlineStr">
        <is>
          <t>NFV</t>
        </is>
      </c>
      <c r="I1850" s="40" t="n">
        <v>60.65</v>
      </c>
      <c r="J1850" s="40" t="n">
        <v>0</v>
      </c>
      <c r="K1850" s="6">
        <f>I1850-J1850</f>
        <v/>
      </c>
      <c r="L1850" s="6">
        <f>IF(H1850="DISTRATO",0,I1850)</f>
        <v/>
      </c>
    </row>
    <row r="1851">
      <c r="A1851" s="38" t="inlineStr">
        <is>
          <t>Conta corrente FRUGIS5.XLS</t>
        </is>
      </c>
      <c r="B1851" s="39" t="n">
        <v>41127</v>
      </c>
      <c r="C1851" s="4" t="n">
        <v>41122</v>
      </c>
      <c r="D1851" s="5">
        <f>YEAR(C1851)</f>
        <v/>
      </c>
      <c r="E1851" s="5">
        <f>MONTH(C1851)</f>
        <v/>
      </c>
      <c r="F1851" s="38" t="inlineStr">
        <is>
          <t>NFV  :TENDA ATACADO LTDA</t>
        </is>
      </c>
      <c r="G1851" s="38" t="inlineStr">
        <is>
          <t>MARIO FRUGIS (01.04.01)</t>
        </is>
      </c>
      <c r="H1851" s="38" t="inlineStr">
        <is>
          <t>NFV</t>
        </is>
      </c>
      <c r="I1851" s="40" t="n">
        <v>112.41</v>
      </c>
      <c r="J1851" s="40" t="n">
        <v>0</v>
      </c>
      <c r="K1851" s="6">
        <f>I1851-J1851</f>
        <v/>
      </c>
      <c r="L1851" s="6">
        <f>IF(H1851="DISTRATO",0,I1851)</f>
        <v/>
      </c>
    </row>
    <row r="1852">
      <c r="A1852" s="38" t="inlineStr">
        <is>
          <t>Conta corrente FRUGIS5.XLS</t>
        </is>
      </c>
      <c r="B1852" s="39" t="n">
        <v>41127</v>
      </c>
      <c r="C1852" s="4" t="n">
        <v>41122</v>
      </c>
      <c r="D1852" s="5">
        <f>YEAR(C1852)</f>
        <v/>
      </c>
      <c r="E1852" s="5">
        <f>MONTH(C1852)</f>
        <v/>
      </c>
      <c r="F1852" s="38" t="inlineStr">
        <is>
          <t>NFV  :TENDA ATACADO LTDA</t>
        </is>
      </c>
      <c r="G1852" s="38" t="inlineStr">
        <is>
          <t>MARIO FRUGIS (01.04.01)</t>
        </is>
      </c>
      <c r="H1852" s="38" t="inlineStr">
        <is>
          <t>NFV</t>
        </is>
      </c>
      <c r="I1852" s="40" t="n">
        <v>115.51</v>
      </c>
      <c r="J1852" s="40" t="n">
        <v>0</v>
      </c>
      <c r="K1852" s="6">
        <f>I1852-J1852</f>
        <v/>
      </c>
      <c r="L1852" s="6">
        <f>IF(H1852="DISTRATO",0,I1852)</f>
        <v/>
      </c>
    </row>
    <row r="1853">
      <c r="A1853" s="38" t="inlineStr">
        <is>
          <t>Conta corrente FRUGIS5.XLS</t>
        </is>
      </c>
      <c r="B1853" s="39" t="n">
        <v>41127</v>
      </c>
      <c r="C1853" s="4" t="n">
        <v>41122</v>
      </c>
      <c r="D1853" s="5">
        <f>YEAR(C1853)</f>
        <v/>
      </c>
      <c r="E1853" s="5">
        <f>MONTH(C1853)</f>
        <v/>
      </c>
      <c r="F1853" s="38" t="inlineStr">
        <is>
          <t>NFV  :TENDA ATACADO LTDA</t>
        </is>
      </c>
      <c r="G1853" s="38" t="inlineStr">
        <is>
          <t>MARIO FRUGIS (01.04.01)</t>
        </is>
      </c>
      <c r="H1853" s="38" t="inlineStr">
        <is>
          <t>NFV</t>
        </is>
      </c>
      <c r="I1853" s="40" t="n">
        <v>99.45999999999999</v>
      </c>
      <c r="J1853" s="40" t="n">
        <v>0</v>
      </c>
      <c r="K1853" s="6">
        <f>I1853-J1853</f>
        <v/>
      </c>
      <c r="L1853" s="6">
        <f>IF(H1853="DISTRATO",0,I1853)</f>
        <v/>
      </c>
    </row>
    <row r="1854">
      <c r="A1854" s="38" t="inlineStr">
        <is>
          <t>Conta corrente FRUGIS5.XLS</t>
        </is>
      </c>
      <c r="B1854" s="39" t="n">
        <v>41128</v>
      </c>
      <c r="C1854" s="4" t="n">
        <v>41122</v>
      </c>
      <c r="D1854" s="5">
        <f>YEAR(C1854)</f>
        <v/>
      </c>
      <c r="E1854" s="5">
        <f>MONTH(C1854)</f>
        <v/>
      </c>
      <c r="F1854" s="38" t="inlineStr">
        <is>
          <t>NFV  :TENDA ATACADO LTDA</t>
        </is>
      </c>
      <c r="G1854" s="38" t="inlineStr">
        <is>
          <t>MARIO FRUGIS (01.04.01)</t>
        </is>
      </c>
      <c r="H1854" s="38" t="inlineStr">
        <is>
          <t>NFV</t>
        </is>
      </c>
      <c r="I1854" s="40" t="n">
        <v>113.43</v>
      </c>
      <c r="J1854" s="40" t="n">
        <v>0</v>
      </c>
      <c r="K1854" s="6">
        <f>I1854-J1854</f>
        <v/>
      </c>
      <c r="L1854" s="6">
        <f>IF(H1854="DISTRATO",0,I1854)</f>
        <v/>
      </c>
    </row>
    <row r="1855">
      <c r="A1855" s="38" t="inlineStr">
        <is>
          <t>Conta corrente FRUGIS5.XLS</t>
        </is>
      </c>
      <c r="B1855" s="39" t="n">
        <v>41128</v>
      </c>
      <c r="C1855" s="4" t="n">
        <v>41122</v>
      </c>
      <c r="D1855" s="5">
        <f>YEAR(C1855)</f>
        <v/>
      </c>
      <c r="E1855" s="5">
        <f>MONTH(C1855)</f>
        <v/>
      </c>
      <c r="F1855" s="38" t="inlineStr">
        <is>
          <t>NFV  :TENDA ATACADO LTDA</t>
        </is>
      </c>
      <c r="G1855" s="38" t="inlineStr">
        <is>
          <t>MARIO FRUGIS (01.04.01)</t>
        </is>
      </c>
      <c r="H1855" s="38" t="inlineStr">
        <is>
          <t>NFV</t>
        </is>
      </c>
      <c r="I1855" s="40" t="n">
        <v>65.01000000000001</v>
      </c>
      <c r="J1855" s="40" t="n">
        <v>0</v>
      </c>
      <c r="K1855" s="6">
        <f>I1855-J1855</f>
        <v/>
      </c>
      <c r="L1855" s="6">
        <f>IF(H1855="DISTRATO",0,I1855)</f>
        <v/>
      </c>
    </row>
    <row r="1856">
      <c r="A1856" s="38" t="inlineStr">
        <is>
          <t>Conta corrente FRUGIS5.XLS</t>
        </is>
      </c>
      <c r="B1856" s="39" t="n">
        <v>41128</v>
      </c>
      <c r="C1856" s="4" t="n">
        <v>41122</v>
      </c>
      <c r="D1856" s="5">
        <f>YEAR(C1856)</f>
        <v/>
      </c>
      <c r="E1856" s="5">
        <f>MONTH(C1856)</f>
        <v/>
      </c>
      <c r="F1856" s="38" t="inlineStr">
        <is>
          <t>NFV  :TENDA ATACADO LTDA</t>
        </is>
      </c>
      <c r="G1856" s="38" t="inlineStr">
        <is>
          <t>MARIO FRUGIS (01.04.01)</t>
        </is>
      </c>
      <c r="H1856" s="38" t="inlineStr">
        <is>
          <t>NFV</t>
        </is>
      </c>
      <c r="I1856" s="40" t="n">
        <v>95.39</v>
      </c>
      <c r="J1856" s="40" t="n">
        <v>0</v>
      </c>
      <c r="K1856" s="6">
        <f>I1856-J1856</f>
        <v/>
      </c>
      <c r="L1856" s="6">
        <f>IF(H1856="DISTRATO",0,I1856)</f>
        <v/>
      </c>
    </row>
    <row r="1857">
      <c r="A1857" s="38" t="inlineStr">
        <is>
          <t>Conta corrente FRUGIS5.XLS</t>
        </is>
      </c>
      <c r="B1857" s="39" t="n">
        <v>41128</v>
      </c>
      <c r="C1857" s="4" t="n">
        <v>41122</v>
      </c>
      <c r="D1857" s="5">
        <f>YEAR(C1857)</f>
        <v/>
      </c>
      <c r="E1857" s="5">
        <f>MONTH(C1857)</f>
        <v/>
      </c>
      <c r="F1857" s="38" t="inlineStr">
        <is>
          <t>NFV  :TENDA ATACADO LTDA</t>
        </is>
      </c>
      <c r="G1857" s="38" t="inlineStr">
        <is>
          <t>MARIO FRUGIS (01.04.01)</t>
        </is>
      </c>
      <c r="H1857" s="38" t="inlineStr">
        <is>
          <t>NFV</t>
        </is>
      </c>
      <c r="I1857" s="40" t="n">
        <v>145.71</v>
      </c>
      <c r="J1857" s="40" t="n">
        <v>0</v>
      </c>
      <c r="K1857" s="6">
        <f>I1857-J1857</f>
        <v/>
      </c>
      <c r="L1857" s="6">
        <f>IF(H1857="DISTRATO",0,I1857)</f>
        <v/>
      </c>
    </row>
    <row r="1858">
      <c r="A1858" s="38" t="inlineStr">
        <is>
          <t>Conta corrente FRUGIS5.XLS</t>
        </is>
      </c>
      <c r="B1858" s="39" t="n">
        <v>41128</v>
      </c>
      <c r="C1858" s="4" t="n">
        <v>41122</v>
      </c>
      <c r="D1858" s="5">
        <f>YEAR(C1858)</f>
        <v/>
      </c>
      <c r="E1858" s="5">
        <f>MONTH(C1858)</f>
        <v/>
      </c>
      <c r="F1858" s="38" t="inlineStr">
        <is>
          <t>NFV  :TENDA ATACADO LTDA</t>
        </is>
      </c>
      <c r="G1858" s="38" t="inlineStr">
        <is>
          <t>MARIO FRUGIS (01.04.01)</t>
        </is>
      </c>
      <c r="H1858" s="38" t="inlineStr">
        <is>
          <t>NFV</t>
        </is>
      </c>
      <c r="I1858" s="40" t="n">
        <v>126.16</v>
      </c>
      <c r="J1858" s="40" t="n">
        <v>0</v>
      </c>
      <c r="K1858" s="6">
        <f>I1858-J1858</f>
        <v/>
      </c>
      <c r="L1858" s="6">
        <f>IF(H1858="DISTRATO",0,I1858)</f>
        <v/>
      </c>
    </row>
    <row r="1859">
      <c r="A1859" s="38" t="inlineStr">
        <is>
          <t>Conta corrente FRUGIS5.XLS</t>
        </is>
      </c>
      <c r="B1859" s="39" t="n">
        <v>41128</v>
      </c>
      <c r="C1859" s="4" t="n">
        <v>41122</v>
      </c>
      <c r="D1859" s="5">
        <f>YEAR(C1859)</f>
        <v/>
      </c>
      <c r="E1859" s="5">
        <f>MONTH(C1859)</f>
        <v/>
      </c>
      <c r="F1859" s="38" t="inlineStr">
        <is>
          <t>NFV  :TENDA ATACADO LTDA</t>
        </is>
      </c>
      <c r="G1859" s="38" t="inlineStr">
        <is>
          <t>MARIO FRUGIS (01.04.01)</t>
        </is>
      </c>
      <c r="H1859" s="38" t="inlineStr">
        <is>
          <t>NFV</t>
        </is>
      </c>
      <c r="I1859" s="40" t="n">
        <v>74.27</v>
      </c>
      <c r="J1859" s="40" t="n">
        <v>0</v>
      </c>
      <c r="K1859" s="6">
        <f>I1859-J1859</f>
        <v/>
      </c>
      <c r="L1859" s="6">
        <f>IF(H1859="DISTRATO",0,I1859)</f>
        <v/>
      </c>
    </row>
    <row r="1860">
      <c r="A1860" s="38" t="inlineStr">
        <is>
          <t>Conta corrente FRUGIS5.XLS</t>
        </is>
      </c>
      <c r="B1860" s="39" t="n">
        <v>41128</v>
      </c>
      <c r="C1860" s="4" t="n">
        <v>41122</v>
      </c>
      <c r="D1860" s="5">
        <f>YEAR(C1860)</f>
        <v/>
      </c>
      <c r="E1860" s="5">
        <f>MONTH(C1860)</f>
        <v/>
      </c>
      <c r="F1860" s="38" t="inlineStr">
        <is>
          <t>NFV  :TENDA ATACADO LTDA</t>
        </is>
      </c>
      <c r="G1860" s="38" t="inlineStr">
        <is>
          <t>MARIO FRUGIS (01.04.01)</t>
        </is>
      </c>
      <c r="H1860" s="38" t="inlineStr">
        <is>
          <t>NFV</t>
        </is>
      </c>
      <c r="I1860" s="40" t="n">
        <v>75.51000000000001</v>
      </c>
      <c r="J1860" s="40" t="n">
        <v>0</v>
      </c>
      <c r="K1860" s="6">
        <f>I1860-J1860</f>
        <v/>
      </c>
      <c r="L1860" s="6">
        <f>IF(H1860="DISTRATO",0,I1860)</f>
        <v/>
      </c>
    </row>
    <row r="1861">
      <c r="A1861" s="38" t="inlineStr">
        <is>
          <t>Conta corrente FRUGIS5.XLS</t>
        </is>
      </c>
      <c r="B1861" s="39" t="n">
        <v>41129</v>
      </c>
      <c r="C1861" s="4" t="n">
        <v>41122</v>
      </c>
      <c r="D1861" s="5">
        <f>YEAR(C1861)</f>
        <v/>
      </c>
      <c r="E1861" s="5">
        <f>MONTH(C1861)</f>
        <v/>
      </c>
      <c r="F1861" s="38" t="inlineStr">
        <is>
          <t>NFV  :TENDA ATACADO LTDA</t>
        </is>
      </c>
      <c r="G1861" s="38" t="inlineStr">
        <is>
          <t>MARIO FRUGIS (01.04.01)</t>
        </is>
      </c>
      <c r="H1861" s="38" t="inlineStr">
        <is>
          <t>NFV</t>
        </is>
      </c>
      <c r="I1861" s="40" t="n">
        <v>86.47</v>
      </c>
      <c r="J1861" s="40" t="n">
        <v>0</v>
      </c>
      <c r="K1861" s="6">
        <f>I1861-J1861</f>
        <v/>
      </c>
      <c r="L1861" s="6">
        <f>IF(H1861="DISTRATO",0,I1861)</f>
        <v/>
      </c>
    </row>
    <row r="1862">
      <c r="A1862" s="38" t="inlineStr">
        <is>
          <t>Conta corrente FRUGIS5.XLS</t>
        </is>
      </c>
      <c r="B1862" s="39" t="n">
        <v>41129</v>
      </c>
      <c r="C1862" s="4" t="n">
        <v>41122</v>
      </c>
      <c r="D1862" s="5">
        <f>YEAR(C1862)</f>
        <v/>
      </c>
      <c r="E1862" s="5">
        <f>MONTH(C1862)</f>
        <v/>
      </c>
      <c r="F1862" s="38" t="inlineStr">
        <is>
          <t>NFV  :TENDA ATACADO LTDA</t>
        </is>
      </c>
      <c r="G1862" s="38" t="inlineStr">
        <is>
          <t>MARIO FRUGIS (01.04.01)</t>
        </is>
      </c>
      <c r="H1862" s="38" t="inlineStr">
        <is>
          <t>NFV</t>
        </is>
      </c>
      <c r="I1862" s="40" t="n">
        <v>88.03</v>
      </c>
      <c r="J1862" s="40" t="n">
        <v>0</v>
      </c>
      <c r="K1862" s="6">
        <f>I1862-J1862</f>
        <v/>
      </c>
      <c r="L1862" s="6">
        <f>IF(H1862="DISTRATO",0,I1862)</f>
        <v/>
      </c>
    </row>
    <row r="1863">
      <c r="A1863" s="38" t="inlineStr">
        <is>
          <t>Conta corrente FRUGIS5.XLS</t>
        </is>
      </c>
      <c r="B1863" s="39" t="n">
        <v>41129</v>
      </c>
      <c r="C1863" s="4" t="n">
        <v>41122</v>
      </c>
      <c r="D1863" s="5">
        <f>YEAR(C1863)</f>
        <v/>
      </c>
      <c r="E1863" s="5">
        <f>MONTH(C1863)</f>
        <v/>
      </c>
      <c r="F1863" s="38" t="inlineStr">
        <is>
          <t>NFV  :TENDA ATACADO LTDA</t>
        </is>
      </c>
      <c r="G1863" s="38" t="inlineStr">
        <is>
          <t>MARIO FRUGIS (01.04.01)</t>
        </is>
      </c>
      <c r="H1863" s="38" t="inlineStr">
        <is>
          <t>NFV</t>
        </is>
      </c>
      <c r="I1863" s="40" t="n">
        <v>79.41</v>
      </c>
      <c r="J1863" s="40" t="n">
        <v>0</v>
      </c>
      <c r="K1863" s="6">
        <f>I1863-J1863</f>
        <v/>
      </c>
      <c r="L1863" s="6">
        <f>IF(H1863="DISTRATO",0,I1863)</f>
        <v/>
      </c>
    </row>
    <row r="1864">
      <c r="A1864" s="38" t="inlineStr">
        <is>
          <t>Conta corrente FRUGIS5.XLS</t>
        </is>
      </c>
      <c r="B1864" s="39" t="n">
        <v>41129</v>
      </c>
      <c r="C1864" s="4" t="n">
        <v>41122</v>
      </c>
      <c r="D1864" s="5">
        <f>YEAR(C1864)</f>
        <v/>
      </c>
      <c r="E1864" s="5">
        <f>MONTH(C1864)</f>
        <v/>
      </c>
      <c r="F1864" s="38" t="inlineStr">
        <is>
          <t>NFV  :TENDA ATACADO LTDA</t>
        </is>
      </c>
      <c r="G1864" s="38" t="inlineStr">
        <is>
          <t>MARIO FRUGIS (01.04.01)</t>
        </is>
      </c>
      <c r="H1864" s="38" t="inlineStr">
        <is>
          <t>NFV</t>
        </is>
      </c>
      <c r="I1864" s="40" t="n">
        <v>49.5</v>
      </c>
      <c r="J1864" s="40" t="n">
        <v>0</v>
      </c>
      <c r="K1864" s="6">
        <f>I1864-J1864</f>
        <v/>
      </c>
      <c r="L1864" s="6">
        <f>IF(H1864="DISTRATO",0,I1864)</f>
        <v/>
      </c>
    </row>
    <row r="1865">
      <c r="A1865" s="38" t="inlineStr">
        <is>
          <t>Conta corrente FRUGIS5.XLS</t>
        </is>
      </c>
      <c r="B1865" s="39" t="n">
        <v>41135</v>
      </c>
      <c r="C1865" s="4" t="n">
        <v>41122</v>
      </c>
      <c r="D1865" s="5">
        <f>YEAR(C1865)</f>
        <v/>
      </c>
      <c r="E1865" s="5">
        <f>MONTH(C1865)</f>
        <v/>
      </c>
      <c r="F1865" s="38" t="inlineStr">
        <is>
          <t>NFV  :TENDA ATACADO LTDA</t>
        </is>
      </c>
      <c r="G1865" s="38" t="inlineStr">
        <is>
          <t>MARIO FRUGIS (01.04.01)</t>
        </is>
      </c>
      <c r="H1865" s="38" t="inlineStr">
        <is>
          <t>NFV</t>
        </is>
      </c>
      <c r="I1865" s="40" t="n">
        <v>67.42</v>
      </c>
      <c r="J1865" s="40" t="n">
        <v>0</v>
      </c>
      <c r="K1865" s="6">
        <f>I1865-J1865</f>
        <v/>
      </c>
      <c r="L1865" s="6">
        <f>IF(H1865="DISTRATO",0,I1865)</f>
        <v/>
      </c>
    </row>
    <row r="1866">
      <c r="A1866" s="38" t="inlineStr">
        <is>
          <t>Conta corrente FRUGIS5.XLS</t>
        </is>
      </c>
      <c r="B1866" s="39" t="n">
        <v>41143</v>
      </c>
      <c r="C1866" s="4" t="n">
        <v>41122</v>
      </c>
      <c r="D1866" s="5">
        <f>YEAR(C1866)</f>
        <v/>
      </c>
      <c r="E1866" s="5">
        <f>MONTH(C1866)</f>
        <v/>
      </c>
      <c r="F1866" s="38" t="inlineStr">
        <is>
          <t>NFV  :TENDA ATACADO LTDA</t>
        </is>
      </c>
      <c r="G1866" s="38" t="inlineStr">
        <is>
          <t>MARIO FRUGIS (01.04.01)</t>
        </is>
      </c>
      <c r="H1866" s="38" t="inlineStr">
        <is>
          <t>NFV</t>
        </is>
      </c>
      <c r="I1866" s="40" t="n">
        <v>43.23</v>
      </c>
      <c r="J1866" s="40" t="n">
        <v>0</v>
      </c>
      <c r="K1866" s="6">
        <f>I1866-J1866</f>
        <v/>
      </c>
      <c r="L1866" s="6">
        <f>IF(H1866="DISTRATO",0,I1866)</f>
        <v/>
      </c>
    </row>
    <row r="1867">
      <c r="A1867" s="38" t="inlineStr">
        <is>
          <t>Conta corrente FRUGIS5.XLS</t>
        </is>
      </c>
      <c r="B1867" s="39" t="n">
        <v>41143</v>
      </c>
      <c r="C1867" s="4" t="n">
        <v>41122</v>
      </c>
      <c r="D1867" s="5">
        <f>YEAR(C1867)</f>
        <v/>
      </c>
      <c r="E1867" s="5">
        <f>MONTH(C1867)</f>
        <v/>
      </c>
      <c r="F1867" s="38" t="inlineStr">
        <is>
          <t>NFV  :TENDA ATACADO LTDA</t>
        </is>
      </c>
      <c r="G1867" s="38" t="inlineStr">
        <is>
          <t>MARIO FRUGIS (01.04.01)</t>
        </is>
      </c>
      <c r="H1867" s="38" t="inlineStr">
        <is>
          <t>NFV</t>
        </is>
      </c>
      <c r="I1867" s="40" t="n">
        <v>137.21</v>
      </c>
      <c r="J1867" s="40" t="n">
        <v>0</v>
      </c>
      <c r="K1867" s="6">
        <f>I1867-J1867</f>
        <v/>
      </c>
      <c r="L1867" s="6">
        <f>IF(H1867="DISTRATO",0,I1867)</f>
        <v/>
      </c>
    </row>
    <row r="1868">
      <c r="A1868" s="38" t="inlineStr">
        <is>
          <t>Conta corrente FRUGIS5.XLS</t>
        </is>
      </c>
      <c r="B1868" s="39" t="n">
        <v>41144</v>
      </c>
      <c r="C1868" s="4" t="n">
        <v>41122</v>
      </c>
      <c r="D1868" s="5">
        <f>YEAR(C1868)</f>
        <v/>
      </c>
      <c r="E1868" s="5">
        <f>MONTH(C1868)</f>
        <v/>
      </c>
      <c r="F1868" s="38" t="inlineStr">
        <is>
          <t>NFV  :TENDA ATACADO LTDA</t>
        </is>
      </c>
      <c r="G1868" s="38" t="inlineStr">
        <is>
          <t>MARIO FRUGIS (01.04.01)</t>
        </is>
      </c>
      <c r="H1868" s="38" t="inlineStr">
        <is>
          <t>NFV</t>
        </is>
      </c>
      <c r="I1868" s="40" t="n">
        <v>110.35</v>
      </c>
      <c r="J1868" s="40" t="n">
        <v>0</v>
      </c>
      <c r="K1868" s="6">
        <f>I1868-J1868</f>
        <v/>
      </c>
      <c r="L1868" s="6">
        <f>IF(H1868="DISTRATO",0,I1868)</f>
        <v/>
      </c>
    </row>
    <row r="1869">
      <c r="A1869" s="38" t="inlineStr">
        <is>
          <t>Conta corrente FRUGIS5.XLS</t>
        </is>
      </c>
      <c r="B1869" s="39" t="n">
        <v>41144</v>
      </c>
      <c r="C1869" s="4" t="n">
        <v>41122</v>
      </c>
      <c r="D1869" s="5">
        <f>YEAR(C1869)</f>
        <v/>
      </c>
      <c r="E1869" s="5">
        <f>MONTH(C1869)</f>
        <v/>
      </c>
      <c r="F1869" s="38" t="inlineStr">
        <is>
          <t>NFV  :TENDA ATACADO LTDA</t>
        </is>
      </c>
      <c r="G1869" s="38" t="inlineStr">
        <is>
          <t>MARIO FRUGIS (01.04.01)</t>
        </is>
      </c>
      <c r="H1869" s="38" t="inlineStr">
        <is>
          <t>NFV</t>
        </is>
      </c>
      <c r="I1869" s="40" t="n">
        <v>132.25</v>
      </c>
      <c r="J1869" s="40" t="n">
        <v>0</v>
      </c>
      <c r="K1869" s="6">
        <f>I1869-J1869</f>
        <v/>
      </c>
      <c r="L1869" s="6">
        <f>IF(H1869="DISTRATO",0,I1869)</f>
        <v/>
      </c>
    </row>
    <row r="1870">
      <c r="A1870" s="38" t="inlineStr">
        <is>
          <t>Conta corrente FRUGIS5.XLS</t>
        </is>
      </c>
      <c r="B1870" s="39" t="n">
        <v>41144</v>
      </c>
      <c r="C1870" s="4" t="n">
        <v>41122</v>
      </c>
      <c r="D1870" s="5">
        <f>YEAR(C1870)</f>
        <v/>
      </c>
      <c r="E1870" s="5">
        <f>MONTH(C1870)</f>
        <v/>
      </c>
      <c r="F1870" s="38" t="inlineStr">
        <is>
          <t>NFV  :TENDA ATACADO LTDA</t>
        </is>
      </c>
      <c r="G1870" s="38" t="inlineStr">
        <is>
          <t>MARIO FRUGIS (01.04.01)</t>
        </is>
      </c>
      <c r="H1870" s="38" t="inlineStr">
        <is>
          <t>NFV</t>
        </is>
      </c>
      <c r="I1870" s="40" t="n">
        <v>49.64</v>
      </c>
      <c r="J1870" s="40" t="n">
        <v>0</v>
      </c>
      <c r="K1870" s="6">
        <f>I1870-J1870</f>
        <v/>
      </c>
      <c r="L1870" s="6">
        <f>IF(H1870="DISTRATO",0,I1870)</f>
        <v/>
      </c>
    </row>
    <row r="1871">
      <c r="A1871" s="38" t="inlineStr">
        <is>
          <t>Conta corrente FRUGIS5.XLS</t>
        </is>
      </c>
      <c r="B1871" s="39" t="n">
        <v>41145</v>
      </c>
      <c r="C1871" s="4" t="n">
        <v>41122</v>
      </c>
      <c r="D1871" s="5">
        <f>YEAR(C1871)</f>
        <v/>
      </c>
      <c r="E1871" s="5">
        <f>MONTH(C1871)</f>
        <v/>
      </c>
      <c r="F1871" s="38" t="inlineStr">
        <is>
          <t>NFV  :TENDA ATACADO LTDA</t>
        </is>
      </c>
      <c r="G1871" s="38" t="inlineStr">
        <is>
          <t>MARIO FRUGIS (01.04.01)</t>
        </is>
      </c>
      <c r="H1871" s="38" t="inlineStr">
        <is>
          <t>NFV</t>
        </is>
      </c>
      <c r="I1871" s="40" t="n">
        <v>114.7</v>
      </c>
      <c r="J1871" s="40" t="n">
        <v>0</v>
      </c>
      <c r="K1871" s="6">
        <f>I1871-J1871</f>
        <v/>
      </c>
      <c r="L1871" s="6">
        <f>IF(H1871="DISTRATO",0,I1871)</f>
        <v/>
      </c>
    </row>
    <row r="1872">
      <c r="A1872" s="38" t="inlineStr">
        <is>
          <t>Conta corrente FRUGIS5.XLS</t>
        </is>
      </c>
      <c r="B1872" s="39" t="n">
        <v>41145</v>
      </c>
      <c r="C1872" s="4" t="n">
        <v>41122</v>
      </c>
      <c r="D1872" s="5">
        <f>YEAR(C1872)</f>
        <v/>
      </c>
      <c r="E1872" s="5">
        <f>MONTH(C1872)</f>
        <v/>
      </c>
      <c r="F1872" s="38" t="inlineStr">
        <is>
          <t>NFV  :TENDA ATACADO LTDA</t>
        </is>
      </c>
      <c r="G1872" s="38" t="inlineStr">
        <is>
          <t>MARIO FRUGIS (01.04.01)</t>
        </is>
      </c>
      <c r="H1872" s="38" t="inlineStr">
        <is>
          <t>NFV</t>
        </is>
      </c>
      <c r="I1872" s="40" t="n">
        <v>86.58</v>
      </c>
      <c r="J1872" s="40" t="n">
        <v>0</v>
      </c>
      <c r="K1872" s="6">
        <f>I1872-J1872</f>
        <v/>
      </c>
      <c r="L1872" s="6">
        <f>IF(H1872="DISTRATO",0,I1872)</f>
        <v/>
      </c>
    </row>
    <row r="1873">
      <c r="A1873" s="38" t="inlineStr">
        <is>
          <t>Conta corrente FRUGIS5.XLS</t>
        </is>
      </c>
      <c r="B1873" s="39" t="n">
        <v>41145</v>
      </c>
      <c r="C1873" s="4" t="n">
        <v>41122</v>
      </c>
      <c r="D1873" s="5">
        <f>YEAR(C1873)</f>
        <v/>
      </c>
      <c r="E1873" s="5">
        <f>MONTH(C1873)</f>
        <v/>
      </c>
      <c r="F1873" s="38" t="inlineStr">
        <is>
          <t>NFV  :TENDA ATACADO LTDA</t>
        </is>
      </c>
      <c r="G1873" s="38" t="inlineStr">
        <is>
          <t>MARIO FRUGIS (01.04.01)</t>
        </is>
      </c>
      <c r="H1873" s="38" t="inlineStr">
        <is>
          <t>NFV</t>
        </is>
      </c>
      <c r="I1873" s="40" t="n">
        <v>137.21</v>
      </c>
      <c r="J1873" s="40" t="n">
        <v>0</v>
      </c>
      <c r="K1873" s="6">
        <f>I1873-J1873</f>
        <v/>
      </c>
      <c r="L1873" s="6">
        <f>IF(H1873="DISTRATO",0,I1873)</f>
        <v/>
      </c>
    </row>
    <row r="1874">
      <c r="A1874" s="38" t="inlineStr">
        <is>
          <t>Conta corrente FRUGIS5.XLS</t>
        </is>
      </c>
      <c r="B1874" s="39" t="n">
        <v>41145</v>
      </c>
      <c r="C1874" s="4" t="n">
        <v>41122</v>
      </c>
      <c r="D1874" s="5">
        <f>YEAR(C1874)</f>
        <v/>
      </c>
      <c r="E1874" s="5">
        <f>MONTH(C1874)</f>
        <v/>
      </c>
      <c r="F1874" s="38" t="inlineStr">
        <is>
          <t>NFV  :TENDA ATACADO LTDA</t>
        </is>
      </c>
      <c r="G1874" s="38" t="inlineStr">
        <is>
          <t>MARIO FRUGIS (01.04.01)</t>
        </is>
      </c>
      <c r="H1874" s="38" t="inlineStr">
        <is>
          <t>NFV</t>
        </is>
      </c>
      <c r="I1874" s="40" t="n">
        <v>177.37</v>
      </c>
      <c r="J1874" s="40" t="n">
        <v>0</v>
      </c>
      <c r="K1874" s="6">
        <f>I1874-J1874</f>
        <v/>
      </c>
      <c r="L1874" s="6">
        <f>IF(H1874="DISTRATO",0,I1874)</f>
        <v/>
      </c>
    </row>
    <row r="1875">
      <c r="A1875" s="38" t="inlineStr">
        <is>
          <t>Conta corrente FRUGIS5.XLS</t>
        </is>
      </c>
      <c r="B1875" s="39" t="n">
        <v>41145</v>
      </c>
      <c r="C1875" s="4" t="n">
        <v>41122</v>
      </c>
      <c r="D1875" s="5">
        <f>YEAR(C1875)</f>
        <v/>
      </c>
      <c r="E1875" s="5">
        <f>MONTH(C1875)</f>
        <v/>
      </c>
      <c r="F1875" s="38" t="inlineStr">
        <is>
          <t>NFV  :TENDA ATACADO LTDA</t>
        </is>
      </c>
      <c r="G1875" s="38" t="inlineStr">
        <is>
          <t>MARIO FRUGIS (01.04.01)</t>
        </is>
      </c>
      <c r="H1875" s="38" t="inlineStr">
        <is>
          <t>NFV</t>
        </is>
      </c>
      <c r="I1875" s="40" t="n">
        <v>145.43</v>
      </c>
      <c r="J1875" s="40" t="n">
        <v>0</v>
      </c>
      <c r="K1875" s="6">
        <f>I1875-J1875</f>
        <v/>
      </c>
      <c r="L1875" s="6">
        <f>IF(H1875="DISTRATO",0,I1875)</f>
        <v/>
      </c>
    </row>
    <row r="1876">
      <c r="A1876" s="38" t="inlineStr">
        <is>
          <t>Conta corrente FRUGIS5.XLS</t>
        </is>
      </c>
      <c r="B1876" s="39" t="n">
        <v>41145</v>
      </c>
      <c r="C1876" s="4" t="n">
        <v>41122</v>
      </c>
      <c r="D1876" s="5">
        <f>YEAR(C1876)</f>
        <v/>
      </c>
      <c r="E1876" s="5">
        <f>MONTH(C1876)</f>
        <v/>
      </c>
      <c r="F1876" s="38" t="inlineStr">
        <is>
          <t>NFV  :TENDA ATACADO LTDA</t>
        </is>
      </c>
      <c r="G1876" s="38" t="inlineStr">
        <is>
          <t>MARIO FRUGIS (01.04.01)</t>
        </is>
      </c>
      <c r="H1876" s="38" t="inlineStr">
        <is>
          <t>NFV</t>
        </is>
      </c>
      <c r="I1876" s="40" t="n">
        <v>141.73</v>
      </c>
      <c r="J1876" s="40" t="n">
        <v>0</v>
      </c>
      <c r="K1876" s="6">
        <f>I1876-J1876</f>
        <v/>
      </c>
      <c r="L1876" s="6">
        <f>IF(H1876="DISTRATO",0,I1876)</f>
        <v/>
      </c>
    </row>
    <row r="1877">
      <c r="A1877" s="38" t="inlineStr">
        <is>
          <t>Conta corrente FRUGIS5.XLS</t>
        </is>
      </c>
      <c r="B1877" s="39" t="n">
        <v>41146</v>
      </c>
      <c r="C1877" s="4" t="n">
        <v>41122</v>
      </c>
      <c r="D1877" s="5">
        <f>YEAR(C1877)</f>
        <v/>
      </c>
      <c r="E1877" s="5">
        <f>MONTH(C1877)</f>
        <v/>
      </c>
      <c r="F1877" s="38" t="inlineStr">
        <is>
          <t>NFV  :TENDA ATACADO LTDA</t>
        </is>
      </c>
      <c r="G1877" s="38" t="inlineStr">
        <is>
          <t>MARIO FRUGIS (01.04.01)</t>
        </is>
      </c>
      <c r="H1877" s="38" t="inlineStr">
        <is>
          <t>NFV</t>
        </is>
      </c>
      <c r="I1877" s="40" t="n">
        <v>84.03</v>
      </c>
      <c r="J1877" s="40" t="n">
        <v>0</v>
      </c>
      <c r="K1877" s="6">
        <f>I1877-J1877</f>
        <v/>
      </c>
      <c r="L1877" s="6">
        <f>IF(H1877="DISTRATO",0,I1877)</f>
        <v/>
      </c>
    </row>
    <row r="1878">
      <c r="A1878" s="38" t="inlineStr">
        <is>
          <t>Conta corrente FRUGIS5.XLS</t>
        </is>
      </c>
      <c r="B1878" s="39" t="n">
        <v>41147</v>
      </c>
      <c r="C1878" s="4" t="n">
        <v>41122</v>
      </c>
      <c r="D1878" s="5">
        <f>YEAR(C1878)</f>
        <v/>
      </c>
      <c r="E1878" s="5">
        <f>MONTH(C1878)</f>
        <v/>
      </c>
      <c r="F1878" s="38" t="inlineStr">
        <is>
          <t>NFV  :TENDA ATACADO LTDA</t>
        </is>
      </c>
      <c r="G1878" s="38" t="inlineStr">
        <is>
          <t>MARIO FRUGIS (01.04.01)</t>
        </is>
      </c>
      <c r="H1878" s="38" t="inlineStr">
        <is>
          <t>NFV</t>
        </is>
      </c>
      <c r="I1878" s="40" t="n">
        <v>122.9</v>
      </c>
      <c r="J1878" s="40" t="n">
        <v>0</v>
      </c>
      <c r="K1878" s="6">
        <f>I1878-J1878</f>
        <v/>
      </c>
      <c r="L1878" s="6">
        <f>IF(H1878="DISTRATO",0,I1878)</f>
        <v/>
      </c>
    </row>
    <row r="1879">
      <c r="A1879" s="38" t="inlineStr">
        <is>
          <t>Conta corrente FRUGIS5.XLS</t>
        </is>
      </c>
      <c r="B1879" s="39" t="n">
        <v>41147</v>
      </c>
      <c r="C1879" s="4" t="n">
        <v>41122</v>
      </c>
      <c r="D1879" s="5">
        <f>YEAR(C1879)</f>
        <v/>
      </c>
      <c r="E1879" s="5">
        <f>MONTH(C1879)</f>
        <v/>
      </c>
      <c r="F1879" s="38" t="inlineStr">
        <is>
          <t>NFV  :TENDA ATACADO LTDA</t>
        </is>
      </c>
      <c r="G1879" s="38" t="inlineStr">
        <is>
          <t>MARIO FRUGIS (01.04.01)</t>
        </is>
      </c>
      <c r="H1879" s="38" t="inlineStr">
        <is>
          <t>NFV</t>
        </is>
      </c>
      <c r="I1879" s="40" t="n">
        <v>106.81</v>
      </c>
      <c r="J1879" s="40" t="n">
        <v>0</v>
      </c>
      <c r="K1879" s="6">
        <f>I1879-J1879</f>
        <v/>
      </c>
      <c r="L1879" s="6">
        <f>IF(H1879="DISTRATO",0,I1879)</f>
        <v/>
      </c>
    </row>
    <row r="1880">
      <c r="A1880" s="38" t="inlineStr">
        <is>
          <t>Conta corrente FRUGIS5.XLS</t>
        </is>
      </c>
      <c r="B1880" s="39" t="n">
        <v>41148</v>
      </c>
      <c r="C1880" s="4" t="n">
        <v>41122</v>
      </c>
      <c r="D1880" s="5">
        <f>YEAR(C1880)</f>
        <v/>
      </c>
      <c r="E1880" s="5">
        <f>MONTH(C1880)</f>
        <v/>
      </c>
      <c r="F1880" s="38" t="inlineStr">
        <is>
          <t>NFV  :TENDA ATACADO LTDA</t>
        </is>
      </c>
      <c r="G1880" s="38" t="inlineStr">
        <is>
          <t>MARIO FRUGIS (01.04.01)</t>
        </is>
      </c>
      <c r="H1880" s="38" t="inlineStr">
        <is>
          <t>NFV</t>
        </is>
      </c>
      <c r="I1880" s="40" t="n">
        <v>96.17</v>
      </c>
      <c r="J1880" s="40" t="n">
        <v>0</v>
      </c>
      <c r="K1880" s="6">
        <f>I1880-J1880</f>
        <v/>
      </c>
      <c r="L1880" s="6">
        <f>IF(H1880="DISTRATO",0,I1880)</f>
        <v/>
      </c>
    </row>
    <row r="1881">
      <c r="A1881" s="38" t="inlineStr">
        <is>
          <t>Conta corrente FRUGIS5.XLS</t>
        </is>
      </c>
      <c r="B1881" s="39" t="n">
        <v>41148</v>
      </c>
      <c r="C1881" s="4" t="n">
        <v>41122</v>
      </c>
      <c r="D1881" s="5">
        <f>YEAR(C1881)</f>
        <v/>
      </c>
      <c r="E1881" s="5">
        <f>MONTH(C1881)</f>
        <v/>
      </c>
      <c r="F1881" s="38" t="inlineStr">
        <is>
          <t>NFV  :TENDA ATACADO LTDA</t>
        </is>
      </c>
      <c r="G1881" s="38" t="inlineStr">
        <is>
          <t>MARIO FRUGIS (01.04.01)</t>
        </is>
      </c>
      <c r="H1881" s="38" t="inlineStr">
        <is>
          <t>NFV</t>
        </is>
      </c>
      <c r="I1881" s="40" t="n">
        <v>107.85</v>
      </c>
      <c r="J1881" s="40" t="n">
        <v>0</v>
      </c>
      <c r="K1881" s="6">
        <f>I1881-J1881</f>
        <v/>
      </c>
      <c r="L1881" s="6">
        <f>IF(H1881="DISTRATO",0,I1881)</f>
        <v/>
      </c>
    </row>
    <row r="1882">
      <c r="A1882" s="38" t="inlineStr">
        <is>
          <t>Conta corrente FRUGIS5.XLS</t>
        </is>
      </c>
      <c r="B1882" s="39" t="n">
        <v>41151</v>
      </c>
      <c r="C1882" s="4" t="n">
        <v>41122</v>
      </c>
      <c r="D1882" s="5">
        <f>YEAR(C1882)</f>
        <v/>
      </c>
      <c r="E1882" s="5">
        <f>MONTH(C1882)</f>
        <v/>
      </c>
      <c r="F1882" s="38" t="inlineStr">
        <is>
          <t>BONIF:TENDA ATACADO LTDA</t>
        </is>
      </c>
      <c r="G1882" s="38" t="inlineStr">
        <is>
          <t>MARIO FRUGIS (01.04.01)</t>
        </is>
      </c>
      <c r="H1882" s="38" t="inlineStr">
        <is>
          <t>BONIFICACAO</t>
        </is>
      </c>
      <c r="I1882" s="40" t="n">
        <v>-16.87</v>
      </c>
      <c r="J1882" s="40" t="n">
        <v>0</v>
      </c>
      <c r="K1882" s="6">
        <f>I1882-J1882</f>
        <v/>
      </c>
      <c r="L1882" s="6">
        <f>IF(H1882="DISTRATO",0,I1882)</f>
        <v/>
      </c>
    </row>
    <row r="1883">
      <c r="A1883" s="38" t="inlineStr">
        <is>
          <t>Conta corrente FRUGIS5.XLS</t>
        </is>
      </c>
      <c r="B1883" s="39" t="n">
        <v>41151</v>
      </c>
      <c r="C1883" s="4" t="n">
        <v>41122</v>
      </c>
      <c r="D1883" s="5">
        <f>YEAR(C1883)</f>
        <v/>
      </c>
      <c r="E1883" s="5">
        <f>MONTH(C1883)</f>
        <v/>
      </c>
      <c r="F1883" s="38" t="inlineStr">
        <is>
          <t>BONIF:TENDA ATACADO LTDA</t>
        </is>
      </c>
      <c r="G1883" s="38" t="inlineStr">
        <is>
          <t>MARIO FRUGIS (01.04.01)</t>
        </is>
      </c>
      <c r="H1883" s="38" t="inlineStr">
        <is>
          <t>BONIFICACAO</t>
        </is>
      </c>
      <c r="I1883" s="40" t="n">
        <v>-16.87</v>
      </c>
      <c r="J1883" s="40" t="n">
        <v>0</v>
      </c>
      <c r="K1883" s="6">
        <f>I1883-J1883</f>
        <v/>
      </c>
      <c r="L1883" s="6">
        <f>IF(H1883="DISTRATO",0,I1883)</f>
        <v/>
      </c>
    </row>
    <row r="1884">
      <c r="A1884" s="38" t="inlineStr">
        <is>
          <t>Conta corrente FRUGIS5.XLS</t>
        </is>
      </c>
      <c r="B1884" s="39" t="n">
        <v>41151</v>
      </c>
      <c r="C1884" s="4" t="n">
        <v>41122</v>
      </c>
      <c r="D1884" s="5">
        <f>YEAR(C1884)</f>
        <v/>
      </c>
      <c r="E1884" s="5">
        <f>MONTH(C1884)</f>
        <v/>
      </c>
      <c r="F1884" s="38" t="inlineStr">
        <is>
          <t>BONIF:TENDA ATACADO LTDA</t>
        </is>
      </c>
      <c r="G1884" s="38" t="inlineStr">
        <is>
          <t>MARIO FRUGIS (01.04.01)</t>
        </is>
      </c>
      <c r="H1884" s="38" t="inlineStr">
        <is>
          <t>BONIFICACAO</t>
        </is>
      </c>
      <c r="I1884" s="40" t="n">
        <v>-14.99</v>
      </c>
      <c r="J1884" s="40" t="n">
        <v>0</v>
      </c>
      <c r="K1884" s="6">
        <f>I1884-J1884</f>
        <v/>
      </c>
      <c r="L1884" s="6">
        <f>IF(H1884="DISTRATO",0,I1884)</f>
        <v/>
      </c>
    </row>
    <row r="1885">
      <c r="A1885" s="38" t="inlineStr">
        <is>
          <t>Conta corrente FRUGIS5.XLS</t>
        </is>
      </c>
      <c r="B1885" s="39" t="n">
        <v>41151</v>
      </c>
      <c r="C1885" s="4" t="n">
        <v>41122</v>
      </c>
      <c r="D1885" s="5">
        <f>YEAR(C1885)</f>
        <v/>
      </c>
      <c r="E1885" s="5">
        <f>MONTH(C1885)</f>
        <v/>
      </c>
      <c r="F1885" s="38" t="inlineStr">
        <is>
          <t>BONIF:TENDA ATACADO LTDA</t>
        </is>
      </c>
      <c r="G1885" s="38" t="inlineStr">
        <is>
          <t>MARIO FRUGIS (01.04.01)</t>
        </is>
      </c>
      <c r="H1885" s="38" t="inlineStr">
        <is>
          <t>BONIFICACAO</t>
        </is>
      </c>
      <c r="I1885" s="40" t="n">
        <v>-11.02</v>
      </c>
      <c r="J1885" s="40" t="n">
        <v>0</v>
      </c>
      <c r="K1885" s="6">
        <f>I1885-J1885</f>
        <v/>
      </c>
      <c r="L1885" s="6">
        <f>IF(H1885="DISTRATO",0,I1885)</f>
        <v/>
      </c>
    </row>
    <row r="1886">
      <c r="A1886" s="38" t="inlineStr">
        <is>
          <t>Conta corrente FRUGIS5.XLS</t>
        </is>
      </c>
      <c r="B1886" s="39" t="n">
        <v>41151</v>
      </c>
      <c r="C1886" s="4" t="n">
        <v>41122</v>
      </c>
      <c r="D1886" s="5">
        <f>YEAR(C1886)</f>
        <v/>
      </c>
      <c r="E1886" s="5">
        <f>MONTH(C1886)</f>
        <v/>
      </c>
      <c r="F1886" s="38" t="inlineStr">
        <is>
          <t>BONIF:TENDA ATACADO LTDA</t>
        </is>
      </c>
      <c r="G1886" s="38" t="inlineStr">
        <is>
          <t>MARIO FRUGIS (01.04.01)</t>
        </is>
      </c>
      <c r="H1886" s="38" t="inlineStr">
        <is>
          <t>BONIFICACAO</t>
        </is>
      </c>
      <c r="I1886" s="40" t="n">
        <v>-14.32</v>
      </c>
      <c r="J1886" s="40" t="n">
        <v>0</v>
      </c>
      <c r="K1886" s="6">
        <f>I1886-J1886</f>
        <v/>
      </c>
      <c r="L1886" s="6">
        <f>IF(H1886="DISTRATO",0,I1886)</f>
        <v/>
      </c>
    </row>
    <row r="1887">
      <c r="A1887" s="38" t="inlineStr">
        <is>
          <t>Conta corrente FRUGIS5.XLS</t>
        </is>
      </c>
      <c r="B1887" s="39" t="n">
        <v>41151</v>
      </c>
      <c r="C1887" s="4" t="n">
        <v>41122</v>
      </c>
      <c r="D1887" s="5">
        <f>YEAR(C1887)</f>
        <v/>
      </c>
      <c r="E1887" s="5">
        <f>MONTH(C1887)</f>
        <v/>
      </c>
      <c r="F1887" s="38" t="inlineStr">
        <is>
          <t>BONIF:TENDA ATACADO LTDA</t>
        </is>
      </c>
      <c r="G1887" s="38" t="inlineStr">
        <is>
          <t>MARIO FRUGIS (01.04.01)</t>
        </is>
      </c>
      <c r="H1887" s="38" t="inlineStr">
        <is>
          <t>BONIFICACAO</t>
        </is>
      </c>
      <c r="I1887" s="40" t="n">
        <v>-11.02</v>
      </c>
      <c r="J1887" s="40" t="n">
        <v>0</v>
      </c>
      <c r="K1887" s="6">
        <f>I1887-J1887</f>
        <v/>
      </c>
      <c r="L1887" s="6">
        <f>IF(H1887="DISTRATO",0,I1887)</f>
        <v/>
      </c>
    </row>
    <row r="1888">
      <c r="A1888" s="38" t="inlineStr">
        <is>
          <t>Conta corrente FRUGIS5.XLS</t>
        </is>
      </c>
      <c r="B1888" s="39" t="n">
        <v>41151</v>
      </c>
      <c r="C1888" s="4" t="n">
        <v>41122</v>
      </c>
      <c r="D1888" s="5">
        <f>YEAR(C1888)</f>
        <v/>
      </c>
      <c r="E1888" s="5">
        <f>MONTH(C1888)</f>
        <v/>
      </c>
      <c r="F1888" s="38" t="inlineStr">
        <is>
          <t>BONIF:TENDA ATACADO LTDA</t>
        </is>
      </c>
      <c r="G1888" s="38" t="inlineStr">
        <is>
          <t>MARIO FRUGIS (01.04.01)</t>
        </is>
      </c>
      <c r="H1888" s="38" t="inlineStr">
        <is>
          <t>BONIFICACAO</t>
        </is>
      </c>
      <c r="I1888" s="40" t="n">
        <v>-11.02</v>
      </c>
      <c r="J1888" s="40" t="n">
        <v>0</v>
      </c>
      <c r="K1888" s="6">
        <f>I1888-J1888</f>
        <v/>
      </c>
      <c r="L1888" s="6">
        <f>IF(H1888="DISTRATO",0,I1888)</f>
        <v/>
      </c>
    </row>
    <row r="1889">
      <c r="A1889" s="38" t="inlineStr">
        <is>
          <t>Conta corrente FRUGIS5.XLS</t>
        </is>
      </c>
      <c r="B1889" s="39" t="n">
        <v>41151</v>
      </c>
      <c r="C1889" s="4" t="n">
        <v>41122</v>
      </c>
      <c r="D1889" s="5">
        <f>YEAR(C1889)</f>
        <v/>
      </c>
      <c r="E1889" s="5">
        <f>MONTH(C1889)</f>
        <v/>
      </c>
      <c r="F1889" s="38" t="inlineStr">
        <is>
          <t>BONIF:TENDA ATACADO LTDA</t>
        </is>
      </c>
      <c r="G1889" s="38" t="inlineStr">
        <is>
          <t>MARIO FRUGIS (01.04.01)</t>
        </is>
      </c>
      <c r="H1889" s="38" t="inlineStr">
        <is>
          <t>BONIFICACAO</t>
        </is>
      </c>
      <c r="I1889" s="40" t="n">
        <v>-25.35</v>
      </c>
      <c r="J1889" s="40" t="n">
        <v>0</v>
      </c>
      <c r="K1889" s="6">
        <f>I1889-J1889</f>
        <v/>
      </c>
      <c r="L1889" s="6">
        <f>IF(H1889="DISTRATO",0,I1889)</f>
        <v/>
      </c>
    </row>
    <row r="1890">
      <c r="A1890" s="38" t="inlineStr">
        <is>
          <t>Conta corrente FRUGIS5.XLS</t>
        </is>
      </c>
      <c r="B1890" s="39" t="n">
        <v>41151</v>
      </c>
      <c r="C1890" s="4" t="n">
        <v>41122</v>
      </c>
      <c r="D1890" s="5">
        <f>YEAR(C1890)</f>
        <v/>
      </c>
      <c r="E1890" s="5">
        <f>MONTH(C1890)</f>
        <v/>
      </c>
      <c r="F1890" s="38" t="inlineStr">
        <is>
          <t>BONIF:TENDA ATACADO LTDA</t>
        </is>
      </c>
      <c r="G1890" s="38" t="inlineStr">
        <is>
          <t>MARIO FRUGIS (01.04.01)</t>
        </is>
      </c>
      <c r="H1890" s="38" t="inlineStr">
        <is>
          <t>BONIFICACAO</t>
        </is>
      </c>
      <c r="I1890" s="40" t="n">
        <v>-11.02</v>
      </c>
      <c r="J1890" s="40" t="n">
        <v>0</v>
      </c>
      <c r="K1890" s="6">
        <f>I1890-J1890</f>
        <v/>
      </c>
      <c r="L1890" s="6">
        <f>IF(H1890="DISTRATO",0,I1890)</f>
        <v/>
      </c>
    </row>
    <row r="1891">
      <c r="A1891" s="38" t="inlineStr">
        <is>
          <t>Conta corrente FRUGIS5.XLS</t>
        </is>
      </c>
      <c r="B1891" s="39" t="n">
        <v>41151</v>
      </c>
      <c r="C1891" s="4" t="n">
        <v>41122</v>
      </c>
      <c r="D1891" s="5">
        <f>YEAR(C1891)</f>
        <v/>
      </c>
      <c r="E1891" s="5">
        <f>MONTH(C1891)</f>
        <v/>
      </c>
      <c r="F1891" s="38" t="inlineStr">
        <is>
          <t>NFV  :TENDA ATACADO LTDA</t>
        </is>
      </c>
      <c r="G1891" s="38" t="inlineStr">
        <is>
          <t>MARIO FRUGIS (01.04.01)</t>
        </is>
      </c>
      <c r="H1891" s="38" t="inlineStr">
        <is>
          <t>NFV</t>
        </is>
      </c>
      <c r="I1891" s="40" t="n">
        <v>106.77</v>
      </c>
      <c r="J1891" s="40" t="n">
        <v>0</v>
      </c>
      <c r="K1891" s="6">
        <f>I1891-J1891</f>
        <v/>
      </c>
      <c r="L1891" s="6">
        <f>IF(H1891="DISTRATO",0,I1891)</f>
        <v/>
      </c>
    </row>
    <row r="1892">
      <c r="A1892" s="38" t="inlineStr">
        <is>
          <t>Conta corrente FRUGIS5.XLS</t>
        </is>
      </c>
      <c r="B1892" s="39" t="n">
        <v>41151</v>
      </c>
      <c r="C1892" s="4" t="n">
        <v>41122</v>
      </c>
      <c r="D1892" s="5">
        <f>YEAR(C1892)</f>
        <v/>
      </c>
      <c r="E1892" s="5">
        <f>MONTH(C1892)</f>
        <v/>
      </c>
      <c r="F1892" s="38" t="inlineStr">
        <is>
          <t>NFV  :TENDA ATACADO LTDA</t>
        </is>
      </c>
      <c r="G1892" s="38" t="inlineStr">
        <is>
          <t>MARIO FRUGIS (01.04.01)</t>
        </is>
      </c>
      <c r="H1892" s="38" t="inlineStr">
        <is>
          <t>NFV</t>
        </is>
      </c>
      <c r="I1892" s="40" t="n">
        <v>87.97</v>
      </c>
      <c r="J1892" s="40" t="n">
        <v>0</v>
      </c>
      <c r="K1892" s="6">
        <f>I1892-J1892</f>
        <v/>
      </c>
      <c r="L1892" s="6">
        <f>IF(H1892="DISTRATO",0,I1892)</f>
        <v/>
      </c>
    </row>
    <row r="1893">
      <c r="A1893" s="38" t="inlineStr">
        <is>
          <t>Conta corrente FRUGIS5.XLS</t>
        </is>
      </c>
      <c r="B1893" s="39" t="n">
        <v>41151</v>
      </c>
      <c r="C1893" s="4" t="n">
        <v>41122</v>
      </c>
      <c r="D1893" s="5">
        <f>YEAR(C1893)</f>
        <v/>
      </c>
      <c r="E1893" s="5">
        <f>MONTH(C1893)</f>
        <v/>
      </c>
      <c r="F1893" s="38" t="inlineStr">
        <is>
          <t>NFV  :TENDA ATACADO LTDA</t>
        </is>
      </c>
      <c r="G1893" s="38" t="inlineStr">
        <is>
          <t>MARIO FRUGIS (01.04.01)</t>
        </is>
      </c>
      <c r="H1893" s="38" t="inlineStr">
        <is>
          <t>NFV</t>
        </is>
      </c>
      <c r="I1893" s="40" t="n">
        <v>161.1</v>
      </c>
      <c r="J1893" s="40" t="n">
        <v>0</v>
      </c>
      <c r="K1893" s="6">
        <f>I1893-J1893</f>
        <v/>
      </c>
      <c r="L1893" s="6">
        <f>IF(H1893="DISTRATO",0,I1893)</f>
        <v/>
      </c>
    </row>
    <row r="1894">
      <c r="A1894" s="38" t="inlineStr">
        <is>
          <t>Conta corrente FRUGIS5.XLS</t>
        </is>
      </c>
      <c r="B1894" s="39" t="n">
        <v>41151</v>
      </c>
      <c r="C1894" s="4" t="n">
        <v>41122</v>
      </c>
      <c r="D1894" s="5">
        <f>YEAR(C1894)</f>
        <v/>
      </c>
      <c r="E1894" s="5">
        <f>MONTH(C1894)</f>
        <v/>
      </c>
      <c r="F1894" s="38" t="inlineStr">
        <is>
          <t>NFV  :TENDA ATACADO LTDA</t>
        </is>
      </c>
      <c r="G1894" s="38" t="inlineStr">
        <is>
          <t>MARIO FRUGIS (01.04.01)</t>
        </is>
      </c>
      <c r="H1894" s="38" t="inlineStr">
        <is>
          <t>NFV</t>
        </is>
      </c>
      <c r="I1894" s="40" t="n">
        <v>122.74</v>
      </c>
      <c r="J1894" s="40" t="n">
        <v>0</v>
      </c>
      <c r="K1894" s="6">
        <f>I1894-J1894</f>
        <v/>
      </c>
      <c r="L1894" s="6">
        <f>IF(H1894="DISTRATO",0,I1894)</f>
        <v/>
      </c>
    </row>
    <row r="1895">
      <c r="A1895" s="38" t="inlineStr">
        <is>
          <t>Conta corrente FRUGIS5.XLS</t>
        </is>
      </c>
      <c r="B1895" s="39" t="n">
        <v>41151</v>
      </c>
      <c r="C1895" s="4" t="n">
        <v>41122</v>
      </c>
      <c r="D1895" s="5">
        <f>YEAR(C1895)</f>
        <v/>
      </c>
      <c r="E1895" s="5">
        <f>MONTH(C1895)</f>
        <v/>
      </c>
      <c r="F1895" s="38" t="inlineStr">
        <is>
          <t>NFV  :TENDA ATACADO LTDA</t>
        </is>
      </c>
      <c r="G1895" s="38" t="inlineStr">
        <is>
          <t>MARIO FRUGIS (01.04.01)</t>
        </is>
      </c>
      <c r="H1895" s="38" t="inlineStr">
        <is>
          <t>NFV</t>
        </is>
      </c>
      <c r="I1895" s="40" t="n">
        <v>82.3</v>
      </c>
      <c r="J1895" s="40" t="n">
        <v>0</v>
      </c>
      <c r="K1895" s="6">
        <f>I1895-J1895</f>
        <v/>
      </c>
      <c r="L1895" s="6">
        <f>IF(H1895="DISTRATO",0,I1895)</f>
        <v/>
      </c>
    </row>
    <row r="1896">
      <c r="A1896" s="38" t="inlineStr">
        <is>
          <t>Conta corrente FRUGIS5.XLS</t>
        </is>
      </c>
      <c r="B1896" s="39" t="n">
        <v>41151</v>
      </c>
      <c r="C1896" s="4" t="n">
        <v>41122</v>
      </c>
      <c r="D1896" s="5">
        <f>YEAR(C1896)</f>
        <v/>
      </c>
      <c r="E1896" s="5">
        <f>MONTH(C1896)</f>
        <v/>
      </c>
      <c r="F1896" s="38" t="inlineStr">
        <is>
          <t>NFV  :TENDA ATACADO LTDA</t>
        </is>
      </c>
      <c r="G1896" s="38" t="inlineStr">
        <is>
          <t>MARIO FRUGIS (01.04.01)</t>
        </is>
      </c>
      <c r="H1896" s="38" t="inlineStr">
        <is>
          <t>NFV</t>
        </is>
      </c>
      <c r="I1896" s="40" t="n">
        <v>138.72</v>
      </c>
      <c r="J1896" s="40" t="n">
        <v>0</v>
      </c>
      <c r="K1896" s="6">
        <f>I1896-J1896</f>
        <v/>
      </c>
      <c r="L1896" s="6">
        <f>IF(H1896="DISTRATO",0,I1896)</f>
        <v/>
      </c>
    </row>
    <row r="1897">
      <c r="A1897" s="38" t="inlineStr">
        <is>
          <t>Conta corrente FRUGIS5.XLS</t>
        </is>
      </c>
      <c r="B1897" s="39" t="n">
        <v>41151</v>
      </c>
      <c r="C1897" s="4" t="n">
        <v>41122</v>
      </c>
      <c r="D1897" s="5">
        <f>YEAR(C1897)</f>
        <v/>
      </c>
      <c r="E1897" s="5">
        <f>MONTH(C1897)</f>
        <v/>
      </c>
      <c r="F1897" s="38" t="inlineStr">
        <is>
          <t>NFV  :TENDA ATACADO LTDA</t>
        </is>
      </c>
      <c r="G1897" s="38" t="inlineStr">
        <is>
          <t>MARIO FRUGIS (01.04.01)</t>
        </is>
      </c>
      <c r="H1897" s="38" t="inlineStr">
        <is>
          <t>NFV</t>
        </is>
      </c>
      <c r="I1897" s="40" t="n">
        <v>114.27</v>
      </c>
      <c r="J1897" s="40" t="n">
        <v>0</v>
      </c>
      <c r="K1897" s="6">
        <f>I1897-J1897</f>
        <v/>
      </c>
      <c r="L1897" s="6">
        <f>IF(H1897="DISTRATO",0,I1897)</f>
        <v/>
      </c>
    </row>
    <row r="1898">
      <c r="A1898" s="38" t="inlineStr">
        <is>
          <t>Conta corrente FRUGIS5.XLS</t>
        </is>
      </c>
      <c r="B1898" s="39" t="n">
        <v>41151</v>
      </c>
      <c r="C1898" s="4" t="n">
        <v>41122</v>
      </c>
      <c r="D1898" s="5">
        <f>YEAR(C1898)</f>
        <v/>
      </c>
      <c r="E1898" s="5">
        <f>MONTH(C1898)</f>
        <v/>
      </c>
      <c r="F1898" s="38" t="inlineStr">
        <is>
          <t>NFV  :TENDA ATACADO LTDA</t>
        </is>
      </c>
      <c r="G1898" s="38" t="inlineStr">
        <is>
          <t>MARIO FRUGIS (01.04.01)</t>
        </is>
      </c>
      <c r="H1898" s="38" t="inlineStr">
        <is>
          <t>NFV</t>
        </is>
      </c>
      <c r="I1898" s="40" t="n">
        <v>106.77</v>
      </c>
      <c r="J1898" s="40" t="n">
        <v>0</v>
      </c>
      <c r="K1898" s="6">
        <f>I1898-J1898</f>
        <v/>
      </c>
      <c r="L1898" s="6">
        <f>IF(H1898="DISTRATO",0,I1898)</f>
        <v/>
      </c>
    </row>
    <row r="1899">
      <c r="A1899" s="38" t="inlineStr">
        <is>
          <t>Conta corrente FRUGIS5.XLS</t>
        </is>
      </c>
      <c r="B1899" s="39" t="n">
        <v>41151</v>
      </c>
      <c r="C1899" s="4" t="n">
        <v>41122</v>
      </c>
      <c r="D1899" s="5">
        <f>YEAR(C1899)</f>
        <v/>
      </c>
      <c r="E1899" s="5">
        <f>MONTH(C1899)</f>
        <v/>
      </c>
      <c r="F1899" s="38" t="inlineStr">
        <is>
          <t>NFV  :TENDA ATACADO LTDA</t>
        </is>
      </c>
      <c r="G1899" s="38" t="inlineStr">
        <is>
          <t>MARIO FRUGIS (01.04.01)</t>
        </is>
      </c>
      <c r="H1899" s="38" t="inlineStr">
        <is>
          <t>NFV</t>
        </is>
      </c>
      <c r="I1899" s="40" t="n">
        <v>101.87</v>
      </c>
      <c r="J1899" s="40" t="n">
        <v>0</v>
      </c>
      <c r="K1899" s="6">
        <f>I1899-J1899</f>
        <v/>
      </c>
      <c r="L1899" s="6">
        <f>IF(H1899="DISTRATO",0,I1899)</f>
        <v/>
      </c>
    </row>
    <row r="1900">
      <c r="A1900" s="38" t="inlineStr">
        <is>
          <t>Conta corrente FRUGIS5.XLS</t>
        </is>
      </c>
      <c r="B1900" s="39" t="n">
        <v>41151</v>
      </c>
      <c r="C1900" s="4" t="n">
        <v>41122</v>
      </c>
      <c r="D1900" s="5">
        <f>YEAR(C1900)</f>
        <v/>
      </c>
      <c r="E1900" s="5">
        <f>MONTH(C1900)</f>
        <v/>
      </c>
      <c r="F1900" s="38" t="inlineStr">
        <is>
          <t>NFV  :TENDA ATACADO LTDA</t>
        </is>
      </c>
      <c r="G1900" s="38" t="inlineStr">
        <is>
          <t>MARIO FRUGIS (01.04.01)</t>
        </is>
      </c>
      <c r="H1900" s="38" t="inlineStr">
        <is>
          <t>NFV</t>
        </is>
      </c>
      <c r="I1900" s="40" t="n">
        <v>166.11</v>
      </c>
      <c r="J1900" s="40" t="n">
        <v>0</v>
      </c>
      <c r="K1900" s="6">
        <f>I1900-J1900</f>
        <v/>
      </c>
      <c r="L1900" s="6">
        <f>IF(H1900="DISTRATO",0,I1900)</f>
        <v/>
      </c>
    </row>
    <row r="1901">
      <c r="A1901" s="38" t="inlineStr">
        <is>
          <t>Conta corrente FRUGIS5.XLS</t>
        </is>
      </c>
      <c r="B1901" s="39" t="n">
        <v>41152</v>
      </c>
      <c r="C1901" s="4" t="n">
        <v>41122</v>
      </c>
      <c r="D1901" s="5">
        <f>YEAR(C1901)</f>
        <v/>
      </c>
      <c r="E1901" s="5">
        <f>MONTH(C1901)</f>
        <v/>
      </c>
      <c r="F1901" s="38" t="inlineStr">
        <is>
          <t>BONIF:TENDA ATACADO LTDA</t>
        </is>
      </c>
      <c r="G1901" s="38" t="inlineStr">
        <is>
          <t>MARIO FRUGIS (01.04.01)</t>
        </is>
      </c>
      <c r="H1901" s="38" t="inlineStr">
        <is>
          <t>BONIFICACAO</t>
        </is>
      </c>
      <c r="I1901" s="40" t="n">
        <v>-13.58</v>
      </c>
      <c r="J1901" s="40" t="n">
        <v>0</v>
      </c>
      <c r="K1901" s="6">
        <f>I1901-J1901</f>
        <v/>
      </c>
      <c r="L1901" s="6">
        <f>IF(H1901="DISTRATO",0,I1901)</f>
        <v/>
      </c>
    </row>
    <row r="1902">
      <c r="A1902" s="38" t="inlineStr">
        <is>
          <t>Conta corrente FRUGIS5.XLS</t>
        </is>
      </c>
      <c r="B1902" s="39" t="n">
        <v>41152</v>
      </c>
      <c r="C1902" s="4" t="n">
        <v>41122</v>
      </c>
      <c r="D1902" s="5">
        <f>YEAR(C1902)</f>
        <v/>
      </c>
      <c r="E1902" s="5">
        <f>MONTH(C1902)</f>
        <v/>
      </c>
      <c r="F1902" s="38" t="inlineStr">
        <is>
          <t>BONIF:TENDA ATACADO LTDA</t>
        </is>
      </c>
      <c r="G1902" s="38" t="inlineStr">
        <is>
          <t>MARIO FRUGIS (01.04.01)</t>
        </is>
      </c>
      <c r="H1902" s="38" t="inlineStr">
        <is>
          <t>BONIFICACAO</t>
        </is>
      </c>
      <c r="I1902" s="40" t="n">
        <v>-11.02</v>
      </c>
      <c r="J1902" s="40" t="n">
        <v>0</v>
      </c>
      <c r="K1902" s="6">
        <f>I1902-J1902</f>
        <v/>
      </c>
      <c r="L1902" s="6">
        <f>IF(H1902="DISTRATO",0,I1902)</f>
        <v/>
      </c>
    </row>
    <row r="1903">
      <c r="A1903" s="38" t="inlineStr">
        <is>
          <t>Conta corrente FRUGIS5.XLS</t>
        </is>
      </c>
      <c r="B1903" s="39" t="n">
        <v>41152</v>
      </c>
      <c r="C1903" s="4" t="n">
        <v>41122</v>
      </c>
      <c r="D1903" s="5">
        <f>YEAR(C1903)</f>
        <v/>
      </c>
      <c r="E1903" s="5">
        <f>MONTH(C1903)</f>
        <v/>
      </c>
      <c r="F1903" s="38" t="inlineStr">
        <is>
          <t>BONIF:TENDA ATACADO LTDA</t>
        </is>
      </c>
      <c r="G1903" s="38" t="inlineStr">
        <is>
          <t>MARIO FRUGIS (01.04.01)</t>
        </is>
      </c>
      <c r="H1903" s="38" t="inlineStr">
        <is>
          <t>BONIFICACAO</t>
        </is>
      </c>
      <c r="I1903" s="40" t="n">
        <v>-16.87</v>
      </c>
      <c r="J1903" s="40" t="n">
        <v>0</v>
      </c>
      <c r="K1903" s="6">
        <f>I1903-J1903</f>
        <v/>
      </c>
      <c r="L1903" s="6">
        <f>IF(H1903="DISTRATO",0,I1903)</f>
        <v/>
      </c>
    </row>
    <row r="1904">
      <c r="A1904" s="38" t="inlineStr">
        <is>
          <t>Conta corrente FRUGIS5.XLS</t>
        </is>
      </c>
      <c r="B1904" s="39" t="n">
        <v>41152</v>
      </c>
      <c r="C1904" s="4" t="n">
        <v>41122</v>
      </c>
      <c r="D1904" s="5">
        <f>YEAR(C1904)</f>
        <v/>
      </c>
      <c r="E1904" s="5">
        <f>MONTH(C1904)</f>
        <v/>
      </c>
      <c r="F1904" s="38" t="inlineStr">
        <is>
          <t>BONIF:TENDA ATACADO LTDA</t>
        </is>
      </c>
      <c r="G1904" s="38" t="inlineStr">
        <is>
          <t>MARIO FRUGIS (01.04.01)</t>
        </is>
      </c>
      <c r="H1904" s="38" t="inlineStr">
        <is>
          <t>BONIFICACAO</t>
        </is>
      </c>
      <c r="I1904" s="40" t="n">
        <v>-11.02</v>
      </c>
      <c r="J1904" s="40" t="n">
        <v>0</v>
      </c>
      <c r="K1904" s="6">
        <f>I1904-J1904</f>
        <v/>
      </c>
      <c r="L1904" s="6">
        <f>IF(H1904="DISTRATO",0,I1904)</f>
        <v/>
      </c>
    </row>
    <row r="1905">
      <c r="A1905" s="38" t="inlineStr">
        <is>
          <t>Conta corrente FRUGIS5.XLS</t>
        </is>
      </c>
      <c r="B1905" s="39" t="n">
        <v>41152</v>
      </c>
      <c r="C1905" s="4" t="n">
        <v>41122</v>
      </c>
      <c r="D1905" s="5">
        <f>YEAR(C1905)</f>
        <v/>
      </c>
      <c r="E1905" s="5">
        <f>MONTH(C1905)</f>
        <v/>
      </c>
      <c r="F1905" s="38" t="inlineStr">
        <is>
          <t>BONIF:TENDA ATACADO LTDA</t>
        </is>
      </c>
      <c r="G1905" s="38" t="inlineStr">
        <is>
          <t>MARIO FRUGIS (01.04.01)</t>
        </is>
      </c>
      <c r="H1905" s="38" t="inlineStr">
        <is>
          <t>BONIFICACAO</t>
        </is>
      </c>
      <c r="I1905" s="40" t="n">
        <v>-11.02</v>
      </c>
      <c r="J1905" s="40" t="n">
        <v>0</v>
      </c>
      <c r="K1905" s="6">
        <f>I1905-J1905</f>
        <v/>
      </c>
      <c r="L1905" s="6">
        <f>IF(H1905="DISTRATO",0,I1905)</f>
        <v/>
      </c>
    </row>
    <row r="1906">
      <c r="A1906" s="38" t="inlineStr">
        <is>
          <t>Conta corrente FRUGIS5.XLS</t>
        </is>
      </c>
      <c r="B1906" s="39" t="n">
        <v>41152</v>
      </c>
      <c r="C1906" s="4" t="n">
        <v>41122</v>
      </c>
      <c r="D1906" s="5">
        <f>YEAR(C1906)</f>
        <v/>
      </c>
      <c r="E1906" s="5">
        <f>MONTH(C1906)</f>
        <v/>
      </c>
      <c r="F1906" s="38" t="inlineStr">
        <is>
          <t>NFV  :TENDA ATACADO LTDA</t>
        </is>
      </c>
      <c r="G1906" s="38" t="inlineStr">
        <is>
          <t>MARIO FRUGIS (01.04.01)</t>
        </is>
      </c>
      <c r="H1906" s="38" t="inlineStr">
        <is>
          <t>NFV</t>
        </is>
      </c>
      <c r="I1906" s="40" t="n">
        <v>158.61</v>
      </c>
      <c r="J1906" s="40" t="n">
        <v>0</v>
      </c>
      <c r="K1906" s="6">
        <f>I1906-J1906</f>
        <v/>
      </c>
      <c r="L1906" s="6">
        <f>IF(H1906="DISTRATO",0,I1906)</f>
        <v/>
      </c>
    </row>
    <row r="1907">
      <c r="A1907" s="38" t="inlineStr">
        <is>
          <t>Conta corrente FRUGIS5.XLS</t>
        </is>
      </c>
      <c r="B1907" s="39" t="n">
        <v>41152</v>
      </c>
      <c r="C1907" s="4" t="n">
        <v>41122</v>
      </c>
      <c r="D1907" s="5">
        <f>YEAR(C1907)</f>
        <v/>
      </c>
      <c r="E1907" s="5">
        <f>MONTH(C1907)</f>
        <v/>
      </c>
      <c r="F1907" s="38" t="inlineStr">
        <is>
          <t>NFV  :TENDA ATACADO LTDA</t>
        </is>
      </c>
      <c r="G1907" s="38" t="inlineStr">
        <is>
          <t>MARIO FRUGIS (01.04.01)</t>
        </is>
      </c>
      <c r="H1907" s="38" t="inlineStr">
        <is>
          <t>NFV</t>
        </is>
      </c>
      <c r="I1907" s="40" t="n">
        <v>96.2</v>
      </c>
      <c r="J1907" s="40" t="n">
        <v>0</v>
      </c>
      <c r="K1907" s="6">
        <f>I1907-J1907</f>
        <v/>
      </c>
      <c r="L1907" s="6">
        <f>IF(H1907="DISTRATO",0,I1907)</f>
        <v/>
      </c>
    </row>
    <row r="1908">
      <c r="A1908" s="38" t="inlineStr">
        <is>
          <t>Conta corrente FRUGIS5.XLS</t>
        </is>
      </c>
      <c r="B1908" s="39" t="n">
        <v>41152</v>
      </c>
      <c r="C1908" s="4" t="n">
        <v>41122</v>
      </c>
      <c r="D1908" s="5">
        <f>YEAR(C1908)</f>
        <v/>
      </c>
      <c r="E1908" s="5">
        <f>MONTH(C1908)</f>
        <v/>
      </c>
      <c r="F1908" s="38" t="inlineStr">
        <is>
          <t>NFV  :TENDA ATACADO LTDA</t>
        </is>
      </c>
      <c r="G1908" s="38" t="inlineStr">
        <is>
          <t>MARIO FRUGIS (01.04.01)</t>
        </is>
      </c>
      <c r="H1908" s="38" t="inlineStr">
        <is>
          <t>NFV</t>
        </is>
      </c>
      <c r="I1908" s="40" t="n">
        <v>122.74</v>
      </c>
      <c r="J1908" s="40" t="n">
        <v>0</v>
      </c>
      <c r="K1908" s="6">
        <f>I1908-J1908</f>
        <v/>
      </c>
      <c r="L1908" s="6">
        <f>IF(H1908="DISTRATO",0,I1908)</f>
        <v/>
      </c>
    </row>
    <row r="1909">
      <c r="A1909" s="38" t="inlineStr">
        <is>
          <t>Conta corrente FRUGIS5.XLS</t>
        </is>
      </c>
      <c r="B1909" s="39" t="n">
        <v>41152</v>
      </c>
      <c r="C1909" s="4" t="n">
        <v>41122</v>
      </c>
      <c r="D1909" s="5">
        <f>YEAR(C1909)</f>
        <v/>
      </c>
      <c r="E1909" s="5">
        <f>MONTH(C1909)</f>
        <v/>
      </c>
      <c r="F1909" s="38" t="inlineStr">
        <is>
          <t>NFV  :TENDA ATACADO LTDA</t>
        </is>
      </c>
      <c r="G1909" s="38" t="inlineStr">
        <is>
          <t>MARIO FRUGIS (01.04.01)</t>
        </is>
      </c>
      <c r="H1909" s="38" t="inlineStr">
        <is>
          <t>NFV</t>
        </is>
      </c>
      <c r="I1909" s="40" t="n">
        <v>106.77</v>
      </c>
      <c r="J1909" s="40" t="n">
        <v>0</v>
      </c>
      <c r="K1909" s="6">
        <f>I1909-J1909</f>
        <v/>
      </c>
      <c r="L1909" s="6">
        <f>IF(H1909="DISTRATO",0,I1909)</f>
        <v/>
      </c>
    </row>
    <row r="1910">
      <c r="A1910" s="38" t="inlineStr">
        <is>
          <t>Conta corrente FRUGIS5.XLS</t>
        </is>
      </c>
      <c r="B1910" s="39" t="n">
        <v>41152</v>
      </c>
      <c r="C1910" s="4" t="n">
        <v>41122</v>
      </c>
      <c r="D1910" s="5">
        <f>YEAR(C1910)</f>
        <v/>
      </c>
      <c r="E1910" s="5">
        <f>MONTH(C1910)</f>
        <v/>
      </c>
      <c r="F1910" s="38" t="inlineStr">
        <is>
          <t>NFV  :TENDA ATACADO LTDA</t>
        </is>
      </c>
      <c r="G1910" s="38" t="inlineStr">
        <is>
          <t>MARIO FRUGIS (01.04.01)</t>
        </is>
      </c>
      <c r="H1910" s="38" t="inlineStr">
        <is>
          <t>NFV</t>
        </is>
      </c>
      <c r="I1910" s="40" t="n">
        <v>98.29000000000001</v>
      </c>
      <c r="J1910" s="40" t="n">
        <v>0</v>
      </c>
      <c r="K1910" s="6">
        <f>I1910-J1910</f>
        <v/>
      </c>
      <c r="L1910" s="6">
        <f>IF(H1910="DISTRATO",0,I1910)</f>
        <v/>
      </c>
    </row>
    <row r="1911">
      <c r="A1911" s="38" t="inlineStr">
        <is>
          <t>Conta corrente FRUGIS5.XLS</t>
        </is>
      </c>
      <c r="B1911" s="39" t="n">
        <v>41158</v>
      </c>
      <c r="C1911" s="4" t="n">
        <v>41153</v>
      </c>
      <c r="D1911" s="5">
        <f>YEAR(C1911)</f>
        <v/>
      </c>
      <c r="E1911" s="5">
        <f>MONTH(C1911)</f>
        <v/>
      </c>
      <c r="F1911" s="38" t="inlineStr">
        <is>
          <t>NFV  :TENDA ATACADO LTDA</t>
        </is>
      </c>
      <c r="G1911" s="38" t="inlineStr">
        <is>
          <t>MARIO FRUGIS (01.04.01)</t>
        </is>
      </c>
      <c r="H1911" s="38" t="inlineStr">
        <is>
          <t>NFV</t>
        </is>
      </c>
      <c r="I1911" s="40" t="n">
        <v>164.39</v>
      </c>
      <c r="J1911" s="40" t="n">
        <v>0</v>
      </c>
      <c r="K1911" s="6">
        <f>I1911-J1911</f>
        <v/>
      </c>
      <c r="L1911" s="6">
        <f>IF(H1911="DISTRATO",0,I1911)</f>
        <v/>
      </c>
    </row>
    <row r="1912">
      <c r="A1912" s="38" t="inlineStr">
        <is>
          <t>Conta corrente FRUGIS5.XLS</t>
        </is>
      </c>
      <c r="B1912" s="39" t="n">
        <v>41158</v>
      </c>
      <c r="C1912" s="4" t="n">
        <v>41153</v>
      </c>
      <c r="D1912" s="5">
        <f>YEAR(C1912)</f>
        <v/>
      </c>
      <c r="E1912" s="5">
        <f>MONTH(C1912)</f>
        <v/>
      </c>
      <c r="F1912" s="38" t="inlineStr">
        <is>
          <t>NFV  :TENDA ATACADO LTDA</t>
        </is>
      </c>
      <c r="G1912" s="38" t="inlineStr">
        <is>
          <t>MARIO FRUGIS (01.04.01)</t>
        </is>
      </c>
      <c r="H1912" s="38" t="inlineStr">
        <is>
          <t>NFV</t>
        </is>
      </c>
      <c r="I1912" s="40" t="n">
        <v>103.7</v>
      </c>
      <c r="J1912" s="40" t="n">
        <v>0</v>
      </c>
      <c r="K1912" s="6">
        <f>I1912-J1912</f>
        <v/>
      </c>
      <c r="L1912" s="6">
        <f>IF(H1912="DISTRATO",0,I1912)</f>
        <v/>
      </c>
    </row>
    <row r="1913">
      <c r="A1913" s="38" t="inlineStr">
        <is>
          <t>Conta corrente FRUGIS5.XLS</t>
        </is>
      </c>
      <c r="B1913" s="39" t="n">
        <v>41162</v>
      </c>
      <c r="C1913" s="4" t="n">
        <v>41153</v>
      </c>
      <c r="D1913" s="5">
        <f>YEAR(C1913)</f>
        <v/>
      </c>
      <c r="E1913" s="5">
        <f>MONTH(C1913)</f>
        <v/>
      </c>
      <c r="F1913" s="38" t="inlineStr">
        <is>
          <t>NFV  :TENDA ATACADO LTDA</t>
        </is>
      </c>
      <c r="G1913" s="38" t="inlineStr">
        <is>
          <t>MARIO FRUGIS (01.04.01)</t>
        </is>
      </c>
      <c r="H1913" s="38" t="inlineStr">
        <is>
          <t>NFV</t>
        </is>
      </c>
      <c r="I1913" s="40" t="n">
        <v>164.39</v>
      </c>
      <c r="J1913" s="40" t="n">
        <v>0</v>
      </c>
      <c r="K1913" s="6">
        <f>I1913-J1913</f>
        <v/>
      </c>
      <c r="L1913" s="6">
        <f>IF(H1913="DISTRATO",0,I1913)</f>
        <v/>
      </c>
    </row>
    <row r="1914">
      <c r="A1914" s="38" t="inlineStr">
        <is>
          <t>Conta corrente FRUGIS5.XLS</t>
        </is>
      </c>
      <c r="B1914" s="39" t="n">
        <v>41162</v>
      </c>
      <c r="C1914" s="4" t="n">
        <v>41153</v>
      </c>
      <c r="D1914" s="5">
        <f>YEAR(C1914)</f>
        <v/>
      </c>
      <c r="E1914" s="5">
        <f>MONTH(C1914)</f>
        <v/>
      </c>
      <c r="F1914" s="38" t="inlineStr">
        <is>
          <t>NFV  :TENDA ATACADO LTDA</t>
        </is>
      </c>
      <c r="G1914" s="38" t="inlineStr">
        <is>
          <t>MARIO FRUGIS (01.04.01)</t>
        </is>
      </c>
      <c r="H1914" s="38" t="inlineStr">
        <is>
          <t>NFV</t>
        </is>
      </c>
      <c r="I1914" s="40" t="n">
        <v>103.7</v>
      </c>
      <c r="J1914" s="40" t="n">
        <v>0</v>
      </c>
      <c r="K1914" s="6">
        <f>I1914-J1914</f>
        <v/>
      </c>
      <c r="L1914" s="6">
        <f>IF(H1914="DISTRATO",0,I1914)</f>
        <v/>
      </c>
    </row>
    <row r="1915">
      <c r="A1915" s="38" t="inlineStr">
        <is>
          <t>Conta corrente FRUGIS5.XLS</t>
        </is>
      </c>
      <c r="B1915" s="39" t="n">
        <v>41168</v>
      </c>
      <c r="C1915" s="4" t="n">
        <v>41153</v>
      </c>
      <c r="D1915" s="5">
        <f>YEAR(C1915)</f>
        <v/>
      </c>
      <c r="E1915" s="5">
        <f>MONTH(C1915)</f>
        <v/>
      </c>
      <c r="F1915" s="38" t="inlineStr">
        <is>
          <t>NFV  :TENDA ATACADO LTDA</t>
        </is>
      </c>
      <c r="G1915" s="38" t="inlineStr">
        <is>
          <t>MARIO FRUGIS (01.04.01)</t>
        </is>
      </c>
      <c r="H1915" s="38" t="inlineStr">
        <is>
          <t>NFV</t>
        </is>
      </c>
      <c r="I1915" s="40" t="n">
        <v>123.63</v>
      </c>
      <c r="J1915" s="40" t="n">
        <v>0</v>
      </c>
      <c r="K1915" s="6">
        <f>I1915-J1915</f>
        <v/>
      </c>
      <c r="L1915" s="6">
        <f>IF(H1915="DISTRATO",0,I1915)</f>
        <v/>
      </c>
    </row>
    <row r="1916">
      <c r="A1916" s="38" t="inlineStr">
        <is>
          <t>Conta corrente FRUGIS5.XLS</t>
        </is>
      </c>
      <c r="B1916" s="39" t="n">
        <v>41169</v>
      </c>
      <c r="C1916" s="4" t="n">
        <v>41153</v>
      </c>
      <c r="D1916" s="5">
        <f>YEAR(C1916)</f>
        <v/>
      </c>
      <c r="E1916" s="5">
        <f>MONTH(C1916)</f>
        <v/>
      </c>
      <c r="F1916" s="38" t="inlineStr">
        <is>
          <t>NFV  :TENDA ATACADO LTDA</t>
        </is>
      </c>
      <c r="G1916" s="38" t="inlineStr">
        <is>
          <t>MARIO FRUGIS (01.04.01)</t>
        </is>
      </c>
      <c r="H1916" s="38" t="inlineStr">
        <is>
          <t>NFV</t>
        </is>
      </c>
      <c r="I1916" s="40" t="n">
        <v>85.69</v>
      </c>
      <c r="J1916" s="40" t="n">
        <v>0</v>
      </c>
      <c r="K1916" s="6">
        <f>I1916-J1916</f>
        <v/>
      </c>
      <c r="L1916" s="6">
        <f>IF(H1916="DISTRATO",0,I1916)</f>
        <v/>
      </c>
    </row>
    <row r="1917">
      <c r="A1917" s="38" t="inlineStr">
        <is>
          <t>Conta corrente FRUGIS5.XLS</t>
        </is>
      </c>
      <c r="B1917" s="39" t="n">
        <v>41169</v>
      </c>
      <c r="C1917" s="4" t="n">
        <v>41153</v>
      </c>
      <c r="D1917" s="5">
        <f>YEAR(C1917)</f>
        <v/>
      </c>
      <c r="E1917" s="5">
        <f>MONTH(C1917)</f>
        <v/>
      </c>
      <c r="F1917" s="38" t="inlineStr">
        <is>
          <t>NFV  :TENDA ATACADO LTDA</t>
        </is>
      </c>
      <c r="G1917" s="38" t="inlineStr">
        <is>
          <t>MARIO FRUGIS (01.04.01)</t>
        </is>
      </c>
      <c r="H1917" s="38" t="inlineStr">
        <is>
          <t>NFV</t>
        </is>
      </c>
      <c r="I1917" s="40" t="n">
        <v>60.64</v>
      </c>
      <c r="J1917" s="40" t="n">
        <v>0</v>
      </c>
      <c r="K1917" s="6">
        <f>I1917-J1917</f>
        <v/>
      </c>
      <c r="L1917" s="6">
        <f>IF(H1917="DISTRATO",0,I1917)</f>
        <v/>
      </c>
    </row>
    <row r="1918">
      <c r="A1918" s="38" t="inlineStr">
        <is>
          <t>Conta corrente FRUGIS5.XLS</t>
        </is>
      </c>
      <c r="B1918" s="39" t="n">
        <v>41169</v>
      </c>
      <c r="C1918" s="4" t="n">
        <v>41153</v>
      </c>
      <c r="D1918" s="5">
        <f>YEAR(C1918)</f>
        <v/>
      </c>
      <c r="E1918" s="5">
        <f>MONTH(C1918)</f>
        <v/>
      </c>
      <c r="F1918" s="38" t="inlineStr">
        <is>
          <t>NFV  :TENDA ATACADO LTDA</t>
        </is>
      </c>
      <c r="G1918" s="38" t="inlineStr">
        <is>
          <t>MARIO FRUGIS (01.04.01)</t>
        </is>
      </c>
      <c r="H1918" s="38" t="inlineStr">
        <is>
          <t>NFV</t>
        </is>
      </c>
      <c r="I1918" s="40" t="n">
        <v>123.13</v>
      </c>
      <c r="J1918" s="40" t="n">
        <v>0</v>
      </c>
      <c r="K1918" s="6">
        <f>I1918-J1918</f>
        <v/>
      </c>
      <c r="L1918" s="6">
        <f>IF(H1918="DISTRATO",0,I1918)</f>
        <v/>
      </c>
    </row>
    <row r="1919">
      <c r="A1919" s="38" t="inlineStr">
        <is>
          <t>Conta corrente FRUGIS5.XLS</t>
        </is>
      </c>
      <c r="B1919" s="39" t="n">
        <v>41169</v>
      </c>
      <c r="C1919" s="4" t="n">
        <v>41153</v>
      </c>
      <c r="D1919" s="5">
        <f>YEAR(C1919)</f>
        <v/>
      </c>
      <c r="E1919" s="5">
        <f>MONTH(C1919)</f>
        <v/>
      </c>
      <c r="F1919" s="38" t="inlineStr">
        <is>
          <t>NFV  :TENDA ATACADO LTDA</t>
        </is>
      </c>
      <c r="G1919" s="38" t="inlineStr">
        <is>
          <t>MARIO FRUGIS (01.04.01)</t>
        </is>
      </c>
      <c r="H1919" s="38" t="inlineStr">
        <is>
          <t>NFV</t>
        </is>
      </c>
      <c r="I1919" s="40" t="n">
        <v>117.09</v>
      </c>
      <c r="J1919" s="40" t="n">
        <v>0</v>
      </c>
      <c r="K1919" s="6">
        <f>I1919-J1919</f>
        <v/>
      </c>
      <c r="L1919" s="6">
        <f>IF(H1919="DISTRATO",0,I1919)</f>
        <v/>
      </c>
    </row>
    <row r="1920">
      <c r="A1920" s="38" t="inlineStr">
        <is>
          <t>Conta corrente FRUGIS5.XLS</t>
        </is>
      </c>
      <c r="B1920" s="39" t="n">
        <v>41169</v>
      </c>
      <c r="C1920" s="4" t="n">
        <v>41153</v>
      </c>
      <c r="D1920" s="5">
        <f>YEAR(C1920)</f>
        <v/>
      </c>
      <c r="E1920" s="5">
        <f>MONTH(C1920)</f>
        <v/>
      </c>
      <c r="F1920" s="38" t="inlineStr">
        <is>
          <t>NFV  :TENDA ATACADO LTDA</t>
        </is>
      </c>
      <c r="G1920" s="38" t="inlineStr">
        <is>
          <t>MARIO FRUGIS (01.04.01)</t>
        </is>
      </c>
      <c r="H1920" s="38" t="inlineStr">
        <is>
          <t>NFV</t>
        </is>
      </c>
      <c r="I1920" s="40" t="n">
        <v>109.1</v>
      </c>
      <c r="J1920" s="40" t="n">
        <v>0</v>
      </c>
      <c r="K1920" s="6">
        <f>I1920-J1920</f>
        <v/>
      </c>
      <c r="L1920" s="6">
        <f>IF(H1920="DISTRATO",0,I1920)</f>
        <v/>
      </c>
    </row>
    <row r="1921">
      <c r="A1921" s="38" t="inlineStr">
        <is>
          <t>Conta corrente FRUGIS5.XLS</t>
        </is>
      </c>
      <c r="B1921" s="39" t="n">
        <v>41169</v>
      </c>
      <c r="C1921" s="4" t="n">
        <v>41153</v>
      </c>
      <c r="D1921" s="5">
        <f>YEAR(C1921)</f>
        <v/>
      </c>
      <c r="E1921" s="5">
        <f>MONTH(C1921)</f>
        <v/>
      </c>
      <c r="F1921" s="38" t="inlineStr">
        <is>
          <t>NFV  :TENDA ATACADO LTDA</t>
        </is>
      </c>
      <c r="G1921" s="38" t="inlineStr">
        <is>
          <t>MARIO FRUGIS (01.04.01)</t>
        </is>
      </c>
      <c r="H1921" s="38" t="inlineStr">
        <is>
          <t>NFV</t>
        </is>
      </c>
      <c r="I1921" s="40" t="n">
        <v>90.15000000000001</v>
      </c>
      <c r="J1921" s="40" t="n">
        <v>0</v>
      </c>
      <c r="K1921" s="6">
        <f>I1921-J1921</f>
        <v/>
      </c>
      <c r="L1921" s="6">
        <f>IF(H1921="DISTRATO",0,I1921)</f>
        <v/>
      </c>
    </row>
    <row r="1922">
      <c r="A1922" s="38" t="inlineStr">
        <is>
          <t>Conta corrente FRUGIS5.XLS</t>
        </is>
      </c>
      <c r="B1922" s="39" t="n">
        <v>41169</v>
      </c>
      <c r="C1922" s="4" t="n">
        <v>41153</v>
      </c>
      <c r="D1922" s="5">
        <f>YEAR(C1922)</f>
        <v/>
      </c>
      <c r="E1922" s="5">
        <f>MONTH(C1922)</f>
        <v/>
      </c>
      <c r="F1922" s="38" t="inlineStr">
        <is>
          <t>NFV  :TENDA ATACADO LTDA</t>
        </is>
      </c>
      <c r="G1922" s="38" t="inlineStr">
        <is>
          <t>MARIO FRUGIS (01.04.01)</t>
        </is>
      </c>
      <c r="H1922" s="38" t="inlineStr">
        <is>
          <t>NFV</t>
        </is>
      </c>
      <c r="I1922" s="40" t="n">
        <v>111.99</v>
      </c>
      <c r="J1922" s="40" t="n">
        <v>0</v>
      </c>
      <c r="K1922" s="6">
        <f>I1922-J1922</f>
        <v/>
      </c>
      <c r="L1922" s="6">
        <f>IF(H1922="DISTRATO",0,I1922)</f>
        <v/>
      </c>
    </row>
    <row r="1923">
      <c r="A1923" s="38" t="inlineStr">
        <is>
          <t>Conta corrente FRUGIS5.XLS</t>
        </is>
      </c>
      <c r="B1923" s="39" t="n">
        <v>41169</v>
      </c>
      <c r="C1923" s="4" t="n">
        <v>41153</v>
      </c>
      <c r="D1923" s="5">
        <f>YEAR(C1923)</f>
        <v/>
      </c>
      <c r="E1923" s="5">
        <f>MONTH(C1923)</f>
        <v/>
      </c>
      <c r="F1923" s="38" t="inlineStr">
        <is>
          <t>NFV  :TENDA ATACADO LTDA</t>
        </is>
      </c>
      <c r="G1923" s="38" t="inlineStr">
        <is>
          <t>MARIO FRUGIS (01.04.01)</t>
        </is>
      </c>
      <c r="H1923" s="38" t="inlineStr">
        <is>
          <t>NFV</t>
        </is>
      </c>
      <c r="I1923" s="40" t="n">
        <v>50.87</v>
      </c>
      <c r="J1923" s="40" t="n">
        <v>0</v>
      </c>
      <c r="K1923" s="6">
        <f>I1923-J1923</f>
        <v/>
      </c>
      <c r="L1923" s="6">
        <f>IF(H1923="DISTRATO",0,I1923)</f>
        <v/>
      </c>
    </row>
    <row r="1924">
      <c r="A1924" s="38" t="inlineStr">
        <is>
          <t>Conta corrente FRUGIS5.XLS</t>
        </is>
      </c>
      <c r="B1924" s="39" t="n">
        <v>41169</v>
      </c>
      <c r="C1924" s="4" t="n">
        <v>41153</v>
      </c>
      <c r="D1924" s="5">
        <f>YEAR(C1924)</f>
        <v/>
      </c>
      <c r="E1924" s="5">
        <f>MONTH(C1924)</f>
        <v/>
      </c>
      <c r="F1924" s="38" t="inlineStr">
        <is>
          <t>NFV  :TENDA ATACADO LTDA</t>
        </is>
      </c>
      <c r="G1924" s="38" t="inlineStr">
        <is>
          <t>MARIO FRUGIS (01.04.01)</t>
        </is>
      </c>
      <c r="H1924" s="38" t="inlineStr">
        <is>
          <t>NFV</t>
        </is>
      </c>
      <c r="I1924" s="40" t="n">
        <v>80.8</v>
      </c>
      <c r="J1924" s="40" t="n">
        <v>0</v>
      </c>
      <c r="K1924" s="6">
        <f>I1924-J1924</f>
        <v/>
      </c>
      <c r="L1924" s="6">
        <f>IF(H1924="DISTRATO",0,I1924)</f>
        <v/>
      </c>
    </row>
    <row r="1925">
      <c r="A1925" s="38" t="inlineStr">
        <is>
          <t>Conta corrente FRUGIS5.XLS</t>
        </is>
      </c>
      <c r="B1925" s="39" t="n">
        <v>41169</v>
      </c>
      <c r="C1925" s="4" t="n">
        <v>41153</v>
      </c>
      <c r="D1925" s="5">
        <f>YEAR(C1925)</f>
        <v/>
      </c>
      <c r="E1925" s="5">
        <f>MONTH(C1925)</f>
        <v/>
      </c>
      <c r="F1925" s="38" t="inlineStr">
        <is>
          <t>NFV  :TENDA ATACADO LTDA</t>
        </is>
      </c>
      <c r="G1925" s="38" t="inlineStr">
        <is>
          <t>MARIO FRUGIS (01.04.01)</t>
        </is>
      </c>
      <c r="H1925" s="38" t="inlineStr">
        <is>
          <t>NFV</t>
        </is>
      </c>
      <c r="I1925" s="40" t="n">
        <v>129.34</v>
      </c>
      <c r="J1925" s="40" t="n">
        <v>0</v>
      </c>
      <c r="K1925" s="6">
        <f>I1925-J1925</f>
        <v/>
      </c>
      <c r="L1925" s="6">
        <f>IF(H1925="DISTRATO",0,I1925)</f>
        <v/>
      </c>
    </row>
    <row r="1926">
      <c r="A1926" s="38" t="inlineStr">
        <is>
          <t>Conta corrente FRUGIS5.XLS</t>
        </is>
      </c>
      <c r="B1926" s="39" t="n">
        <v>41169</v>
      </c>
      <c r="C1926" s="4" t="n">
        <v>41153</v>
      </c>
      <c r="D1926" s="5">
        <f>YEAR(C1926)</f>
        <v/>
      </c>
      <c r="E1926" s="5">
        <f>MONTH(C1926)</f>
        <v/>
      </c>
      <c r="F1926" s="38" t="inlineStr">
        <is>
          <t>NFV  :TENDA ATACADO LTDA</t>
        </is>
      </c>
      <c r="G1926" s="38" t="inlineStr">
        <is>
          <t>MARIO FRUGIS (01.04.01)</t>
        </is>
      </c>
      <c r="H1926" s="38" t="inlineStr">
        <is>
          <t>NFV</t>
        </is>
      </c>
      <c r="I1926" s="40" t="n">
        <v>156.32</v>
      </c>
      <c r="J1926" s="40" t="n">
        <v>0</v>
      </c>
      <c r="K1926" s="6">
        <f>I1926-J1926</f>
        <v/>
      </c>
      <c r="L1926" s="6">
        <f>IF(H1926="DISTRATO",0,I1926)</f>
        <v/>
      </c>
    </row>
    <row r="1927">
      <c r="A1927" s="38" t="inlineStr">
        <is>
          <t>Conta corrente FRUGIS5.XLS</t>
        </is>
      </c>
      <c r="B1927" s="39" t="n">
        <v>41169</v>
      </c>
      <c r="C1927" s="4" t="n">
        <v>41153</v>
      </c>
      <c r="D1927" s="5">
        <f>YEAR(C1927)</f>
        <v/>
      </c>
      <c r="E1927" s="5">
        <f>MONTH(C1927)</f>
        <v/>
      </c>
      <c r="F1927" s="38" t="inlineStr">
        <is>
          <t>NFV  :TENDA ATACADO LTDA</t>
        </is>
      </c>
      <c r="G1927" s="38" t="inlineStr">
        <is>
          <t>MARIO FRUGIS (01.04.01)</t>
        </is>
      </c>
      <c r="H1927" s="38" t="inlineStr">
        <is>
          <t>NFV</t>
        </is>
      </c>
      <c r="I1927" s="40" t="n">
        <v>91.04000000000001</v>
      </c>
      <c r="J1927" s="40" t="n">
        <v>0</v>
      </c>
      <c r="K1927" s="6">
        <f>I1927-J1927</f>
        <v/>
      </c>
      <c r="L1927" s="6">
        <f>IF(H1927="DISTRATO",0,I1927)</f>
        <v/>
      </c>
    </row>
    <row r="1928">
      <c r="A1928" s="38" t="inlineStr">
        <is>
          <t>Conta corrente FRUGIS5.XLS</t>
        </is>
      </c>
      <c r="B1928" s="39" t="n">
        <v>41169</v>
      </c>
      <c r="C1928" s="4" t="n">
        <v>41153</v>
      </c>
      <c r="D1928" s="5">
        <f>YEAR(C1928)</f>
        <v/>
      </c>
      <c r="E1928" s="5">
        <f>MONTH(C1928)</f>
        <v/>
      </c>
      <c r="F1928" s="38" t="inlineStr">
        <is>
          <t>NFV  :TENDA ATACADO LTDA</t>
        </is>
      </c>
      <c r="G1928" s="38" t="inlineStr">
        <is>
          <t>MARIO FRUGIS (01.04.01)</t>
        </is>
      </c>
      <c r="H1928" s="38" t="inlineStr">
        <is>
          <t>NFV</t>
        </is>
      </c>
      <c r="I1928" s="40" t="n">
        <v>67.48999999999999</v>
      </c>
      <c r="J1928" s="40" t="n">
        <v>0</v>
      </c>
      <c r="K1928" s="6">
        <f>I1928-J1928</f>
        <v/>
      </c>
      <c r="L1928" s="6">
        <f>IF(H1928="DISTRATO",0,I1928)</f>
        <v/>
      </c>
    </row>
    <row r="1929">
      <c r="A1929" s="38" t="inlineStr">
        <is>
          <t>Conta corrente FRUGIS5.XLS</t>
        </is>
      </c>
      <c r="B1929" s="39" t="n">
        <v>41169</v>
      </c>
      <c r="C1929" s="4" t="n">
        <v>41153</v>
      </c>
      <c r="D1929" s="5">
        <f>YEAR(C1929)</f>
        <v/>
      </c>
      <c r="E1929" s="5">
        <f>MONTH(C1929)</f>
        <v/>
      </c>
      <c r="F1929" s="38" t="inlineStr">
        <is>
          <t>NFV  :TENDA ATACADO LTDA</t>
        </is>
      </c>
      <c r="G1929" s="38" t="inlineStr">
        <is>
          <t>MARIO FRUGIS (01.04.01)</t>
        </is>
      </c>
      <c r="H1929" s="38" t="inlineStr">
        <is>
          <t>NFV</t>
        </is>
      </c>
      <c r="I1929" s="40" t="n">
        <v>164.24</v>
      </c>
      <c r="J1929" s="40" t="n">
        <v>0</v>
      </c>
      <c r="K1929" s="6">
        <f>I1929-J1929</f>
        <v/>
      </c>
      <c r="L1929" s="6">
        <f>IF(H1929="DISTRATO",0,I1929)</f>
        <v/>
      </c>
    </row>
    <row r="1930">
      <c r="A1930" s="38" t="inlineStr">
        <is>
          <t>Conta corrente FRUGIS5.XLS</t>
        </is>
      </c>
      <c r="B1930" s="39" t="n">
        <v>41169</v>
      </c>
      <c r="C1930" s="4" t="n">
        <v>41153</v>
      </c>
      <c r="D1930" s="5">
        <f>YEAR(C1930)</f>
        <v/>
      </c>
      <c r="E1930" s="5">
        <f>MONTH(C1930)</f>
        <v/>
      </c>
      <c r="F1930" s="38" t="inlineStr">
        <is>
          <t>NFV  :TENDA ATACADO LTDA</t>
        </is>
      </c>
      <c r="G1930" s="38" t="inlineStr">
        <is>
          <t>MARIO FRUGIS (01.04.01)</t>
        </is>
      </c>
      <c r="H1930" s="38" t="inlineStr">
        <is>
          <t>NFV</t>
        </is>
      </c>
      <c r="I1930" s="40" t="n">
        <v>151.54</v>
      </c>
      <c r="J1930" s="40" t="n">
        <v>0</v>
      </c>
      <c r="K1930" s="6">
        <f>I1930-J1930</f>
        <v/>
      </c>
      <c r="L1930" s="6">
        <f>IF(H1930="DISTRATO",0,I1930)</f>
        <v/>
      </c>
    </row>
    <row r="1931">
      <c r="A1931" s="38" t="inlineStr">
        <is>
          <t>Conta corrente FRUGIS5.XLS</t>
        </is>
      </c>
      <c r="B1931" s="39" t="n">
        <v>41181</v>
      </c>
      <c r="C1931" s="4" t="n">
        <v>41153</v>
      </c>
      <c r="D1931" s="5">
        <f>YEAR(C1931)</f>
        <v/>
      </c>
      <c r="E1931" s="5">
        <f>MONTH(C1931)</f>
        <v/>
      </c>
      <c r="F1931" s="38" t="inlineStr">
        <is>
          <t>BONIF:TENDA ATACADO LTDA</t>
        </is>
      </c>
      <c r="G1931" s="38" t="inlineStr">
        <is>
          <t>MARIO FRUGIS (01.04.01)</t>
        </is>
      </c>
      <c r="H1931" s="38" t="inlineStr">
        <is>
          <t>BONIFICACAO</t>
        </is>
      </c>
      <c r="I1931" s="40" t="n">
        <v>-11.92</v>
      </c>
      <c r="J1931" s="40" t="n">
        <v>0</v>
      </c>
      <c r="K1931" s="6">
        <f>I1931-J1931</f>
        <v/>
      </c>
      <c r="L1931" s="6">
        <f>IF(H1931="DISTRATO",0,I1931)</f>
        <v/>
      </c>
    </row>
    <row r="1932">
      <c r="A1932" s="38" t="inlineStr">
        <is>
          <t>Conta corrente FRUGIS5.XLS</t>
        </is>
      </c>
      <c r="B1932" s="39" t="n">
        <v>41181</v>
      </c>
      <c r="C1932" s="4" t="n">
        <v>41153</v>
      </c>
      <c r="D1932" s="5">
        <f>YEAR(C1932)</f>
        <v/>
      </c>
      <c r="E1932" s="5">
        <f>MONTH(C1932)</f>
        <v/>
      </c>
      <c r="F1932" s="38" t="inlineStr">
        <is>
          <t>BONIF:TENDA ATACADO LTDA</t>
        </is>
      </c>
      <c r="G1932" s="38" t="inlineStr">
        <is>
          <t>MARIO FRUGIS (01.04.01)</t>
        </is>
      </c>
      <c r="H1932" s="38" t="inlineStr">
        <is>
          <t>BONIFICACAO</t>
        </is>
      </c>
      <c r="I1932" s="40" t="n">
        <v>-8.07</v>
      </c>
      <c r="J1932" s="40" t="n">
        <v>0</v>
      </c>
      <c r="K1932" s="6">
        <f>I1932-J1932</f>
        <v/>
      </c>
      <c r="L1932" s="6">
        <f>IF(H1932="DISTRATO",0,I1932)</f>
        <v/>
      </c>
    </row>
    <row r="1933">
      <c r="A1933" s="38" t="inlineStr">
        <is>
          <t>Conta corrente FRUGIS5.XLS</t>
        </is>
      </c>
      <c r="B1933" s="39" t="n">
        <v>41181</v>
      </c>
      <c r="C1933" s="4" t="n">
        <v>41153</v>
      </c>
      <c r="D1933" s="5">
        <f>YEAR(C1933)</f>
        <v/>
      </c>
      <c r="E1933" s="5">
        <f>MONTH(C1933)</f>
        <v/>
      </c>
      <c r="F1933" s="38" t="inlineStr">
        <is>
          <t>BONIF:TENDA ATACADO LTDA</t>
        </is>
      </c>
      <c r="G1933" s="38" t="inlineStr">
        <is>
          <t>MARIO FRUGIS (01.04.01)</t>
        </is>
      </c>
      <c r="H1933" s="38" t="inlineStr">
        <is>
          <t>BONIFICACAO</t>
        </is>
      </c>
      <c r="I1933" s="40" t="n">
        <v>-3.66</v>
      </c>
      <c r="J1933" s="40" t="n">
        <v>0</v>
      </c>
      <c r="K1933" s="6">
        <f>I1933-J1933</f>
        <v/>
      </c>
      <c r="L1933" s="6">
        <f>IF(H1933="DISTRATO",0,I1933)</f>
        <v/>
      </c>
    </row>
    <row r="1934">
      <c r="A1934" s="38" t="inlineStr">
        <is>
          <t>Conta corrente FRUGIS5.XLS</t>
        </is>
      </c>
      <c r="B1934" s="39" t="n">
        <v>41181</v>
      </c>
      <c r="C1934" s="4" t="n">
        <v>41153</v>
      </c>
      <c r="D1934" s="5">
        <f>YEAR(C1934)</f>
        <v/>
      </c>
      <c r="E1934" s="5">
        <f>MONTH(C1934)</f>
        <v/>
      </c>
      <c r="F1934" s="38" t="inlineStr">
        <is>
          <t>BONIF:TENDA ATACADO LTDA</t>
        </is>
      </c>
      <c r="G1934" s="38" t="inlineStr">
        <is>
          <t>MARIO FRUGIS (01.04.01)</t>
        </is>
      </c>
      <c r="H1934" s="38" t="inlineStr">
        <is>
          <t>BONIFICACAO</t>
        </is>
      </c>
      <c r="I1934" s="40" t="n">
        <v>-4.68</v>
      </c>
      <c r="J1934" s="40" t="n">
        <v>0</v>
      </c>
      <c r="K1934" s="6">
        <f>I1934-J1934</f>
        <v/>
      </c>
      <c r="L1934" s="6">
        <f>IF(H1934="DISTRATO",0,I1934)</f>
        <v/>
      </c>
    </row>
    <row r="1935">
      <c r="A1935" s="38" t="inlineStr">
        <is>
          <t>Conta corrente FRUGIS5.XLS</t>
        </is>
      </c>
      <c r="B1935" s="39" t="n">
        <v>41181</v>
      </c>
      <c r="C1935" s="4" t="n">
        <v>41153</v>
      </c>
      <c r="D1935" s="5">
        <f>YEAR(C1935)</f>
        <v/>
      </c>
      <c r="E1935" s="5">
        <f>MONTH(C1935)</f>
        <v/>
      </c>
      <c r="F1935" s="38" t="inlineStr">
        <is>
          <t>BONIF:TENDA ATACADO LTDA</t>
        </is>
      </c>
      <c r="G1935" s="38" t="inlineStr">
        <is>
          <t>MARIO FRUGIS (01.04.01)</t>
        </is>
      </c>
      <c r="H1935" s="38" t="inlineStr">
        <is>
          <t>BONIFICACAO</t>
        </is>
      </c>
      <c r="I1935" s="40" t="n">
        <v>-5.43</v>
      </c>
      <c r="J1935" s="40" t="n">
        <v>0</v>
      </c>
      <c r="K1935" s="6">
        <f>I1935-J1935</f>
        <v/>
      </c>
      <c r="L1935" s="6">
        <f>IF(H1935="DISTRATO",0,I1935)</f>
        <v/>
      </c>
    </row>
    <row r="1936">
      <c r="A1936" s="38" t="inlineStr">
        <is>
          <t>Conta corrente FRUGIS5.XLS</t>
        </is>
      </c>
      <c r="B1936" s="39" t="n">
        <v>41181</v>
      </c>
      <c r="C1936" s="4" t="n">
        <v>41153</v>
      </c>
      <c r="D1936" s="5">
        <f>YEAR(C1936)</f>
        <v/>
      </c>
      <c r="E1936" s="5">
        <f>MONTH(C1936)</f>
        <v/>
      </c>
      <c r="F1936" s="38" t="inlineStr">
        <is>
          <t>BONIF:TENDA ATACADO LTDA</t>
        </is>
      </c>
      <c r="G1936" s="38" t="inlineStr">
        <is>
          <t>MARIO FRUGIS (01.04.01)</t>
        </is>
      </c>
      <c r="H1936" s="38" t="inlineStr">
        <is>
          <t>BONIFICACAO</t>
        </is>
      </c>
      <c r="I1936" s="40" t="n">
        <v>-3.66</v>
      </c>
      <c r="J1936" s="40" t="n">
        <v>0</v>
      </c>
      <c r="K1936" s="6">
        <f>I1936-J1936</f>
        <v/>
      </c>
      <c r="L1936" s="6">
        <f>IF(H1936="DISTRATO",0,I1936)</f>
        <v/>
      </c>
    </row>
    <row r="1937">
      <c r="A1937" s="38" t="inlineStr">
        <is>
          <t>Conta corrente FRUGIS5.XLS</t>
        </is>
      </c>
      <c r="B1937" s="39" t="n">
        <v>41181</v>
      </c>
      <c r="C1937" s="4" t="n">
        <v>41153</v>
      </c>
      <c r="D1937" s="5">
        <f>YEAR(C1937)</f>
        <v/>
      </c>
      <c r="E1937" s="5">
        <f>MONTH(C1937)</f>
        <v/>
      </c>
      <c r="F1937" s="38" t="inlineStr">
        <is>
          <t>BONIF:TENDA ATACADO LTDA</t>
        </is>
      </c>
      <c r="G1937" s="38" t="inlineStr">
        <is>
          <t>MARIO FRUGIS (01.04.01)</t>
        </is>
      </c>
      <c r="H1937" s="38" t="inlineStr">
        <is>
          <t>BONIFICACAO</t>
        </is>
      </c>
      <c r="I1937" s="40" t="n">
        <v>-5.43</v>
      </c>
      <c r="J1937" s="40" t="n">
        <v>0</v>
      </c>
      <c r="K1937" s="6">
        <f>I1937-J1937</f>
        <v/>
      </c>
      <c r="L1937" s="6">
        <f>IF(H1937="DISTRATO",0,I1937)</f>
        <v/>
      </c>
    </row>
    <row r="1938">
      <c r="A1938" s="38" t="inlineStr">
        <is>
          <t>Conta corrente FRUGIS5.XLS</t>
        </is>
      </c>
      <c r="B1938" s="39" t="n">
        <v>41181</v>
      </c>
      <c r="C1938" s="4" t="n">
        <v>41153</v>
      </c>
      <c r="D1938" s="5">
        <f>YEAR(C1938)</f>
        <v/>
      </c>
      <c r="E1938" s="5">
        <f>MONTH(C1938)</f>
        <v/>
      </c>
      <c r="F1938" s="38" t="inlineStr">
        <is>
          <t>BONIF:TENDA ATACADO LTDA</t>
        </is>
      </c>
      <c r="G1938" s="38" t="inlineStr">
        <is>
          <t>MARIO FRUGIS (01.04.01)</t>
        </is>
      </c>
      <c r="H1938" s="38" t="inlineStr">
        <is>
          <t>BONIFICACAO</t>
        </is>
      </c>
      <c r="I1938" s="40" t="n">
        <v>-6.75</v>
      </c>
      <c r="J1938" s="40" t="n">
        <v>0</v>
      </c>
      <c r="K1938" s="6">
        <f>I1938-J1938</f>
        <v/>
      </c>
      <c r="L1938" s="6">
        <f>IF(H1938="DISTRATO",0,I1938)</f>
        <v/>
      </c>
    </row>
    <row r="1939">
      <c r="A1939" s="38" t="inlineStr">
        <is>
          <t>Conta corrente FRUGIS5.XLS</t>
        </is>
      </c>
      <c r="B1939" s="39" t="n">
        <v>41181</v>
      </c>
      <c r="C1939" s="4" t="n">
        <v>41153</v>
      </c>
      <c r="D1939" s="5">
        <f>YEAR(C1939)</f>
        <v/>
      </c>
      <c r="E1939" s="5">
        <f>MONTH(C1939)</f>
        <v/>
      </c>
      <c r="F1939" s="38" t="inlineStr">
        <is>
          <t>BONIF:TENDA ATACADO LTDA</t>
        </is>
      </c>
      <c r="G1939" s="38" t="inlineStr">
        <is>
          <t>MARIO FRUGIS (01.04.01)</t>
        </is>
      </c>
      <c r="H1939" s="38" t="inlineStr">
        <is>
          <t>BONIFICACAO</t>
        </is>
      </c>
      <c r="I1939" s="40" t="n">
        <v>-7.77</v>
      </c>
      <c r="J1939" s="40" t="n">
        <v>0</v>
      </c>
      <c r="K1939" s="6">
        <f>I1939-J1939</f>
        <v/>
      </c>
      <c r="L1939" s="6">
        <f>IF(H1939="DISTRATO",0,I1939)</f>
        <v/>
      </c>
    </row>
    <row r="1940">
      <c r="A1940" s="38" t="inlineStr">
        <is>
          <t>Conta corrente FRUGIS5.XLS</t>
        </is>
      </c>
      <c r="B1940" s="39" t="n">
        <v>41181</v>
      </c>
      <c r="C1940" s="4" t="n">
        <v>41153</v>
      </c>
      <c r="D1940" s="5">
        <f>YEAR(C1940)</f>
        <v/>
      </c>
      <c r="E1940" s="5">
        <f>MONTH(C1940)</f>
        <v/>
      </c>
      <c r="F1940" s="38" t="inlineStr">
        <is>
          <t>BONIF:TENDA ATACADO LTDA</t>
        </is>
      </c>
      <c r="G1940" s="38" t="inlineStr">
        <is>
          <t>MARIO FRUGIS (01.04.01)</t>
        </is>
      </c>
      <c r="H1940" s="38" t="inlineStr">
        <is>
          <t>BONIFICACAO</t>
        </is>
      </c>
      <c r="I1940" s="40" t="n">
        <v>-5.73</v>
      </c>
      <c r="J1940" s="40" t="n">
        <v>0</v>
      </c>
      <c r="K1940" s="6">
        <f>I1940-J1940</f>
        <v/>
      </c>
      <c r="L1940" s="6">
        <f>IF(H1940="DISTRATO",0,I1940)</f>
        <v/>
      </c>
    </row>
    <row r="1941">
      <c r="A1941" s="38" t="inlineStr">
        <is>
          <t>Conta corrente FRUGIS5.XLS</t>
        </is>
      </c>
      <c r="B1941" s="39" t="n">
        <v>41181</v>
      </c>
      <c r="C1941" s="4" t="n">
        <v>41153</v>
      </c>
      <c r="D1941" s="5">
        <f>YEAR(C1941)</f>
        <v/>
      </c>
      <c r="E1941" s="5">
        <f>MONTH(C1941)</f>
        <v/>
      </c>
      <c r="F1941" s="38" t="inlineStr">
        <is>
          <t>BONIF:TENDA ATACADO LTDA</t>
        </is>
      </c>
      <c r="G1941" s="38" t="inlineStr">
        <is>
          <t>MARIO FRUGIS (01.04.01)</t>
        </is>
      </c>
      <c r="H1941" s="38" t="inlineStr">
        <is>
          <t>BONIFICACAO</t>
        </is>
      </c>
      <c r="I1941" s="40" t="n">
        <v>-3.66</v>
      </c>
      <c r="J1941" s="40" t="n">
        <v>0</v>
      </c>
      <c r="K1941" s="6">
        <f>I1941-J1941</f>
        <v/>
      </c>
      <c r="L1941" s="6">
        <f>IF(H1941="DISTRATO",0,I1941)</f>
        <v/>
      </c>
    </row>
    <row r="1942">
      <c r="A1942" s="38" t="inlineStr">
        <is>
          <t>Conta corrente FRUGIS5.XLS</t>
        </is>
      </c>
      <c r="B1942" s="39" t="n">
        <v>41181</v>
      </c>
      <c r="C1942" s="4" t="n">
        <v>41153</v>
      </c>
      <c r="D1942" s="5">
        <f>YEAR(C1942)</f>
        <v/>
      </c>
      <c r="E1942" s="5">
        <f>MONTH(C1942)</f>
        <v/>
      </c>
      <c r="F1942" s="38" t="inlineStr">
        <is>
          <t>BONIF:TENDA ATACADO LTDA</t>
        </is>
      </c>
      <c r="G1942" s="38" t="inlineStr">
        <is>
          <t>MARIO FRUGIS (01.04.01)</t>
        </is>
      </c>
      <c r="H1942" s="38" t="inlineStr">
        <is>
          <t>BONIFICACAO</t>
        </is>
      </c>
      <c r="I1942" s="40" t="n">
        <v>-4.98</v>
      </c>
      <c r="J1942" s="40" t="n">
        <v>0</v>
      </c>
      <c r="K1942" s="6">
        <f>I1942-J1942</f>
        <v/>
      </c>
      <c r="L1942" s="6">
        <f>IF(H1942="DISTRATO",0,I1942)</f>
        <v/>
      </c>
    </row>
    <row r="1943">
      <c r="A1943" s="38" t="inlineStr">
        <is>
          <t>Conta corrente FRUGIS5.XLS</t>
        </is>
      </c>
      <c r="B1943" s="39" t="n">
        <v>41181</v>
      </c>
      <c r="C1943" s="4" t="n">
        <v>41153</v>
      </c>
      <c r="D1943" s="5">
        <f>YEAR(C1943)</f>
        <v/>
      </c>
      <c r="E1943" s="5">
        <f>MONTH(C1943)</f>
        <v/>
      </c>
      <c r="F1943" s="38" t="inlineStr">
        <is>
          <t>BONIF:TENDA ATACADO LTDA</t>
        </is>
      </c>
      <c r="G1943" s="38" t="inlineStr">
        <is>
          <t>MARIO FRUGIS (01.04.01)</t>
        </is>
      </c>
      <c r="H1943" s="38" t="inlineStr">
        <is>
          <t>BONIFICACAO</t>
        </is>
      </c>
      <c r="I1943" s="40" t="n">
        <v>-2.34</v>
      </c>
      <c r="J1943" s="40" t="n">
        <v>0</v>
      </c>
      <c r="K1943" s="6">
        <f>I1943-J1943</f>
        <v/>
      </c>
      <c r="L1943" s="6">
        <f>IF(H1943="DISTRATO",0,I1943)</f>
        <v/>
      </c>
    </row>
    <row r="1944">
      <c r="A1944" s="38" t="inlineStr">
        <is>
          <t>Conta corrente FRUGIS5.XLS</t>
        </is>
      </c>
      <c r="B1944" s="39" t="n">
        <v>41181</v>
      </c>
      <c r="C1944" s="4" t="n">
        <v>41153</v>
      </c>
      <c r="D1944" s="5">
        <f>YEAR(C1944)</f>
        <v/>
      </c>
      <c r="E1944" s="5">
        <f>MONTH(C1944)</f>
        <v/>
      </c>
      <c r="F1944" s="38" t="inlineStr">
        <is>
          <t>BONIF:TENDA ATACADO LTDA</t>
        </is>
      </c>
      <c r="G1944" s="38" t="inlineStr">
        <is>
          <t>MARIO FRUGIS (01.04.01)</t>
        </is>
      </c>
      <c r="H1944" s="38" t="inlineStr">
        <is>
          <t>BONIFICACAO</t>
        </is>
      </c>
      <c r="I1944" s="40" t="n">
        <v>-4.98</v>
      </c>
      <c r="J1944" s="40" t="n">
        <v>0</v>
      </c>
      <c r="K1944" s="6">
        <f>I1944-J1944</f>
        <v/>
      </c>
      <c r="L1944" s="6">
        <f>IF(H1944="DISTRATO",0,I1944)</f>
        <v/>
      </c>
    </row>
    <row r="1945">
      <c r="A1945" s="38" t="inlineStr">
        <is>
          <t>Conta corrente FRUGIS5.XLS</t>
        </is>
      </c>
      <c r="B1945" s="39" t="n">
        <v>41181</v>
      </c>
      <c r="C1945" s="4" t="n">
        <v>41153</v>
      </c>
      <c r="D1945" s="5">
        <f>YEAR(C1945)</f>
        <v/>
      </c>
      <c r="E1945" s="5">
        <f>MONTH(C1945)</f>
        <v/>
      </c>
      <c r="F1945" s="38" t="inlineStr">
        <is>
          <t>BONIF:TENDA ATACADO LTDA</t>
        </is>
      </c>
      <c r="G1945" s="38" t="inlineStr">
        <is>
          <t>MARIO FRUGIS (01.04.01)</t>
        </is>
      </c>
      <c r="H1945" s="38" t="inlineStr">
        <is>
          <t>BONIFICACAO</t>
        </is>
      </c>
      <c r="I1945" s="40" t="n">
        <v>-7.51</v>
      </c>
      <c r="J1945" s="40" t="n">
        <v>0</v>
      </c>
      <c r="K1945" s="6">
        <f>I1945-J1945</f>
        <v/>
      </c>
      <c r="L1945" s="6">
        <f>IF(H1945="DISTRATO",0,I1945)</f>
        <v/>
      </c>
    </row>
    <row r="1946">
      <c r="A1946" s="38" t="inlineStr">
        <is>
          <t>Conta corrente FRUGIS5.XLS</t>
        </is>
      </c>
      <c r="B1946" s="39" t="n">
        <v>41181</v>
      </c>
      <c r="C1946" s="4" t="n">
        <v>41153</v>
      </c>
      <c r="D1946" s="5">
        <f>YEAR(C1946)</f>
        <v/>
      </c>
      <c r="E1946" s="5">
        <f>MONTH(C1946)</f>
        <v/>
      </c>
      <c r="F1946" s="38" t="inlineStr">
        <is>
          <t>NFV  :TENDA ATACADO LTDA</t>
        </is>
      </c>
      <c r="G1946" s="38" t="inlineStr">
        <is>
          <t>MARIO FRUGIS (01.04.01)</t>
        </is>
      </c>
      <c r="H1946" s="38" t="inlineStr">
        <is>
          <t>NFV</t>
        </is>
      </c>
      <c r="I1946" s="40" t="n">
        <v>79.70999999999999</v>
      </c>
      <c r="J1946" s="40" t="n">
        <v>0</v>
      </c>
      <c r="K1946" s="6">
        <f>I1946-J1946</f>
        <v/>
      </c>
      <c r="L1946" s="6">
        <f>IF(H1946="DISTRATO",0,I1946)</f>
        <v/>
      </c>
    </row>
    <row r="1947">
      <c r="A1947" s="38" t="inlineStr">
        <is>
          <t>Conta corrente FRUGIS5.XLS</t>
        </is>
      </c>
      <c r="B1947" s="39" t="n">
        <v>41181</v>
      </c>
      <c r="C1947" s="4" t="n">
        <v>41153</v>
      </c>
      <c r="D1947" s="5">
        <f>YEAR(C1947)</f>
        <v/>
      </c>
      <c r="E1947" s="5">
        <f>MONTH(C1947)</f>
        <v/>
      </c>
      <c r="F1947" s="38" t="inlineStr">
        <is>
          <t>NFV  :TENDA ATACADO LTDA</t>
        </is>
      </c>
      <c r="G1947" s="38" t="inlineStr">
        <is>
          <t>MARIO FRUGIS (01.04.01)</t>
        </is>
      </c>
      <c r="H1947" s="38" t="inlineStr">
        <is>
          <t>NFV</t>
        </is>
      </c>
      <c r="I1947" s="40" t="n">
        <v>59.91</v>
      </c>
      <c r="J1947" s="40" t="n">
        <v>0</v>
      </c>
      <c r="K1947" s="6">
        <f>I1947-J1947</f>
        <v/>
      </c>
      <c r="L1947" s="6">
        <f>IF(H1947="DISTRATO",0,I1947)</f>
        <v/>
      </c>
    </row>
    <row r="1948">
      <c r="A1948" s="38" t="inlineStr">
        <is>
          <t>Conta corrente FRUGIS5.XLS</t>
        </is>
      </c>
      <c r="B1948" s="39" t="n">
        <v>41181</v>
      </c>
      <c r="C1948" s="4" t="n">
        <v>41153</v>
      </c>
      <c r="D1948" s="5">
        <f>YEAR(C1948)</f>
        <v/>
      </c>
      <c r="E1948" s="5">
        <f>MONTH(C1948)</f>
        <v/>
      </c>
      <c r="F1948" s="38" t="inlineStr">
        <is>
          <t>NFV  :TENDA ATACADO LTDA</t>
        </is>
      </c>
      <c r="G1948" s="38" t="inlineStr">
        <is>
          <t>MARIO FRUGIS (01.04.01)</t>
        </is>
      </c>
      <c r="H1948" s="38" t="inlineStr">
        <is>
          <t>NFV</t>
        </is>
      </c>
      <c r="I1948" s="40" t="n">
        <v>55.7</v>
      </c>
      <c r="J1948" s="40" t="n">
        <v>0</v>
      </c>
      <c r="K1948" s="6">
        <f>I1948-J1948</f>
        <v/>
      </c>
      <c r="L1948" s="6">
        <f>IF(H1948="DISTRATO",0,I1948)</f>
        <v/>
      </c>
    </row>
    <row r="1949">
      <c r="A1949" s="38" t="inlineStr">
        <is>
          <t>Conta corrente FRUGIS5.XLS</t>
        </is>
      </c>
      <c r="B1949" s="39" t="n">
        <v>41181</v>
      </c>
      <c r="C1949" s="4" t="n">
        <v>41153</v>
      </c>
      <c r="D1949" s="5">
        <f>YEAR(C1949)</f>
        <v/>
      </c>
      <c r="E1949" s="5">
        <f>MONTH(C1949)</f>
        <v/>
      </c>
      <c r="F1949" s="38" t="inlineStr">
        <is>
          <t>NFV  :TENDA ATACADO LTDA</t>
        </is>
      </c>
      <c r="G1949" s="38" t="inlineStr">
        <is>
          <t>MARIO FRUGIS (01.04.01)</t>
        </is>
      </c>
      <c r="H1949" s="38" t="inlineStr">
        <is>
          <t>NFV</t>
        </is>
      </c>
      <c r="I1949" s="40" t="n">
        <v>94.62</v>
      </c>
      <c r="J1949" s="40" t="n">
        <v>0</v>
      </c>
      <c r="K1949" s="6">
        <f>I1949-J1949</f>
        <v/>
      </c>
      <c r="L1949" s="6">
        <f>IF(H1949="DISTRATO",0,I1949)</f>
        <v/>
      </c>
    </row>
    <row r="1950">
      <c r="A1950" s="38" t="inlineStr">
        <is>
          <t>Conta corrente FRUGIS5.XLS</t>
        </is>
      </c>
      <c r="B1950" s="39" t="n">
        <v>41181</v>
      </c>
      <c r="C1950" s="4" t="n">
        <v>41153</v>
      </c>
      <c r="D1950" s="5">
        <f>YEAR(C1950)</f>
        <v/>
      </c>
      <c r="E1950" s="5">
        <f>MONTH(C1950)</f>
        <v/>
      </c>
      <c r="F1950" s="38" t="inlineStr">
        <is>
          <t>NFV  :TENDA ATACADO LTDA</t>
        </is>
      </c>
      <c r="G1950" s="38" t="inlineStr">
        <is>
          <t>MARIO FRUGIS (01.04.01)</t>
        </is>
      </c>
      <c r="H1950" s="38" t="inlineStr">
        <is>
          <t>NFV</t>
        </is>
      </c>
      <c r="I1950" s="40" t="n">
        <v>11.13</v>
      </c>
      <c r="J1950" s="40" t="n">
        <v>0</v>
      </c>
      <c r="K1950" s="6">
        <f>I1950-J1950</f>
        <v/>
      </c>
      <c r="L1950" s="6">
        <f>IF(H1950="DISTRATO",0,I1950)</f>
        <v/>
      </c>
    </row>
    <row r="1951">
      <c r="A1951" s="38" t="inlineStr">
        <is>
          <t>Conta corrente FRUGIS5.XLS</t>
        </is>
      </c>
      <c r="B1951" s="39" t="n">
        <v>41181</v>
      </c>
      <c r="C1951" s="4" t="n">
        <v>41153</v>
      </c>
      <c r="D1951" s="5">
        <f>YEAR(C1951)</f>
        <v/>
      </c>
      <c r="E1951" s="5">
        <f>MONTH(C1951)</f>
        <v/>
      </c>
      <c r="F1951" s="38" t="inlineStr">
        <is>
          <t>NFV  :TENDA ATACADO LTDA</t>
        </is>
      </c>
      <c r="G1951" s="38" t="inlineStr">
        <is>
          <t>MARIO FRUGIS (01.04.01)</t>
        </is>
      </c>
      <c r="H1951" s="38" t="inlineStr">
        <is>
          <t>NFV</t>
        </is>
      </c>
      <c r="I1951" s="40" t="n">
        <v>62.3</v>
      </c>
      <c r="J1951" s="40" t="n">
        <v>0</v>
      </c>
      <c r="K1951" s="6">
        <f>I1951-J1951</f>
        <v/>
      </c>
      <c r="L1951" s="6">
        <f>IF(H1951="DISTRATO",0,I1951)</f>
        <v/>
      </c>
    </row>
    <row r="1952">
      <c r="A1952" s="38" t="inlineStr">
        <is>
          <t>Conta corrente FRUGIS5.XLS</t>
        </is>
      </c>
      <c r="B1952" s="39" t="n">
        <v>41181</v>
      </c>
      <c r="C1952" s="4" t="n">
        <v>41153</v>
      </c>
      <c r="D1952" s="5">
        <f>YEAR(C1952)</f>
        <v/>
      </c>
      <c r="E1952" s="5">
        <f>MONTH(C1952)</f>
        <v/>
      </c>
      <c r="F1952" s="38" t="inlineStr">
        <is>
          <t>NFV  :TENDA ATACADO LTDA</t>
        </is>
      </c>
      <c r="G1952" s="38" t="inlineStr">
        <is>
          <t>MARIO FRUGIS (01.04.01)</t>
        </is>
      </c>
      <c r="H1952" s="38" t="inlineStr">
        <is>
          <t>NFV</t>
        </is>
      </c>
      <c r="I1952" s="40" t="n">
        <v>36.28</v>
      </c>
      <c r="J1952" s="40" t="n">
        <v>0</v>
      </c>
      <c r="K1952" s="6">
        <f>I1952-J1952</f>
        <v/>
      </c>
      <c r="L1952" s="6">
        <f>IF(H1952="DISTRATO",0,I1952)</f>
        <v/>
      </c>
    </row>
    <row r="1953">
      <c r="A1953" s="38" t="inlineStr">
        <is>
          <t>Conta corrente FRUGIS5.XLS</t>
        </is>
      </c>
      <c r="B1953" s="39" t="n">
        <v>41181</v>
      </c>
      <c r="C1953" s="4" t="n">
        <v>41153</v>
      </c>
      <c r="D1953" s="5">
        <f>YEAR(C1953)</f>
        <v/>
      </c>
      <c r="E1953" s="5">
        <f>MONTH(C1953)</f>
        <v/>
      </c>
      <c r="F1953" s="38" t="inlineStr">
        <is>
          <t>NFV  :TENDA ATACADO LTDA</t>
        </is>
      </c>
      <c r="G1953" s="38" t="inlineStr">
        <is>
          <t>MARIO FRUGIS (01.04.01)</t>
        </is>
      </c>
      <c r="H1953" s="38" t="inlineStr">
        <is>
          <t>NFV</t>
        </is>
      </c>
      <c r="I1953" s="40" t="n">
        <v>69.04000000000001</v>
      </c>
      <c r="J1953" s="40" t="n">
        <v>0</v>
      </c>
      <c r="K1953" s="6">
        <f>I1953-J1953</f>
        <v/>
      </c>
      <c r="L1953" s="6">
        <f>IF(H1953="DISTRATO",0,I1953)</f>
        <v/>
      </c>
    </row>
    <row r="1954">
      <c r="A1954" s="38" t="inlineStr">
        <is>
          <t>Conta corrente FRUGIS5.XLS</t>
        </is>
      </c>
      <c r="B1954" s="39" t="n">
        <v>41181</v>
      </c>
      <c r="C1954" s="4" t="n">
        <v>41153</v>
      </c>
      <c r="D1954" s="5">
        <f>YEAR(C1954)</f>
        <v/>
      </c>
      <c r="E1954" s="5">
        <f>MONTH(C1954)</f>
        <v/>
      </c>
      <c r="F1954" s="38" t="inlineStr">
        <is>
          <t>NFV  :TENDA ATACADO LTDA</t>
        </is>
      </c>
      <c r="G1954" s="38" t="inlineStr">
        <is>
          <t>MARIO FRUGIS (01.04.01)</t>
        </is>
      </c>
      <c r="H1954" s="38" t="inlineStr">
        <is>
          <t>NFV</t>
        </is>
      </c>
      <c r="I1954" s="40" t="n">
        <v>52.97</v>
      </c>
      <c r="J1954" s="40" t="n">
        <v>0</v>
      </c>
      <c r="K1954" s="6">
        <f>I1954-J1954</f>
        <v/>
      </c>
      <c r="L1954" s="6">
        <f>IF(H1954="DISTRATO",0,I1954)</f>
        <v/>
      </c>
    </row>
    <row r="1955">
      <c r="A1955" s="38" t="inlineStr">
        <is>
          <t>Conta corrente FRUGIS5.XLS</t>
        </is>
      </c>
      <c r="B1955" s="39" t="n">
        <v>41181</v>
      </c>
      <c r="C1955" s="4" t="n">
        <v>41153</v>
      </c>
      <c r="D1955" s="5">
        <f>YEAR(C1955)</f>
        <v/>
      </c>
      <c r="E1955" s="5">
        <f>MONTH(C1955)</f>
        <v/>
      </c>
      <c r="F1955" s="38" t="inlineStr">
        <is>
          <t>NFV  :TENDA ATACADO LTDA</t>
        </is>
      </c>
      <c r="G1955" s="38" t="inlineStr">
        <is>
          <t>MARIO FRUGIS (01.04.01)</t>
        </is>
      </c>
      <c r="H1955" s="38" t="inlineStr">
        <is>
          <t>NFV</t>
        </is>
      </c>
      <c r="I1955" s="40" t="n">
        <v>35.76</v>
      </c>
      <c r="J1955" s="40" t="n">
        <v>0</v>
      </c>
      <c r="K1955" s="6">
        <f>I1955-J1955</f>
        <v/>
      </c>
      <c r="L1955" s="6">
        <f>IF(H1955="DISTRATO",0,I1955)</f>
        <v/>
      </c>
    </row>
    <row r="1956">
      <c r="A1956" s="38" t="inlineStr">
        <is>
          <t>Conta corrente FRUGIS5.XLS</t>
        </is>
      </c>
      <c r="B1956" s="39" t="n">
        <v>41181</v>
      </c>
      <c r="C1956" s="4" t="n">
        <v>41153</v>
      </c>
      <c r="D1956" s="5">
        <f>YEAR(C1956)</f>
        <v/>
      </c>
      <c r="E1956" s="5">
        <f>MONTH(C1956)</f>
        <v/>
      </c>
      <c r="F1956" s="38" t="inlineStr">
        <is>
          <t>NFV  :TENDA ATACADO LTDA</t>
        </is>
      </c>
      <c r="G1956" s="38" t="inlineStr">
        <is>
          <t>MARIO FRUGIS (01.04.01)</t>
        </is>
      </c>
      <c r="H1956" s="38" t="inlineStr">
        <is>
          <t>NFV</t>
        </is>
      </c>
      <c r="I1956" s="40" t="n">
        <v>50.52</v>
      </c>
      <c r="J1956" s="40" t="n">
        <v>0</v>
      </c>
      <c r="K1956" s="6">
        <f>I1956-J1956</f>
        <v/>
      </c>
      <c r="L1956" s="6">
        <f>IF(H1956="DISTRATO",0,I1956)</f>
        <v/>
      </c>
    </row>
    <row r="1957">
      <c r="A1957" s="38" t="inlineStr">
        <is>
          <t>Conta corrente FRUGIS5.XLS</t>
        </is>
      </c>
      <c r="B1957" s="39" t="n">
        <v>41181</v>
      </c>
      <c r="C1957" s="4" t="n">
        <v>41153</v>
      </c>
      <c r="D1957" s="5">
        <f>YEAR(C1957)</f>
        <v/>
      </c>
      <c r="E1957" s="5">
        <f>MONTH(C1957)</f>
        <v/>
      </c>
      <c r="F1957" s="38" t="inlineStr">
        <is>
          <t>NFV  :TENDA ATACADO LTDA</t>
        </is>
      </c>
      <c r="G1957" s="38" t="inlineStr">
        <is>
          <t>MARIO FRUGIS (01.04.01)</t>
        </is>
      </c>
      <c r="H1957" s="38" t="inlineStr">
        <is>
          <t>NFV</t>
        </is>
      </c>
      <c r="I1957" s="40" t="n">
        <v>45.86</v>
      </c>
      <c r="J1957" s="40" t="n">
        <v>0</v>
      </c>
      <c r="K1957" s="6">
        <f>I1957-J1957</f>
        <v/>
      </c>
      <c r="L1957" s="6">
        <f>IF(H1957="DISTRATO",0,I1957)</f>
        <v/>
      </c>
    </row>
    <row r="1958">
      <c r="A1958" s="38" t="inlineStr">
        <is>
          <t>Conta corrente FRUGIS5.XLS</t>
        </is>
      </c>
      <c r="B1958" s="39" t="n">
        <v>41181</v>
      </c>
      <c r="C1958" s="4" t="n">
        <v>41153</v>
      </c>
      <c r="D1958" s="5">
        <f>YEAR(C1958)</f>
        <v/>
      </c>
      <c r="E1958" s="5">
        <f>MONTH(C1958)</f>
        <v/>
      </c>
      <c r="F1958" s="38" t="inlineStr">
        <is>
          <t>NFV  :TENDA ATACADO LTDA</t>
        </is>
      </c>
      <c r="G1958" s="38" t="inlineStr">
        <is>
          <t>MARIO FRUGIS (01.04.01)</t>
        </is>
      </c>
      <c r="H1958" s="38" t="inlineStr">
        <is>
          <t>NFV</t>
        </is>
      </c>
      <c r="I1958" s="40" t="n">
        <v>55.29</v>
      </c>
      <c r="J1958" s="40" t="n">
        <v>0</v>
      </c>
      <c r="K1958" s="6">
        <f>I1958-J1958</f>
        <v/>
      </c>
      <c r="L1958" s="6">
        <f>IF(H1958="DISTRATO",0,I1958)</f>
        <v/>
      </c>
    </row>
    <row r="1959">
      <c r="A1959" s="38" t="inlineStr">
        <is>
          <t>Conta corrente FRUGIS5.XLS</t>
        </is>
      </c>
      <c r="B1959" s="39" t="n">
        <v>41181</v>
      </c>
      <c r="C1959" s="4" t="n">
        <v>41153</v>
      </c>
      <c r="D1959" s="5">
        <f>YEAR(C1959)</f>
        <v/>
      </c>
      <c r="E1959" s="5">
        <f>MONTH(C1959)</f>
        <v/>
      </c>
      <c r="F1959" s="38" t="inlineStr">
        <is>
          <t>NFV  :TENDA ATACADO LTDA</t>
        </is>
      </c>
      <c r="G1959" s="38" t="inlineStr">
        <is>
          <t>MARIO FRUGIS (01.04.01)</t>
        </is>
      </c>
      <c r="H1959" s="38" t="inlineStr">
        <is>
          <t>NFV</t>
        </is>
      </c>
      <c r="I1959" s="40" t="n">
        <v>33.25</v>
      </c>
      <c r="J1959" s="40" t="n">
        <v>0</v>
      </c>
      <c r="K1959" s="6">
        <f>I1959-J1959</f>
        <v/>
      </c>
      <c r="L1959" s="6">
        <f>IF(H1959="DISTRATO",0,I1959)</f>
        <v/>
      </c>
    </row>
    <row r="1960">
      <c r="A1960" s="38" t="inlineStr">
        <is>
          <t>Conta corrente FRUGIS5.XLS</t>
        </is>
      </c>
      <c r="B1960" s="39" t="n">
        <v>41181</v>
      </c>
      <c r="C1960" s="4" t="n">
        <v>41153</v>
      </c>
      <c r="D1960" s="5">
        <f>YEAR(C1960)</f>
        <v/>
      </c>
      <c r="E1960" s="5">
        <f>MONTH(C1960)</f>
        <v/>
      </c>
      <c r="F1960" s="38" t="inlineStr">
        <is>
          <t>NFV  :TENDA ATACADO LTDA</t>
        </is>
      </c>
      <c r="G1960" s="38" t="inlineStr">
        <is>
          <t>MARIO FRUGIS (01.04.01)</t>
        </is>
      </c>
      <c r="H1960" s="38" t="inlineStr">
        <is>
          <t>NFV</t>
        </is>
      </c>
      <c r="I1960" s="40" t="n">
        <v>51.15</v>
      </c>
      <c r="J1960" s="40" t="n">
        <v>0</v>
      </c>
      <c r="K1960" s="6">
        <f>I1960-J1960</f>
        <v/>
      </c>
      <c r="L1960" s="6">
        <f>IF(H1960="DISTRATO",0,I1960)</f>
        <v/>
      </c>
    </row>
    <row r="1961">
      <c r="A1961" s="38" t="inlineStr">
        <is>
          <t>Conta corrente FRUGIS5.XLS</t>
        </is>
      </c>
      <c r="B1961" s="39" t="n">
        <v>41181</v>
      </c>
      <c r="C1961" s="4" t="n">
        <v>41153</v>
      </c>
      <c r="D1961" s="5">
        <f>YEAR(C1961)</f>
        <v/>
      </c>
      <c r="E1961" s="5">
        <f>MONTH(C1961)</f>
        <v/>
      </c>
      <c r="F1961" s="38" t="inlineStr">
        <is>
          <t>NFV  :TENDA ATACADO LTDA</t>
        </is>
      </c>
      <c r="G1961" s="38" t="inlineStr">
        <is>
          <t>MARIO FRUGIS (01.04.01)</t>
        </is>
      </c>
      <c r="H1961" s="38" t="inlineStr">
        <is>
          <t>NFV</t>
        </is>
      </c>
      <c r="I1961" s="40" t="n">
        <v>51.25</v>
      </c>
      <c r="J1961" s="40" t="n">
        <v>0</v>
      </c>
      <c r="K1961" s="6">
        <f>I1961-J1961</f>
        <v/>
      </c>
      <c r="L1961" s="6">
        <f>IF(H1961="DISTRATO",0,I1961)</f>
        <v/>
      </c>
    </row>
    <row r="1962">
      <c r="A1962" s="38" t="inlineStr">
        <is>
          <t>Conta corrente FRUGIS5.XLS</t>
        </is>
      </c>
      <c r="B1962" s="39" t="n">
        <v>41181</v>
      </c>
      <c r="C1962" s="4" t="n">
        <v>41153</v>
      </c>
      <c r="D1962" s="5">
        <f>YEAR(C1962)</f>
        <v/>
      </c>
      <c r="E1962" s="5">
        <f>MONTH(C1962)</f>
        <v/>
      </c>
      <c r="F1962" s="38" t="inlineStr">
        <is>
          <t>NFV  :TENDA ATACADO LTDA</t>
        </is>
      </c>
      <c r="G1962" s="38" t="inlineStr">
        <is>
          <t>MARIO FRUGIS (01.04.01)</t>
        </is>
      </c>
      <c r="H1962" s="38" t="inlineStr">
        <is>
          <t>NFV</t>
        </is>
      </c>
      <c r="I1962" s="40" t="n">
        <v>47.56</v>
      </c>
      <c r="J1962" s="40" t="n">
        <v>0</v>
      </c>
      <c r="K1962" s="6">
        <f>I1962-J1962</f>
        <v/>
      </c>
      <c r="L1962" s="6">
        <f>IF(H1962="DISTRATO",0,I1962)</f>
        <v/>
      </c>
    </row>
    <row r="1963">
      <c r="A1963" s="38" t="inlineStr">
        <is>
          <t>Conta corrente FRUGIS5.XLS</t>
        </is>
      </c>
      <c r="B1963" s="39" t="n">
        <v>41181</v>
      </c>
      <c r="C1963" s="4" t="n">
        <v>41153</v>
      </c>
      <c r="D1963" s="5">
        <f>YEAR(C1963)</f>
        <v/>
      </c>
      <c r="E1963" s="5">
        <f>MONTH(C1963)</f>
        <v/>
      </c>
      <c r="F1963" s="38" t="inlineStr">
        <is>
          <t>NFV  :TENDA ATACADO LTDA</t>
        </is>
      </c>
      <c r="G1963" s="38" t="inlineStr">
        <is>
          <t>MARIO FRUGIS (01.04.01)</t>
        </is>
      </c>
      <c r="H1963" s="38" t="inlineStr">
        <is>
          <t>NFV</t>
        </is>
      </c>
      <c r="I1963" s="40" t="n">
        <v>52.88</v>
      </c>
      <c r="J1963" s="40" t="n">
        <v>0</v>
      </c>
      <c r="K1963" s="6">
        <f>I1963-J1963</f>
        <v/>
      </c>
      <c r="L1963" s="6">
        <f>IF(H1963="DISTRATO",0,I1963)</f>
        <v/>
      </c>
    </row>
    <row r="1964">
      <c r="A1964" s="38" t="inlineStr">
        <is>
          <t>Conta corrente FRUGIS5.XLS</t>
        </is>
      </c>
      <c r="B1964" s="39" t="n">
        <v>41181</v>
      </c>
      <c r="C1964" s="4" t="n">
        <v>41153</v>
      </c>
      <c r="D1964" s="5">
        <f>YEAR(C1964)</f>
        <v/>
      </c>
      <c r="E1964" s="5">
        <f>MONTH(C1964)</f>
        <v/>
      </c>
      <c r="F1964" s="38" t="inlineStr">
        <is>
          <t>NFV  :TENDA ATACADO LTDA</t>
        </is>
      </c>
      <c r="G1964" s="38" t="inlineStr">
        <is>
          <t>MARIO FRUGIS (01.04.01)</t>
        </is>
      </c>
      <c r="H1964" s="38" t="inlineStr">
        <is>
          <t>NFV</t>
        </is>
      </c>
      <c r="I1964" s="40" t="n">
        <v>35.26</v>
      </c>
      <c r="J1964" s="40" t="n">
        <v>0</v>
      </c>
      <c r="K1964" s="6">
        <f>I1964-J1964</f>
        <v/>
      </c>
      <c r="L1964" s="6">
        <f>IF(H1964="DISTRATO",0,I1964)</f>
        <v/>
      </c>
    </row>
    <row r="1965">
      <c r="A1965" s="38" t="inlineStr">
        <is>
          <t>Conta corrente FRUGIS5.XLS</t>
        </is>
      </c>
      <c r="B1965" s="39" t="n">
        <v>41181</v>
      </c>
      <c r="C1965" s="4" t="n">
        <v>41153</v>
      </c>
      <c r="D1965" s="5">
        <f>YEAR(C1965)</f>
        <v/>
      </c>
      <c r="E1965" s="5">
        <f>MONTH(C1965)</f>
        <v/>
      </c>
      <c r="F1965" s="38" t="inlineStr">
        <is>
          <t>NFV  :TENDA ATACADO LTDA</t>
        </is>
      </c>
      <c r="G1965" s="38" t="inlineStr">
        <is>
          <t>MARIO FRUGIS (01.04.01)</t>
        </is>
      </c>
      <c r="H1965" s="38" t="inlineStr">
        <is>
          <t>NFV</t>
        </is>
      </c>
      <c r="I1965" s="40" t="n">
        <v>73.83</v>
      </c>
      <c r="J1965" s="40" t="n">
        <v>0</v>
      </c>
      <c r="K1965" s="6">
        <f>I1965-J1965</f>
        <v/>
      </c>
      <c r="L1965" s="6">
        <f>IF(H1965="DISTRATO",0,I1965)</f>
        <v/>
      </c>
    </row>
    <row r="1966">
      <c r="A1966" s="38" t="inlineStr">
        <is>
          <t>Conta corrente FRUGIS5.XLS</t>
        </is>
      </c>
      <c r="B1966" s="39" t="n">
        <v>41181</v>
      </c>
      <c r="C1966" s="4" t="n">
        <v>41153</v>
      </c>
      <c r="D1966" s="5">
        <f>YEAR(C1966)</f>
        <v/>
      </c>
      <c r="E1966" s="5">
        <f>MONTH(C1966)</f>
        <v/>
      </c>
      <c r="F1966" s="38" t="inlineStr">
        <is>
          <t>NFV  :TENDA ATACADO LTDA</t>
        </is>
      </c>
      <c r="G1966" s="38" t="inlineStr">
        <is>
          <t>MARIO FRUGIS (01.04.01)</t>
        </is>
      </c>
      <c r="H1966" s="38" t="inlineStr">
        <is>
          <t>NFV</t>
        </is>
      </c>
      <c r="I1966" s="40" t="n">
        <v>51.99</v>
      </c>
      <c r="J1966" s="40" t="n">
        <v>0</v>
      </c>
      <c r="K1966" s="6">
        <f>I1966-J1966</f>
        <v/>
      </c>
      <c r="L1966" s="6">
        <f>IF(H1966="DISTRATO",0,I1966)</f>
        <v/>
      </c>
    </row>
    <row r="1967">
      <c r="A1967" s="38" t="inlineStr">
        <is>
          <t>Conta corrente FRUGIS5.XLS</t>
        </is>
      </c>
      <c r="B1967" s="39" t="n">
        <v>41181</v>
      </c>
      <c r="C1967" s="4" t="n">
        <v>41153</v>
      </c>
      <c r="D1967" s="5">
        <f>YEAR(C1967)</f>
        <v/>
      </c>
      <c r="E1967" s="5">
        <f>MONTH(C1967)</f>
        <v/>
      </c>
      <c r="F1967" s="38" t="inlineStr">
        <is>
          <t>NFV  :TENDA ATACADO LTDA</t>
        </is>
      </c>
      <c r="G1967" s="38" t="inlineStr">
        <is>
          <t>MARIO FRUGIS (01.04.01)</t>
        </is>
      </c>
      <c r="H1967" s="38" t="inlineStr">
        <is>
          <t>NFV</t>
        </is>
      </c>
      <c r="I1967" s="40" t="n">
        <v>31.61</v>
      </c>
      <c r="J1967" s="40" t="n">
        <v>0</v>
      </c>
      <c r="K1967" s="6">
        <f>I1967-J1967</f>
        <v/>
      </c>
      <c r="L1967" s="6">
        <f>IF(H1967="DISTRATO",0,I1967)</f>
        <v/>
      </c>
    </row>
    <row r="1968">
      <c r="A1968" s="38" t="inlineStr">
        <is>
          <t>Conta corrente FRUGIS5.XLS</t>
        </is>
      </c>
      <c r="B1968" s="39" t="n">
        <v>41181</v>
      </c>
      <c r="C1968" s="4" t="n">
        <v>41153</v>
      </c>
      <c r="D1968" s="5">
        <f>YEAR(C1968)</f>
        <v/>
      </c>
      <c r="E1968" s="5">
        <f>MONTH(C1968)</f>
        <v/>
      </c>
      <c r="F1968" s="38" t="inlineStr">
        <is>
          <t>NFV  :TENDA ATACADO LTDA</t>
        </is>
      </c>
      <c r="G1968" s="38" t="inlineStr">
        <is>
          <t>MARIO FRUGIS (01.04.01)</t>
        </is>
      </c>
      <c r="H1968" s="38" t="inlineStr">
        <is>
          <t>NFV</t>
        </is>
      </c>
      <c r="I1968" s="40" t="n">
        <v>40.22</v>
      </c>
      <c r="J1968" s="40" t="n">
        <v>0</v>
      </c>
      <c r="K1968" s="6">
        <f>I1968-J1968</f>
        <v/>
      </c>
      <c r="L1968" s="6">
        <f>IF(H1968="DISTRATO",0,I1968)</f>
        <v/>
      </c>
    </row>
    <row r="1969">
      <c r="A1969" s="38" t="inlineStr">
        <is>
          <t>Conta corrente FRUGIS5.XLS</t>
        </is>
      </c>
      <c r="B1969" s="39" t="n">
        <v>41181</v>
      </c>
      <c r="C1969" s="4" t="n">
        <v>41153</v>
      </c>
      <c r="D1969" s="5">
        <f>YEAR(C1969)</f>
        <v/>
      </c>
      <c r="E1969" s="5">
        <f>MONTH(C1969)</f>
        <v/>
      </c>
      <c r="F1969" s="38" t="inlineStr">
        <is>
          <t>NFV  :TENDA ATACADO LTDA</t>
        </is>
      </c>
      <c r="G1969" s="38" t="inlineStr">
        <is>
          <t>MARIO FRUGIS (01.04.01)</t>
        </is>
      </c>
      <c r="H1969" s="38" t="inlineStr">
        <is>
          <t>NFV</t>
        </is>
      </c>
      <c r="I1969" s="40" t="n">
        <v>96.14</v>
      </c>
      <c r="J1969" s="40" t="n">
        <v>0</v>
      </c>
      <c r="K1969" s="6">
        <f>I1969-J1969</f>
        <v/>
      </c>
      <c r="L1969" s="6">
        <f>IF(H1969="DISTRATO",0,I1969)</f>
        <v/>
      </c>
    </row>
    <row r="1970">
      <c r="A1970" s="38" t="inlineStr">
        <is>
          <t>Conta corrente FRUGIS5.XLS</t>
        </is>
      </c>
      <c r="B1970" s="39" t="n">
        <v>41181</v>
      </c>
      <c r="C1970" s="4" t="n">
        <v>41153</v>
      </c>
      <c r="D1970" s="5">
        <f>YEAR(C1970)</f>
        <v/>
      </c>
      <c r="E1970" s="5">
        <f>MONTH(C1970)</f>
        <v/>
      </c>
      <c r="F1970" s="38" t="inlineStr">
        <is>
          <t>NFV  :TENDA ATACADO LTDA</t>
        </is>
      </c>
      <c r="G1970" s="38" t="inlineStr">
        <is>
          <t>MARIO FRUGIS (01.04.01)</t>
        </is>
      </c>
      <c r="H1970" s="38" t="inlineStr">
        <is>
          <t>NFV</t>
        </is>
      </c>
      <c r="I1970" s="40" t="n">
        <v>16.23</v>
      </c>
      <c r="J1970" s="40" t="n">
        <v>0</v>
      </c>
      <c r="K1970" s="6">
        <f>I1970-J1970</f>
        <v/>
      </c>
      <c r="L1970" s="6">
        <f>IF(H1970="DISTRATO",0,I1970)</f>
        <v/>
      </c>
    </row>
    <row r="1971">
      <c r="A1971" s="38" t="inlineStr">
        <is>
          <t>Conta corrente FRUGIS5.XLS</t>
        </is>
      </c>
      <c r="B1971" s="39" t="n">
        <v>41181</v>
      </c>
      <c r="C1971" s="4" t="n">
        <v>41153</v>
      </c>
      <c r="D1971" s="5">
        <f>YEAR(C1971)</f>
        <v/>
      </c>
      <c r="E1971" s="5">
        <f>MONTH(C1971)</f>
        <v/>
      </c>
      <c r="F1971" s="38" t="inlineStr">
        <is>
          <t>NFV  :TENDA ATACADO LTDA</t>
        </is>
      </c>
      <c r="G1971" s="38" t="inlineStr">
        <is>
          <t>MARIO FRUGIS (01.04.01)</t>
        </is>
      </c>
      <c r="H1971" s="38" t="inlineStr">
        <is>
          <t>NFV</t>
        </is>
      </c>
      <c r="I1971" s="40" t="n">
        <v>51.42</v>
      </c>
      <c r="J1971" s="40" t="n">
        <v>0</v>
      </c>
      <c r="K1971" s="6">
        <f>I1971-J1971</f>
        <v/>
      </c>
      <c r="L1971" s="6">
        <f>IF(H1971="DISTRATO",0,I1971)</f>
        <v/>
      </c>
    </row>
    <row r="1972">
      <c r="A1972" s="38" t="inlineStr">
        <is>
          <t>Conta corrente FRUGIS5.XLS</t>
        </is>
      </c>
      <c r="B1972" s="39" t="n">
        <v>41181</v>
      </c>
      <c r="C1972" s="4" t="n">
        <v>41153</v>
      </c>
      <c r="D1972" s="5">
        <f>YEAR(C1972)</f>
        <v/>
      </c>
      <c r="E1972" s="5">
        <f>MONTH(C1972)</f>
        <v/>
      </c>
      <c r="F1972" s="38" t="inlineStr">
        <is>
          <t>NFV  :TENDA ATACADO LTDA</t>
        </is>
      </c>
      <c r="G1972" s="38" t="inlineStr">
        <is>
          <t>MARIO FRUGIS (01.04.01)</t>
        </is>
      </c>
      <c r="H1972" s="38" t="inlineStr">
        <is>
          <t>NFV</t>
        </is>
      </c>
      <c r="I1972" s="40" t="n">
        <v>52.27</v>
      </c>
      <c r="J1972" s="40" t="n">
        <v>0</v>
      </c>
      <c r="K1972" s="6">
        <f>I1972-J1972</f>
        <v/>
      </c>
      <c r="L1972" s="6">
        <f>IF(H1972="DISTRATO",0,I1972)</f>
        <v/>
      </c>
    </row>
    <row r="1973">
      <c r="A1973" s="38" t="inlineStr">
        <is>
          <t>Conta corrente FRUGIS5.XLS</t>
        </is>
      </c>
      <c r="B1973" s="39" t="n">
        <v>41181</v>
      </c>
      <c r="C1973" s="4" t="n">
        <v>41153</v>
      </c>
      <c r="D1973" s="5">
        <f>YEAR(C1973)</f>
        <v/>
      </c>
      <c r="E1973" s="5">
        <f>MONTH(C1973)</f>
        <v/>
      </c>
      <c r="F1973" s="38" t="inlineStr">
        <is>
          <t>NFV  :TENDA ATACADO LTDA</t>
        </is>
      </c>
      <c r="G1973" s="38" t="inlineStr">
        <is>
          <t>MARIO FRUGIS (01.04.01)</t>
        </is>
      </c>
      <c r="H1973" s="38" t="inlineStr">
        <is>
          <t>NFV</t>
        </is>
      </c>
      <c r="I1973" s="40" t="n">
        <v>59.7</v>
      </c>
      <c r="J1973" s="40" t="n">
        <v>0</v>
      </c>
      <c r="K1973" s="6">
        <f>I1973-J1973</f>
        <v/>
      </c>
      <c r="L1973" s="6">
        <f>IF(H1973="DISTRATO",0,I1973)</f>
        <v/>
      </c>
    </row>
    <row r="1974">
      <c r="A1974" s="38" t="inlineStr">
        <is>
          <t>Conta corrente FRUGIS5.XLS</t>
        </is>
      </c>
      <c r="B1974" s="39" t="n">
        <v>41181</v>
      </c>
      <c r="C1974" s="4" t="n">
        <v>41153</v>
      </c>
      <c r="D1974" s="5">
        <f>YEAR(C1974)</f>
        <v/>
      </c>
      <c r="E1974" s="5">
        <f>MONTH(C1974)</f>
        <v/>
      </c>
      <c r="F1974" s="38" t="inlineStr">
        <is>
          <t>NFV  :TENDA ATACADO LTDA</t>
        </is>
      </c>
      <c r="G1974" s="38" t="inlineStr">
        <is>
          <t>MARIO FRUGIS (01.04.01)</t>
        </is>
      </c>
      <c r="H1974" s="38" t="inlineStr">
        <is>
          <t>NFV</t>
        </is>
      </c>
      <c r="I1974" s="40" t="n">
        <v>52.27</v>
      </c>
      <c r="J1974" s="40" t="n">
        <v>0</v>
      </c>
      <c r="K1974" s="6">
        <f>I1974-J1974</f>
        <v/>
      </c>
      <c r="L1974" s="6">
        <f>IF(H1974="DISTRATO",0,I1974)</f>
        <v/>
      </c>
    </row>
    <row r="1975">
      <c r="A1975" s="38" t="inlineStr">
        <is>
          <t>Conta corrente FRUGIS5.XLS</t>
        </is>
      </c>
      <c r="B1975" s="39" t="n">
        <v>41181</v>
      </c>
      <c r="C1975" s="4" t="n">
        <v>41153</v>
      </c>
      <c r="D1975" s="5">
        <f>YEAR(C1975)</f>
        <v/>
      </c>
      <c r="E1975" s="5">
        <f>MONTH(C1975)</f>
        <v/>
      </c>
      <c r="F1975" s="38" t="inlineStr">
        <is>
          <t>NFV  :TENDA ATACADO LTDA</t>
        </is>
      </c>
      <c r="G1975" s="38" t="inlineStr">
        <is>
          <t>MARIO FRUGIS (01.04.01)</t>
        </is>
      </c>
      <c r="H1975" s="38" t="inlineStr">
        <is>
          <t>NFV</t>
        </is>
      </c>
      <c r="I1975" s="40" t="n">
        <v>109.61</v>
      </c>
      <c r="J1975" s="40" t="n">
        <v>0</v>
      </c>
      <c r="K1975" s="6">
        <f>I1975-J1975</f>
        <v/>
      </c>
      <c r="L1975" s="6">
        <f>IF(H1975="DISTRATO",0,I1975)</f>
        <v/>
      </c>
    </row>
    <row r="1976">
      <c r="A1976" s="38" t="inlineStr">
        <is>
          <t>Conta corrente FRUGIS5.XLS</t>
        </is>
      </c>
      <c r="B1976" s="39" t="n">
        <v>41181</v>
      </c>
      <c r="C1976" s="4" t="n">
        <v>41153</v>
      </c>
      <c r="D1976" s="5">
        <f>YEAR(C1976)</f>
        <v/>
      </c>
      <c r="E1976" s="5">
        <f>MONTH(C1976)</f>
        <v/>
      </c>
      <c r="F1976" s="38" t="inlineStr">
        <is>
          <t>NFV  :TENDA ATACADO LTDA</t>
        </is>
      </c>
      <c r="G1976" s="38" t="inlineStr">
        <is>
          <t>MARIO FRUGIS (01.04.01)</t>
        </is>
      </c>
      <c r="H1976" s="38" t="inlineStr">
        <is>
          <t>NFV</t>
        </is>
      </c>
      <c r="I1976" s="40" t="n">
        <v>41.91</v>
      </c>
      <c r="J1976" s="40" t="n">
        <v>0</v>
      </c>
      <c r="K1976" s="6">
        <f>I1976-J1976</f>
        <v/>
      </c>
      <c r="L1976" s="6">
        <f>IF(H1976="DISTRATO",0,I1976)</f>
        <v/>
      </c>
    </row>
    <row r="1977">
      <c r="A1977" s="38" t="inlineStr">
        <is>
          <t>Conta corrente FRUGIS5.XLS</t>
        </is>
      </c>
      <c r="B1977" s="39" t="n">
        <v>41181</v>
      </c>
      <c r="C1977" s="4" t="n">
        <v>41153</v>
      </c>
      <c r="D1977" s="5">
        <f>YEAR(C1977)</f>
        <v/>
      </c>
      <c r="E1977" s="5">
        <f>MONTH(C1977)</f>
        <v/>
      </c>
      <c r="F1977" s="38" t="inlineStr">
        <is>
          <t>NFV  :TENDA ATACADO LTDA</t>
        </is>
      </c>
      <c r="G1977" s="38" t="inlineStr">
        <is>
          <t>MARIO FRUGIS (01.04.01)</t>
        </is>
      </c>
      <c r="H1977" s="38" t="inlineStr">
        <is>
          <t>NFV</t>
        </is>
      </c>
      <c r="I1977" s="40" t="n">
        <v>76</v>
      </c>
      <c r="J1977" s="40" t="n">
        <v>0</v>
      </c>
      <c r="K1977" s="6">
        <f>I1977-J1977</f>
        <v/>
      </c>
      <c r="L1977" s="6">
        <f>IF(H1977="DISTRATO",0,I1977)</f>
        <v/>
      </c>
    </row>
    <row r="1978">
      <c r="A1978" s="38" t="inlineStr">
        <is>
          <t>Conta corrente FRUGIS5.XLS</t>
        </is>
      </c>
      <c r="B1978" s="39" t="n">
        <v>41181</v>
      </c>
      <c r="C1978" s="4" t="n">
        <v>41153</v>
      </c>
      <c r="D1978" s="5">
        <f>YEAR(C1978)</f>
        <v/>
      </c>
      <c r="E1978" s="5">
        <f>MONTH(C1978)</f>
        <v/>
      </c>
      <c r="F1978" s="38" t="inlineStr">
        <is>
          <t>NFV  :TENDA ATACADO LTDA</t>
        </is>
      </c>
      <c r="G1978" s="38" t="inlineStr">
        <is>
          <t>MARIO FRUGIS (01.04.01)</t>
        </is>
      </c>
      <c r="H1978" s="38" t="inlineStr">
        <is>
          <t>NFV</t>
        </is>
      </c>
      <c r="I1978" s="40" t="n">
        <v>28.87</v>
      </c>
      <c r="J1978" s="40" t="n">
        <v>0</v>
      </c>
      <c r="K1978" s="6">
        <f>I1978-J1978</f>
        <v/>
      </c>
      <c r="L1978" s="6">
        <f>IF(H1978="DISTRATO",0,I1978)</f>
        <v/>
      </c>
    </row>
    <row r="1979">
      <c r="A1979" s="38" t="inlineStr">
        <is>
          <t>Conta corrente FRUGIS5.XLS</t>
        </is>
      </c>
      <c r="B1979" s="39" t="n">
        <v>41181</v>
      </c>
      <c r="C1979" s="4" t="n">
        <v>41153</v>
      </c>
      <c r="D1979" s="5">
        <f>YEAR(C1979)</f>
        <v/>
      </c>
      <c r="E1979" s="5">
        <f>MONTH(C1979)</f>
        <v/>
      </c>
      <c r="F1979" s="38" t="inlineStr">
        <is>
          <t>NFV  :TENDA ATACADO LTDA</t>
        </is>
      </c>
      <c r="G1979" s="38" t="inlineStr">
        <is>
          <t>MARIO FRUGIS (01.04.01)</t>
        </is>
      </c>
      <c r="H1979" s="38" t="inlineStr">
        <is>
          <t>NFV</t>
        </is>
      </c>
      <c r="I1979" s="40" t="n">
        <v>66.94</v>
      </c>
      <c r="J1979" s="40" t="n">
        <v>0</v>
      </c>
      <c r="K1979" s="6">
        <f>I1979-J1979</f>
        <v/>
      </c>
      <c r="L1979" s="6">
        <f>IF(H1979="DISTRATO",0,I1979)</f>
        <v/>
      </c>
    </row>
    <row r="1980">
      <c r="A1980" s="38" t="inlineStr">
        <is>
          <t>Conta corrente FRUGIS5.XLS</t>
        </is>
      </c>
      <c r="B1980" s="39" t="n">
        <v>41198</v>
      </c>
      <c r="C1980" s="4" t="n">
        <v>41183</v>
      </c>
      <c r="D1980" s="5">
        <f>YEAR(C1980)</f>
        <v/>
      </c>
      <c r="E1980" s="5">
        <f>MONTH(C1980)</f>
        <v/>
      </c>
      <c r="F1980" s="38" t="inlineStr">
        <is>
          <t>NFV  :TENDA ATACADO LTDA</t>
        </is>
      </c>
      <c r="G1980" s="38" t="inlineStr">
        <is>
          <t>MARIO FRUGIS (01.04.01)</t>
        </is>
      </c>
      <c r="H1980" s="38" t="inlineStr">
        <is>
          <t>NFV</t>
        </is>
      </c>
      <c r="I1980" s="40" t="n">
        <v>154</v>
      </c>
      <c r="J1980" s="40" t="n">
        <v>0</v>
      </c>
      <c r="K1980" s="6">
        <f>I1980-J1980</f>
        <v/>
      </c>
      <c r="L1980" s="6">
        <f>IF(H1980="DISTRATO",0,I1980)</f>
        <v/>
      </c>
    </row>
    <row r="1981">
      <c r="A1981" s="38" t="inlineStr">
        <is>
          <t>Conta corrente FRUGIS5.XLS</t>
        </is>
      </c>
      <c r="B1981" s="39" t="n">
        <v>41198</v>
      </c>
      <c r="C1981" s="4" t="n">
        <v>41183</v>
      </c>
      <c r="D1981" s="5">
        <f>YEAR(C1981)</f>
        <v/>
      </c>
      <c r="E1981" s="5">
        <f>MONTH(C1981)</f>
        <v/>
      </c>
      <c r="F1981" s="38" t="inlineStr">
        <is>
          <t>NFV  :TENDA ATACADO LTDA</t>
        </is>
      </c>
      <c r="G1981" s="38" t="inlineStr">
        <is>
          <t>MARIO FRUGIS (01.04.01)</t>
        </is>
      </c>
      <c r="H1981" s="38" t="inlineStr">
        <is>
          <t>NFV</t>
        </is>
      </c>
      <c r="I1981" s="40" t="n">
        <v>152.34</v>
      </c>
      <c r="J1981" s="40" t="n">
        <v>0</v>
      </c>
      <c r="K1981" s="6">
        <f>I1981-J1981</f>
        <v/>
      </c>
      <c r="L1981" s="6">
        <f>IF(H1981="DISTRATO",0,I1981)</f>
        <v/>
      </c>
    </row>
    <row r="1982">
      <c r="A1982" s="38" t="inlineStr">
        <is>
          <t>Conta corrente FRUGIS5.XLS</t>
        </is>
      </c>
      <c r="B1982" s="39" t="n">
        <v>41199</v>
      </c>
      <c r="C1982" s="4" t="n">
        <v>41183</v>
      </c>
      <c r="D1982" s="5">
        <f>YEAR(C1982)</f>
        <v/>
      </c>
      <c r="E1982" s="5">
        <f>MONTH(C1982)</f>
        <v/>
      </c>
      <c r="F1982" s="38" t="inlineStr">
        <is>
          <t>NFV  :TENDA ATACADO LTDA</t>
        </is>
      </c>
      <c r="G1982" s="38" t="inlineStr">
        <is>
          <t>MARIO FRUGIS (01.04.01)</t>
        </is>
      </c>
      <c r="H1982" s="38" t="inlineStr">
        <is>
          <t>NFV</t>
        </is>
      </c>
      <c r="I1982" s="40" t="n">
        <v>151.21</v>
      </c>
      <c r="J1982" s="40" t="n">
        <v>0</v>
      </c>
      <c r="K1982" s="6">
        <f>I1982-J1982</f>
        <v/>
      </c>
      <c r="L1982" s="6">
        <f>IF(H1982="DISTRATO",0,I1982)</f>
        <v/>
      </c>
    </row>
    <row r="1983">
      <c r="A1983" s="38" t="inlineStr">
        <is>
          <t>Conta corrente FRUGIS5.XLS</t>
        </is>
      </c>
      <c r="B1983" s="39" t="n">
        <v>41199</v>
      </c>
      <c r="C1983" s="4" t="n">
        <v>41183</v>
      </c>
      <c r="D1983" s="5">
        <f>YEAR(C1983)</f>
        <v/>
      </c>
      <c r="E1983" s="5">
        <f>MONTH(C1983)</f>
        <v/>
      </c>
      <c r="F1983" s="38" t="inlineStr">
        <is>
          <t>NFV  :TENDA ATACADO LTDA</t>
        </is>
      </c>
      <c r="G1983" s="38" t="inlineStr">
        <is>
          <t>MARIO FRUGIS (01.04.01)</t>
        </is>
      </c>
      <c r="H1983" s="38" t="inlineStr">
        <is>
          <t>NFV</t>
        </is>
      </c>
      <c r="I1983" s="40" t="n">
        <v>111.96</v>
      </c>
      <c r="J1983" s="40" t="n">
        <v>0</v>
      </c>
      <c r="K1983" s="6">
        <f>I1983-J1983</f>
        <v/>
      </c>
      <c r="L1983" s="6">
        <f>IF(H1983="DISTRATO",0,I1983)</f>
        <v/>
      </c>
    </row>
    <row r="1984">
      <c r="A1984" s="38" t="inlineStr">
        <is>
          <t>Conta corrente FRUGIS5.XLS</t>
        </is>
      </c>
      <c r="B1984" s="39" t="n">
        <v>41199</v>
      </c>
      <c r="C1984" s="4" t="n">
        <v>41183</v>
      </c>
      <c r="D1984" s="5">
        <f>YEAR(C1984)</f>
        <v/>
      </c>
      <c r="E1984" s="5">
        <f>MONTH(C1984)</f>
        <v/>
      </c>
      <c r="F1984" s="38" t="inlineStr">
        <is>
          <t>NFV  :TENDA ATACADO LTDA</t>
        </is>
      </c>
      <c r="G1984" s="38" t="inlineStr">
        <is>
          <t>MARIO FRUGIS (01.04.01)</t>
        </is>
      </c>
      <c r="H1984" s="38" t="inlineStr">
        <is>
          <t>NFV</t>
        </is>
      </c>
      <c r="I1984" s="40" t="n">
        <v>250.27</v>
      </c>
      <c r="J1984" s="40" t="n">
        <v>0</v>
      </c>
      <c r="K1984" s="6">
        <f>I1984-J1984</f>
        <v/>
      </c>
      <c r="L1984" s="6">
        <f>IF(H1984="DISTRATO",0,I1984)</f>
        <v/>
      </c>
    </row>
    <row r="1985">
      <c r="A1985" s="38" t="inlineStr">
        <is>
          <t>Conta corrente FRUGIS5.XLS</t>
        </is>
      </c>
      <c r="B1985" s="39" t="n">
        <v>41199</v>
      </c>
      <c r="C1985" s="4" t="n">
        <v>41183</v>
      </c>
      <c r="D1985" s="5">
        <f>YEAR(C1985)</f>
        <v/>
      </c>
      <c r="E1985" s="5">
        <f>MONTH(C1985)</f>
        <v/>
      </c>
      <c r="F1985" s="38" t="inlineStr">
        <is>
          <t>NFV  :TENDA ATACADO LTDA</t>
        </is>
      </c>
      <c r="G1985" s="38" t="inlineStr">
        <is>
          <t>MARIO FRUGIS (01.04.01)</t>
        </is>
      </c>
      <c r="H1985" s="38" t="inlineStr">
        <is>
          <t>NFV</t>
        </is>
      </c>
      <c r="I1985" s="40" t="n">
        <v>178.84</v>
      </c>
      <c r="J1985" s="40" t="n">
        <v>0</v>
      </c>
      <c r="K1985" s="6">
        <f>I1985-J1985</f>
        <v/>
      </c>
      <c r="L1985" s="6">
        <f>IF(H1985="DISTRATO",0,I1985)</f>
        <v/>
      </c>
    </row>
    <row r="1986">
      <c r="A1986" s="38" t="inlineStr">
        <is>
          <t>Conta corrente FRUGIS5.XLS</t>
        </is>
      </c>
      <c r="B1986" s="39" t="n">
        <v>41199</v>
      </c>
      <c r="C1986" s="4" t="n">
        <v>41183</v>
      </c>
      <c r="D1986" s="5">
        <f>YEAR(C1986)</f>
        <v/>
      </c>
      <c r="E1986" s="5">
        <f>MONTH(C1986)</f>
        <v/>
      </c>
      <c r="F1986" s="38" t="inlineStr">
        <is>
          <t>NFV  :TENDA ATACADO LTDA</t>
        </is>
      </c>
      <c r="G1986" s="38" t="inlineStr">
        <is>
          <t>MARIO FRUGIS (01.04.01)</t>
        </is>
      </c>
      <c r="H1986" s="38" t="inlineStr">
        <is>
          <t>NFV</t>
        </is>
      </c>
      <c r="I1986" s="40" t="n">
        <v>98.47</v>
      </c>
      <c r="J1986" s="40" t="n">
        <v>0</v>
      </c>
      <c r="K1986" s="6">
        <f>I1986-J1986</f>
        <v/>
      </c>
      <c r="L1986" s="6">
        <f>IF(H1986="DISTRATO",0,I1986)</f>
        <v/>
      </c>
    </row>
    <row r="1987">
      <c r="A1987" s="38" t="inlineStr">
        <is>
          <t>Conta corrente FRUGIS5.XLS</t>
        </is>
      </c>
      <c r="B1987" s="39" t="n">
        <v>41199</v>
      </c>
      <c r="C1987" s="4" t="n">
        <v>41183</v>
      </c>
      <c r="D1987" s="5">
        <f>YEAR(C1987)</f>
        <v/>
      </c>
      <c r="E1987" s="5">
        <f>MONTH(C1987)</f>
        <v/>
      </c>
      <c r="F1987" s="38" t="inlineStr">
        <is>
          <t>NFV  :TENDA ATACADO LTDA</t>
        </is>
      </c>
      <c r="G1987" s="38" t="inlineStr">
        <is>
          <t>MARIO FRUGIS (01.04.01)</t>
        </is>
      </c>
      <c r="H1987" s="38" t="inlineStr">
        <is>
          <t>NFV</t>
        </is>
      </c>
      <c r="I1987" s="40" t="n">
        <v>210.66</v>
      </c>
      <c r="J1987" s="40" t="n">
        <v>0</v>
      </c>
      <c r="K1987" s="6">
        <f>I1987-J1987</f>
        <v/>
      </c>
      <c r="L1987" s="6">
        <f>IF(H1987="DISTRATO",0,I1987)</f>
        <v/>
      </c>
    </row>
    <row r="1988">
      <c r="A1988" s="38" t="inlineStr">
        <is>
          <t>Conta corrente FRUGIS5.XLS</t>
        </is>
      </c>
      <c r="B1988" s="39" t="n">
        <v>41200</v>
      </c>
      <c r="C1988" s="4" t="n">
        <v>41183</v>
      </c>
      <c r="D1988" s="5">
        <f>YEAR(C1988)</f>
        <v/>
      </c>
      <c r="E1988" s="5">
        <f>MONTH(C1988)</f>
        <v/>
      </c>
      <c r="F1988" s="38" t="inlineStr">
        <is>
          <t>NFV  :TENDA ATACADO LTDA</t>
        </is>
      </c>
      <c r="G1988" s="38" t="inlineStr">
        <is>
          <t>MARIO FRUGIS (01.04.01)</t>
        </is>
      </c>
      <c r="H1988" s="38" t="inlineStr">
        <is>
          <t>NFV</t>
        </is>
      </c>
      <c r="I1988" s="40" t="n">
        <v>240.06</v>
      </c>
      <c r="J1988" s="40" t="n">
        <v>0</v>
      </c>
      <c r="K1988" s="6">
        <f>I1988-J1988</f>
        <v/>
      </c>
      <c r="L1988" s="6">
        <f>IF(H1988="DISTRATO",0,I1988)</f>
        <v/>
      </c>
    </row>
    <row r="1989">
      <c r="A1989" s="38" t="inlineStr">
        <is>
          <t>Conta corrente FRUGIS5.XLS</t>
        </is>
      </c>
      <c r="B1989" s="39" t="n">
        <v>41200</v>
      </c>
      <c r="C1989" s="4" t="n">
        <v>41183</v>
      </c>
      <c r="D1989" s="5">
        <f>YEAR(C1989)</f>
        <v/>
      </c>
      <c r="E1989" s="5">
        <f>MONTH(C1989)</f>
        <v/>
      </c>
      <c r="F1989" s="38" t="inlineStr">
        <is>
          <t>NFV  :TENDA ATACADO LTDA</t>
        </is>
      </c>
      <c r="G1989" s="38" t="inlineStr">
        <is>
          <t>MARIO FRUGIS (01.04.01)</t>
        </is>
      </c>
      <c r="H1989" s="38" t="inlineStr">
        <is>
          <t>NFV</t>
        </is>
      </c>
      <c r="I1989" s="40" t="n">
        <v>239.21</v>
      </c>
      <c r="J1989" s="40" t="n">
        <v>0</v>
      </c>
      <c r="K1989" s="6">
        <f>I1989-J1989</f>
        <v/>
      </c>
      <c r="L1989" s="6">
        <f>IF(H1989="DISTRATO",0,I1989)</f>
        <v/>
      </c>
    </row>
    <row r="1990">
      <c r="A1990" s="38" t="inlineStr">
        <is>
          <t>Conta corrente FRUGIS5.XLS</t>
        </is>
      </c>
      <c r="B1990" s="39" t="n">
        <v>41200</v>
      </c>
      <c r="C1990" s="4" t="n">
        <v>41183</v>
      </c>
      <c r="D1990" s="5">
        <f>YEAR(C1990)</f>
        <v/>
      </c>
      <c r="E1990" s="5">
        <f>MONTH(C1990)</f>
        <v/>
      </c>
      <c r="F1990" s="38" t="inlineStr">
        <is>
          <t>NFV  :TENDA ATACADO LTDA</t>
        </is>
      </c>
      <c r="G1990" s="38" t="inlineStr">
        <is>
          <t>MARIO FRUGIS (01.04.01)</t>
        </is>
      </c>
      <c r="H1990" s="38" t="inlineStr">
        <is>
          <t>NFV</t>
        </is>
      </c>
      <c r="I1990" s="40" t="n">
        <v>197.92</v>
      </c>
      <c r="J1990" s="40" t="n">
        <v>0</v>
      </c>
      <c r="K1990" s="6">
        <f>I1990-J1990</f>
        <v/>
      </c>
      <c r="L1990" s="6">
        <f>IF(H1990="DISTRATO",0,I1990)</f>
        <v/>
      </c>
    </row>
    <row r="1991">
      <c r="A1991" s="38" t="inlineStr">
        <is>
          <t>Conta corrente FRUGIS5.XLS</t>
        </is>
      </c>
      <c r="B1991" s="39" t="n">
        <v>41200</v>
      </c>
      <c r="C1991" s="4" t="n">
        <v>41183</v>
      </c>
      <c r="D1991" s="5">
        <f>YEAR(C1991)</f>
        <v/>
      </c>
      <c r="E1991" s="5">
        <f>MONTH(C1991)</f>
        <v/>
      </c>
      <c r="F1991" s="38" t="inlineStr">
        <is>
          <t>NFV  :TENDA ATACADO LTDA</t>
        </is>
      </c>
      <c r="G1991" s="38" t="inlineStr">
        <is>
          <t>MARIO FRUGIS (01.04.01)</t>
        </is>
      </c>
      <c r="H1991" s="38" t="inlineStr">
        <is>
          <t>NFV</t>
        </is>
      </c>
      <c r="I1991" s="40" t="n">
        <v>189.86</v>
      </c>
      <c r="J1991" s="40" t="n">
        <v>0</v>
      </c>
      <c r="K1991" s="6">
        <f>I1991-J1991</f>
        <v/>
      </c>
      <c r="L1991" s="6">
        <f>IF(H1991="DISTRATO",0,I1991)</f>
        <v/>
      </c>
    </row>
    <row r="1992">
      <c r="A1992" s="38" t="inlineStr">
        <is>
          <t>Conta corrente FRUGIS5.XLS</t>
        </is>
      </c>
      <c r="B1992" s="39" t="n">
        <v>41203</v>
      </c>
      <c r="C1992" s="4" t="n">
        <v>41183</v>
      </c>
      <c r="D1992" s="5">
        <f>YEAR(C1992)</f>
        <v/>
      </c>
      <c r="E1992" s="5">
        <f>MONTH(C1992)</f>
        <v/>
      </c>
      <c r="F1992" s="38" t="inlineStr">
        <is>
          <t>NFV  :TENDA ATACADO LTDA</t>
        </is>
      </c>
      <c r="G1992" s="38" t="inlineStr">
        <is>
          <t>MARIO FRUGIS (01.04.01)</t>
        </is>
      </c>
      <c r="H1992" s="38" t="inlineStr">
        <is>
          <t>NFV</t>
        </is>
      </c>
      <c r="I1992" s="40" t="n">
        <v>120.62</v>
      </c>
      <c r="J1992" s="40" t="n">
        <v>0</v>
      </c>
      <c r="K1992" s="6">
        <f>I1992-J1992</f>
        <v/>
      </c>
      <c r="L1992" s="6">
        <f>IF(H1992="DISTRATO",0,I1992)</f>
        <v/>
      </c>
    </row>
    <row r="1993">
      <c r="A1993" s="38" t="inlineStr">
        <is>
          <t>Conta corrente FRUGIS5.XLS</t>
        </is>
      </c>
      <c r="B1993" s="39" t="n">
        <v>41203</v>
      </c>
      <c r="C1993" s="4" t="n">
        <v>41183</v>
      </c>
      <c r="D1993" s="5">
        <f>YEAR(C1993)</f>
        <v/>
      </c>
      <c r="E1993" s="5">
        <f>MONTH(C1993)</f>
        <v/>
      </c>
      <c r="F1993" s="38" t="inlineStr">
        <is>
          <t>NFV  :TENDA ATACADO LTDA</t>
        </is>
      </c>
      <c r="G1993" s="38" t="inlineStr">
        <is>
          <t>MARIO FRUGIS (01.04.01)</t>
        </is>
      </c>
      <c r="H1993" s="38" t="inlineStr">
        <is>
          <t>NFV</t>
        </is>
      </c>
      <c r="I1993" s="40" t="n">
        <v>96.39</v>
      </c>
      <c r="J1993" s="40" t="n">
        <v>0</v>
      </c>
      <c r="K1993" s="6">
        <f>I1993-J1993</f>
        <v/>
      </c>
      <c r="L1993" s="6">
        <f>IF(H1993="DISTRATO",0,I1993)</f>
        <v/>
      </c>
    </row>
    <row r="1994">
      <c r="A1994" s="38" t="inlineStr">
        <is>
          <t>Conta corrente FRUGIS5.XLS</t>
        </is>
      </c>
      <c r="B1994" s="39" t="n">
        <v>41203</v>
      </c>
      <c r="C1994" s="4" t="n">
        <v>41183</v>
      </c>
      <c r="D1994" s="5">
        <f>YEAR(C1994)</f>
        <v/>
      </c>
      <c r="E1994" s="5">
        <f>MONTH(C1994)</f>
        <v/>
      </c>
      <c r="F1994" s="38" t="inlineStr">
        <is>
          <t>NFV  :TENDA ATACADO LTDA</t>
        </is>
      </c>
      <c r="G1994" s="38" t="inlineStr">
        <is>
          <t>MARIO FRUGIS (01.04.01)</t>
        </is>
      </c>
      <c r="H1994" s="38" t="inlineStr">
        <is>
          <t>NFV</t>
        </is>
      </c>
      <c r="I1994" s="40" t="n">
        <v>164.85</v>
      </c>
      <c r="J1994" s="40" t="n">
        <v>0</v>
      </c>
      <c r="K1994" s="6">
        <f>I1994-J1994</f>
        <v/>
      </c>
      <c r="L1994" s="6">
        <f>IF(H1994="DISTRATO",0,I1994)</f>
        <v/>
      </c>
    </row>
    <row r="1995">
      <c r="A1995" s="38" t="inlineStr">
        <is>
          <t>Conta corrente FRUGIS5.XLS</t>
        </is>
      </c>
      <c r="B1995" s="39" t="n">
        <v>41203</v>
      </c>
      <c r="C1995" s="4" t="n">
        <v>41183</v>
      </c>
      <c r="D1995" s="5">
        <f>YEAR(C1995)</f>
        <v/>
      </c>
      <c r="E1995" s="5">
        <f>MONTH(C1995)</f>
        <v/>
      </c>
      <c r="F1995" s="38" t="inlineStr">
        <is>
          <t>NFV  :TENDA ATACADO LTDA</t>
        </is>
      </c>
      <c r="G1995" s="38" t="inlineStr">
        <is>
          <t>MARIO FRUGIS (01.04.01)</t>
        </is>
      </c>
      <c r="H1995" s="38" t="inlineStr">
        <is>
          <t>NFV</t>
        </is>
      </c>
      <c r="I1995" s="40" t="n">
        <v>189.65</v>
      </c>
      <c r="J1995" s="40" t="n">
        <v>0</v>
      </c>
      <c r="K1995" s="6">
        <f>I1995-J1995</f>
        <v/>
      </c>
      <c r="L1995" s="6">
        <f>IF(H1995="DISTRATO",0,I1995)</f>
        <v/>
      </c>
    </row>
    <row r="1996">
      <c r="A1996" s="38" t="inlineStr">
        <is>
          <t>Conta corrente FRUGIS5.XLS</t>
        </is>
      </c>
      <c r="B1996" s="39" t="n">
        <v>41204</v>
      </c>
      <c r="C1996" s="4" t="n">
        <v>41183</v>
      </c>
      <c r="D1996" s="5">
        <f>YEAR(C1996)</f>
        <v/>
      </c>
      <c r="E1996" s="5">
        <f>MONTH(C1996)</f>
        <v/>
      </c>
      <c r="F1996" s="38" t="inlineStr">
        <is>
          <t>NFV  :TENDA ATACADO LTDA</t>
        </is>
      </c>
      <c r="G1996" s="38" t="inlineStr">
        <is>
          <t>MARIO FRUGIS (01.04.01)</t>
        </is>
      </c>
      <c r="H1996" s="38" t="inlineStr">
        <is>
          <t>NFV</t>
        </is>
      </c>
      <c r="I1996" s="40" t="n">
        <v>109.1</v>
      </c>
      <c r="J1996" s="40" t="n">
        <v>0</v>
      </c>
      <c r="K1996" s="6">
        <f>I1996-J1996</f>
        <v/>
      </c>
      <c r="L1996" s="6">
        <f>IF(H1996="DISTRATO",0,I1996)</f>
        <v/>
      </c>
    </row>
    <row r="1997">
      <c r="A1997" s="38" t="inlineStr">
        <is>
          <t>Conta corrente FRUGIS5.XLS</t>
        </is>
      </c>
      <c r="B1997" s="39" t="n">
        <v>41212</v>
      </c>
      <c r="C1997" s="4" t="n">
        <v>41183</v>
      </c>
      <c r="D1997" s="5">
        <f>YEAR(C1997)</f>
        <v/>
      </c>
      <c r="E1997" s="5">
        <f>MONTH(C1997)</f>
        <v/>
      </c>
      <c r="F1997" s="38" t="inlineStr">
        <is>
          <t>NFV  :TENDA ATACADO LTDA</t>
        </is>
      </c>
      <c r="G1997" s="38" t="inlineStr">
        <is>
          <t>MARIO FRUGIS (01.04.01)</t>
        </is>
      </c>
      <c r="H1997" s="38" t="inlineStr">
        <is>
          <t>NFV</t>
        </is>
      </c>
      <c r="I1997" s="40" t="n">
        <v>59.49</v>
      </c>
      <c r="J1997" s="40" t="n">
        <v>0</v>
      </c>
      <c r="K1997" s="6">
        <f>I1997-J1997</f>
        <v/>
      </c>
      <c r="L1997" s="6">
        <f>IF(H1997="DISTRATO",0,I1997)</f>
        <v/>
      </c>
    </row>
    <row r="1998">
      <c r="A1998" s="38" t="inlineStr">
        <is>
          <t>Conta corrente FRUGIS5.XLS</t>
        </is>
      </c>
      <c r="B1998" s="39" t="n">
        <v>41213</v>
      </c>
      <c r="C1998" s="4" t="n">
        <v>41183</v>
      </c>
      <c r="D1998" s="5">
        <f>YEAR(C1998)</f>
        <v/>
      </c>
      <c r="E1998" s="5">
        <f>MONTH(C1998)</f>
        <v/>
      </c>
      <c r="F1998" s="38" t="inlineStr">
        <is>
          <t>NFV  :TENDA ATACADO LTDA</t>
        </is>
      </c>
      <c r="G1998" s="38" t="inlineStr">
        <is>
          <t>MARIO FRUGIS (01.04.01)</t>
        </is>
      </c>
      <c r="H1998" s="38" t="inlineStr">
        <is>
          <t>NFV</t>
        </is>
      </c>
      <c r="I1998" s="40" t="n">
        <v>264.41</v>
      </c>
      <c r="J1998" s="40" t="n">
        <v>0</v>
      </c>
      <c r="K1998" s="6">
        <f>I1998-J1998</f>
        <v/>
      </c>
      <c r="L1998" s="6">
        <f>IF(H1998="DISTRATO",0,I1998)</f>
        <v/>
      </c>
    </row>
    <row r="1999">
      <c r="A1999" s="38" t="inlineStr">
        <is>
          <t>Conta corrente FRUGIS5.XLS</t>
        </is>
      </c>
      <c r="B1999" s="39" t="n">
        <v>41213</v>
      </c>
      <c r="C1999" s="4" t="n">
        <v>41183</v>
      </c>
      <c r="D1999" s="5">
        <f>YEAR(C1999)</f>
        <v/>
      </c>
      <c r="E1999" s="5">
        <f>MONTH(C1999)</f>
        <v/>
      </c>
      <c r="F1999" s="38" t="inlineStr">
        <is>
          <t>NFV  :TENDA ATACADO LTDA</t>
        </is>
      </c>
      <c r="G1999" s="38" t="inlineStr">
        <is>
          <t>MARIO FRUGIS (01.04.01)</t>
        </is>
      </c>
      <c r="H1999" s="38" t="inlineStr">
        <is>
          <t>NFV</t>
        </is>
      </c>
      <c r="I1999" s="40" t="n">
        <v>64.19</v>
      </c>
      <c r="J1999" s="40" t="n">
        <v>0</v>
      </c>
      <c r="K1999" s="6">
        <f>I1999-J1999</f>
        <v/>
      </c>
      <c r="L1999" s="6">
        <f>IF(H1999="DISTRATO",0,I1999)</f>
        <v/>
      </c>
    </row>
    <row r="2000">
      <c r="A2000" s="38" t="inlineStr">
        <is>
          <t>Conta corrente FRUGIS5.XLS</t>
        </is>
      </c>
      <c r="B2000" s="39" t="n">
        <v>41213</v>
      </c>
      <c r="C2000" s="4" t="n">
        <v>41183</v>
      </c>
      <c r="D2000" s="5">
        <f>YEAR(C2000)</f>
        <v/>
      </c>
      <c r="E2000" s="5">
        <f>MONTH(C2000)</f>
        <v/>
      </c>
      <c r="F2000" s="38" t="inlineStr">
        <is>
          <t>NFV  :TENDA ATACADO LTDA</t>
        </is>
      </c>
      <c r="G2000" s="38" t="inlineStr">
        <is>
          <t>MARIO FRUGIS (01.04.01)</t>
        </is>
      </c>
      <c r="H2000" s="38" t="inlineStr">
        <is>
          <t>NFV</t>
        </is>
      </c>
      <c r="I2000" s="40" t="n">
        <v>66.84</v>
      </c>
      <c r="J2000" s="40" t="n">
        <v>0</v>
      </c>
      <c r="K2000" s="6">
        <f>I2000-J2000</f>
        <v/>
      </c>
      <c r="L2000" s="6">
        <f>IF(H2000="DISTRATO",0,I2000)</f>
        <v/>
      </c>
    </row>
    <row r="2001">
      <c r="A2001" s="38" t="inlineStr">
        <is>
          <t>Conta corrente FRUGIS5.XLS</t>
        </is>
      </c>
      <c r="B2001" s="39" t="n">
        <v>41213</v>
      </c>
      <c r="C2001" s="4" t="n">
        <v>41183</v>
      </c>
      <c r="D2001" s="5">
        <f>YEAR(C2001)</f>
        <v/>
      </c>
      <c r="E2001" s="5">
        <f>MONTH(C2001)</f>
        <v/>
      </c>
      <c r="F2001" s="38" t="inlineStr">
        <is>
          <t>NFV  :TENDA ATACADO LTDA</t>
        </is>
      </c>
      <c r="G2001" s="38" t="inlineStr">
        <is>
          <t>MARIO FRUGIS (01.04.01)</t>
        </is>
      </c>
      <c r="H2001" s="38" t="inlineStr">
        <is>
          <t>NFV</t>
        </is>
      </c>
      <c r="I2001" s="40" t="n">
        <v>163.6</v>
      </c>
      <c r="J2001" s="40" t="n">
        <v>0</v>
      </c>
      <c r="K2001" s="6">
        <f>I2001-J2001</f>
        <v/>
      </c>
      <c r="L2001" s="6">
        <f>IF(H2001="DISTRATO",0,I2001)</f>
        <v/>
      </c>
    </row>
    <row r="2002">
      <c r="A2002" s="38" t="inlineStr">
        <is>
          <t>Conta corrente FRUGIS5.XLS</t>
        </is>
      </c>
      <c r="B2002" s="39" t="n">
        <v>41213</v>
      </c>
      <c r="C2002" s="4" t="n">
        <v>41183</v>
      </c>
      <c r="D2002" s="5">
        <f>YEAR(C2002)</f>
        <v/>
      </c>
      <c r="E2002" s="5">
        <f>MONTH(C2002)</f>
        <v/>
      </c>
      <c r="F2002" s="38" t="inlineStr">
        <is>
          <t>NFV  :TENDA ATACADO LTDA</t>
        </is>
      </c>
      <c r="G2002" s="38" t="inlineStr">
        <is>
          <t>MARIO FRUGIS (01.04.01)</t>
        </is>
      </c>
      <c r="H2002" s="38" t="inlineStr">
        <is>
          <t>NFV</t>
        </is>
      </c>
      <c r="I2002" s="40" t="n">
        <v>73.09999999999999</v>
      </c>
      <c r="J2002" s="40" t="n">
        <v>0</v>
      </c>
      <c r="K2002" s="6">
        <f>I2002-J2002</f>
        <v/>
      </c>
      <c r="L2002" s="6">
        <f>IF(H2002="DISTRATO",0,I2002)</f>
        <v/>
      </c>
    </row>
    <row r="2003">
      <c r="A2003" s="38" t="inlineStr">
        <is>
          <t>Conta corrente FRUGIS5.XLS</t>
        </is>
      </c>
      <c r="B2003" s="39" t="n">
        <v>41213</v>
      </c>
      <c r="C2003" s="4" t="n">
        <v>41183</v>
      </c>
      <c r="D2003" s="5">
        <f>YEAR(C2003)</f>
        <v/>
      </c>
      <c r="E2003" s="5">
        <f>MONTH(C2003)</f>
        <v/>
      </c>
      <c r="F2003" s="38" t="inlineStr">
        <is>
          <t>NFV  :TENDA ATACADO LTDA</t>
        </is>
      </c>
      <c r="G2003" s="38" t="inlineStr">
        <is>
          <t>MARIO FRUGIS (01.04.01)</t>
        </is>
      </c>
      <c r="H2003" s="38" t="inlineStr">
        <is>
          <t>NFV</t>
        </is>
      </c>
      <c r="I2003" s="40" t="n">
        <v>83.90000000000001</v>
      </c>
      <c r="J2003" s="40" t="n">
        <v>0</v>
      </c>
      <c r="K2003" s="6">
        <f>I2003-J2003</f>
        <v/>
      </c>
      <c r="L2003" s="6">
        <f>IF(H2003="DISTRATO",0,I2003)</f>
        <v/>
      </c>
    </row>
    <row r="2004">
      <c r="A2004" s="38" t="inlineStr">
        <is>
          <t>Conta corrente FRUGIS5.XLS</t>
        </is>
      </c>
      <c r="B2004" s="39" t="n">
        <v>41213</v>
      </c>
      <c r="C2004" s="4" t="n">
        <v>41183</v>
      </c>
      <c r="D2004" s="5">
        <f>YEAR(C2004)</f>
        <v/>
      </c>
      <c r="E2004" s="5">
        <f>MONTH(C2004)</f>
        <v/>
      </c>
      <c r="F2004" s="38" t="inlineStr">
        <is>
          <t>NFV  :TENDA ATACADO LTDA</t>
        </is>
      </c>
      <c r="G2004" s="38" t="inlineStr">
        <is>
          <t>MARIO FRUGIS (01.04.01)</t>
        </is>
      </c>
      <c r="H2004" s="38" t="inlineStr">
        <is>
          <t>NFV</t>
        </is>
      </c>
      <c r="I2004" s="40" t="n">
        <v>217.78</v>
      </c>
      <c r="J2004" s="40" t="n">
        <v>0</v>
      </c>
      <c r="K2004" s="6">
        <f>I2004-J2004</f>
        <v/>
      </c>
      <c r="L2004" s="6">
        <f>IF(H2004="DISTRATO",0,I2004)</f>
        <v/>
      </c>
    </row>
    <row r="2005">
      <c r="A2005" s="38" t="inlineStr">
        <is>
          <t>Conta corrente FRUGIS5.XLS</t>
        </is>
      </c>
      <c r="B2005" s="39" t="n">
        <v>41213</v>
      </c>
      <c r="C2005" s="4" t="n">
        <v>41183</v>
      </c>
      <c r="D2005" s="5">
        <f>YEAR(C2005)</f>
        <v/>
      </c>
      <c r="E2005" s="5">
        <f>MONTH(C2005)</f>
        <v/>
      </c>
      <c r="F2005" s="38" t="inlineStr">
        <is>
          <t>NFV  :TENDA ATACADO LTDA</t>
        </is>
      </c>
      <c r="G2005" s="38" t="inlineStr">
        <is>
          <t>MARIO FRUGIS (01.04.01)</t>
        </is>
      </c>
      <c r="H2005" s="38" t="inlineStr">
        <is>
          <t>NFV</t>
        </is>
      </c>
      <c r="I2005" s="40" t="n">
        <v>124.78</v>
      </c>
      <c r="J2005" s="40" t="n">
        <v>0</v>
      </c>
      <c r="K2005" s="6">
        <f>I2005-J2005</f>
        <v/>
      </c>
      <c r="L2005" s="6">
        <f>IF(H2005="DISTRATO",0,I2005)</f>
        <v/>
      </c>
    </row>
    <row r="2006">
      <c r="A2006" s="38" t="inlineStr">
        <is>
          <t>Conta corrente FRUGIS5.XLS</t>
        </is>
      </c>
      <c r="B2006" s="39" t="n">
        <v>41213</v>
      </c>
      <c r="C2006" s="4" t="n">
        <v>41183</v>
      </c>
      <c r="D2006" s="5">
        <f>YEAR(C2006)</f>
        <v/>
      </c>
      <c r="E2006" s="5">
        <f>MONTH(C2006)</f>
        <v/>
      </c>
      <c r="F2006" s="38" t="inlineStr">
        <is>
          <t>NFV  :TENDA ATACADO LTDA</t>
        </is>
      </c>
      <c r="G2006" s="38" t="inlineStr">
        <is>
          <t>MARIO FRUGIS (01.04.01)</t>
        </is>
      </c>
      <c r="H2006" s="38" t="inlineStr">
        <is>
          <t>NFV</t>
        </is>
      </c>
      <c r="I2006" s="40" t="n">
        <v>141.32</v>
      </c>
      <c r="J2006" s="40" t="n">
        <v>0</v>
      </c>
      <c r="K2006" s="6">
        <f>I2006-J2006</f>
        <v/>
      </c>
      <c r="L2006" s="6">
        <f>IF(H2006="DISTRATO",0,I2006)</f>
        <v/>
      </c>
    </row>
    <row r="2007">
      <c r="A2007" s="38" t="inlineStr">
        <is>
          <t>Conta corrente FRUGIS5.XLS</t>
        </is>
      </c>
      <c r="B2007" s="39" t="n">
        <v>41213</v>
      </c>
      <c r="C2007" s="4" t="n">
        <v>41183</v>
      </c>
      <c r="D2007" s="5">
        <f>YEAR(C2007)</f>
        <v/>
      </c>
      <c r="E2007" s="5">
        <f>MONTH(C2007)</f>
        <v/>
      </c>
      <c r="F2007" s="38" t="inlineStr">
        <is>
          <t>NFV  :TENDA ATACADO LTDA</t>
        </is>
      </c>
      <c r="G2007" s="38" t="inlineStr">
        <is>
          <t>MARIO FRUGIS (01.04.01)</t>
        </is>
      </c>
      <c r="H2007" s="38" t="inlineStr">
        <is>
          <t>NFV</t>
        </is>
      </c>
      <c r="I2007" s="40" t="n">
        <v>174</v>
      </c>
      <c r="J2007" s="40" t="n">
        <v>0</v>
      </c>
      <c r="K2007" s="6">
        <f>I2007-J2007</f>
        <v/>
      </c>
      <c r="L2007" s="6">
        <f>IF(H2007="DISTRATO",0,I2007)</f>
        <v/>
      </c>
    </row>
    <row r="2008">
      <c r="A2008" s="38" t="inlineStr">
        <is>
          <t>Conta corrente FRUGIS5.XLS</t>
        </is>
      </c>
      <c r="B2008" s="39" t="n">
        <v>41213</v>
      </c>
      <c r="C2008" s="4" t="n">
        <v>41183</v>
      </c>
      <c r="D2008" s="5">
        <f>YEAR(C2008)</f>
        <v/>
      </c>
      <c r="E2008" s="5">
        <f>MONTH(C2008)</f>
        <v/>
      </c>
      <c r="F2008" s="38" t="inlineStr">
        <is>
          <t>NFV  :TENDA ATACADO LTDA</t>
        </is>
      </c>
      <c r="G2008" s="38" t="inlineStr">
        <is>
          <t>MARIO FRUGIS (01.04.01)</t>
        </is>
      </c>
      <c r="H2008" s="38" t="inlineStr">
        <is>
          <t>NFV</t>
        </is>
      </c>
      <c r="I2008" s="40" t="n">
        <v>74.63</v>
      </c>
      <c r="J2008" s="40" t="n">
        <v>0</v>
      </c>
      <c r="K2008" s="6">
        <f>I2008-J2008</f>
        <v/>
      </c>
      <c r="L2008" s="6">
        <f>IF(H2008="DISTRATO",0,I2008)</f>
        <v/>
      </c>
    </row>
    <row r="2009">
      <c r="A2009" s="38" t="inlineStr">
        <is>
          <t>Conta corrente FRUGIS5.XLS</t>
        </is>
      </c>
      <c r="B2009" s="39" t="n">
        <v>41213</v>
      </c>
      <c r="C2009" s="4" t="n">
        <v>41183</v>
      </c>
      <c r="D2009" s="5">
        <f>YEAR(C2009)</f>
        <v/>
      </c>
      <c r="E2009" s="5">
        <f>MONTH(C2009)</f>
        <v/>
      </c>
      <c r="F2009" s="38" t="inlineStr">
        <is>
          <t>NFV  :TENDA ATACADO LTDA</t>
        </is>
      </c>
      <c r="G2009" s="38" t="inlineStr">
        <is>
          <t>MARIO FRUGIS (01.04.01)</t>
        </is>
      </c>
      <c r="H2009" s="38" t="inlineStr">
        <is>
          <t>NFV</t>
        </is>
      </c>
      <c r="I2009" s="40" t="n">
        <v>172.28</v>
      </c>
      <c r="J2009" s="40" t="n">
        <v>0</v>
      </c>
      <c r="K2009" s="6">
        <f>I2009-J2009</f>
        <v/>
      </c>
      <c r="L2009" s="6">
        <f>IF(H2009="DISTRATO",0,I2009)</f>
        <v/>
      </c>
    </row>
    <row r="2010">
      <c r="A2010" s="38" t="inlineStr">
        <is>
          <t>Conta corrente FRUGIS5.XLS</t>
        </is>
      </c>
      <c r="B2010" s="39" t="n">
        <v>41213</v>
      </c>
      <c r="C2010" s="4" t="n">
        <v>41183</v>
      </c>
      <c r="D2010" s="5">
        <f>YEAR(C2010)</f>
        <v/>
      </c>
      <c r="E2010" s="5">
        <f>MONTH(C2010)</f>
        <v/>
      </c>
      <c r="F2010" s="38" t="inlineStr">
        <is>
          <t>NFV  :TENDA ATACADO LTDA</t>
        </is>
      </c>
      <c r="G2010" s="38" t="inlineStr">
        <is>
          <t>MARIO FRUGIS (01.04.01)</t>
        </is>
      </c>
      <c r="H2010" s="38" t="inlineStr">
        <is>
          <t>NFV</t>
        </is>
      </c>
      <c r="I2010" s="40" t="n">
        <v>106.34</v>
      </c>
      <c r="J2010" s="40" t="n">
        <v>0</v>
      </c>
      <c r="K2010" s="6">
        <f>I2010-J2010</f>
        <v/>
      </c>
      <c r="L2010" s="6">
        <f>IF(H2010="DISTRATO",0,I2010)</f>
        <v/>
      </c>
    </row>
    <row r="2011">
      <c r="A2011" s="38" t="inlineStr">
        <is>
          <t>Conta corrente FRUGIS5.XLS</t>
        </is>
      </c>
      <c r="B2011" s="39" t="n">
        <v>41213</v>
      </c>
      <c r="C2011" s="4" t="n">
        <v>41183</v>
      </c>
      <c r="D2011" s="5">
        <f>YEAR(C2011)</f>
        <v/>
      </c>
      <c r="E2011" s="5">
        <f>MONTH(C2011)</f>
        <v/>
      </c>
      <c r="F2011" s="38" t="inlineStr">
        <is>
          <t>NFV  :TENDA ATACADO LTDA</t>
        </is>
      </c>
      <c r="G2011" s="38" t="inlineStr">
        <is>
          <t>MARIO FRUGIS (01.04.01)</t>
        </is>
      </c>
      <c r="H2011" s="38" t="inlineStr">
        <is>
          <t>NFV</t>
        </is>
      </c>
      <c r="I2011" s="40" t="n">
        <v>63.65</v>
      </c>
      <c r="J2011" s="40" t="n">
        <v>0</v>
      </c>
      <c r="K2011" s="6">
        <f>I2011-J2011</f>
        <v/>
      </c>
      <c r="L2011" s="6">
        <f>IF(H2011="DISTRATO",0,I2011)</f>
        <v/>
      </c>
    </row>
    <row r="2012">
      <c r="A2012" s="38" t="inlineStr">
        <is>
          <t>Conta corrente FRUGIS5.XLS</t>
        </is>
      </c>
      <c r="B2012" s="39" t="n">
        <v>41213</v>
      </c>
      <c r="C2012" s="4" t="n">
        <v>41183</v>
      </c>
      <c r="D2012" s="5">
        <f>YEAR(C2012)</f>
        <v/>
      </c>
      <c r="E2012" s="5">
        <f>MONTH(C2012)</f>
        <v/>
      </c>
      <c r="F2012" s="38" t="inlineStr">
        <is>
          <t>NFV  :TENDA ATACADO LTDA</t>
        </is>
      </c>
      <c r="G2012" s="38" t="inlineStr">
        <is>
          <t>MARIO FRUGIS (01.04.01)</t>
        </is>
      </c>
      <c r="H2012" s="38" t="inlineStr">
        <is>
          <t>NFV</t>
        </is>
      </c>
      <c r="I2012" s="40" t="n">
        <v>115.29</v>
      </c>
      <c r="J2012" s="40" t="n">
        <v>0</v>
      </c>
      <c r="K2012" s="6">
        <f>I2012-J2012</f>
        <v/>
      </c>
      <c r="L2012" s="6">
        <f>IF(H2012="DISTRATO",0,I2012)</f>
        <v/>
      </c>
    </row>
    <row r="2013">
      <c r="A2013" s="38" t="inlineStr">
        <is>
          <t>Conta corrente FRUGIS5.XLS</t>
        </is>
      </c>
      <c r="B2013" s="39" t="n">
        <v>41213</v>
      </c>
      <c r="C2013" s="4" t="n">
        <v>41183</v>
      </c>
      <c r="D2013" s="5">
        <f>YEAR(C2013)</f>
        <v/>
      </c>
      <c r="E2013" s="5">
        <f>MONTH(C2013)</f>
        <v/>
      </c>
      <c r="F2013" s="38" t="inlineStr">
        <is>
          <t>NFV  :TENDA ATACADO LTDA</t>
        </is>
      </c>
      <c r="G2013" s="38" t="inlineStr">
        <is>
          <t>MARIO FRUGIS (01.04.01)</t>
        </is>
      </c>
      <c r="H2013" s="38" t="inlineStr">
        <is>
          <t>NFV</t>
        </is>
      </c>
      <c r="I2013" s="40" t="n">
        <v>89.48999999999999</v>
      </c>
      <c r="J2013" s="40" t="n">
        <v>0</v>
      </c>
      <c r="K2013" s="6">
        <f>I2013-J2013</f>
        <v/>
      </c>
      <c r="L2013" s="6">
        <f>IF(H2013="DISTRATO",0,I2013)</f>
        <v/>
      </c>
    </row>
    <row r="2014">
      <c r="A2014" s="38" t="inlineStr">
        <is>
          <t>Conta corrente FRUGIS5.XLS</t>
        </is>
      </c>
      <c r="B2014" s="39" t="n">
        <v>41231</v>
      </c>
      <c r="C2014" s="4" t="n">
        <v>41214</v>
      </c>
      <c r="D2014" s="5">
        <f>YEAR(C2014)</f>
        <v/>
      </c>
      <c r="E2014" s="5">
        <f>MONTH(C2014)</f>
        <v/>
      </c>
      <c r="F2014" s="38" t="inlineStr">
        <is>
          <t>NFV  :TENDA ATACADO LTDA</t>
        </is>
      </c>
      <c r="G2014" s="38" t="inlineStr">
        <is>
          <t>MARIO FRUGIS (01.04.01)</t>
        </is>
      </c>
      <c r="H2014" s="38" t="inlineStr">
        <is>
          <t>NFV</t>
        </is>
      </c>
      <c r="I2014" s="40" t="n">
        <v>77.19</v>
      </c>
      <c r="J2014" s="40" t="n">
        <v>0</v>
      </c>
      <c r="K2014" s="6">
        <f>I2014-J2014</f>
        <v/>
      </c>
      <c r="L2014" s="6">
        <f>IF(H2014="DISTRATO",0,I2014)</f>
        <v/>
      </c>
    </row>
    <row r="2015">
      <c r="A2015" s="38" t="inlineStr">
        <is>
          <t>Conta corrente FRUGIS5.XLS</t>
        </is>
      </c>
      <c r="B2015" s="39" t="n">
        <v>41231</v>
      </c>
      <c r="C2015" s="4" t="n">
        <v>41214</v>
      </c>
      <c r="D2015" s="5">
        <f>YEAR(C2015)</f>
        <v/>
      </c>
      <c r="E2015" s="5">
        <f>MONTH(C2015)</f>
        <v/>
      </c>
      <c r="F2015" s="38" t="inlineStr">
        <is>
          <t>NFV  :TENDA ATACADO LTDA</t>
        </is>
      </c>
      <c r="G2015" s="38" t="inlineStr">
        <is>
          <t>MARIO FRUGIS (01.04.01)</t>
        </is>
      </c>
      <c r="H2015" s="38" t="inlineStr">
        <is>
          <t>NFV</t>
        </is>
      </c>
      <c r="I2015" s="40" t="n">
        <v>67.34999999999999</v>
      </c>
      <c r="J2015" s="40" t="n">
        <v>0</v>
      </c>
      <c r="K2015" s="6">
        <f>I2015-J2015</f>
        <v/>
      </c>
      <c r="L2015" s="6">
        <f>IF(H2015="DISTRATO",0,I2015)</f>
        <v/>
      </c>
    </row>
    <row r="2016">
      <c r="A2016" s="38" t="inlineStr">
        <is>
          <t>Conta corrente FRUGIS5.XLS</t>
        </is>
      </c>
      <c r="B2016" s="39" t="n">
        <v>41232</v>
      </c>
      <c r="C2016" s="4" t="n">
        <v>41214</v>
      </c>
      <c r="D2016" s="5">
        <f>YEAR(C2016)</f>
        <v/>
      </c>
      <c r="E2016" s="5">
        <f>MONTH(C2016)</f>
        <v/>
      </c>
      <c r="F2016" s="38" t="inlineStr">
        <is>
          <t>NFV  :TENDA ATACADO LTDA</t>
        </is>
      </c>
      <c r="G2016" s="38" t="inlineStr">
        <is>
          <t>MARIO FRUGIS (01.04.01)</t>
        </is>
      </c>
      <c r="H2016" s="38" t="inlineStr">
        <is>
          <t>NFV</t>
        </is>
      </c>
      <c r="I2016" s="40" t="n">
        <v>49.91</v>
      </c>
      <c r="J2016" s="40" t="n">
        <v>0</v>
      </c>
      <c r="K2016" s="6">
        <f>I2016-J2016</f>
        <v/>
      </c>
      <c r="L2016" s="6">
        <f>IF(H2016="DISTRATO",0,I2016)</f>
        <v/>
      </c>
    </row>
    <row r="2017">
      <c r="A2017" s="38" t="inlineStr">
        <is>
          <t>Conta corrente FRUGIS5.XLS</t>
        </is>
      </c>
      <c r="B2017" s="39" t="n">
        <v>41233</v>
      </c>
      <c r="C2017" s="4" t="n">
        <v>41214</v>
      </c>
      <c r="D2017" s="5">
        <f>YEAR(C2017)</f>
        <v/>
      </c>
      <c r="E2017" s="5">
        <f>MONTH(C2017)</f>
        <v/>
      </c>
      <c r="F2017" s="38" t="inlineStr">
        <is>
          <t>NFV  :TENDA ATACADO LTDA</t>
        </is>
      </c>
      <c r="G2017" s="38" t="inlineStr">
        <is>
          <t>MARIO FRUGIS (01.04.01)</t>
        </is>
      </c>
      <c r="H2017" s="38" t="inlineStr">
        <is>
          <t>NFV</t>
        </is>
      </c>
      <c r="I2017" s="40" t="n">
        <v>94.38</v>
      </c>
      <c r="J2017" s="40" t="n">
        <v>0</v>
      </c>
      <c r="K2017" s="6">
        <f>I2017-J2017</f>
        <v/>
      </c>
      <c r="L2017" s="6">
        <f>IF(H2017="DISTRATO",0,I2017)</f>
        <v/>
      </c>
    </row>
    <row r="2018">
      <c r="A2018" s="38" t="inlineStr">
        <is>
          <t>Conta corrente FRUGIS5.XLS</t>
        </is>
      </c>
      <c r="B2018" s="39" t="n">
        <v>41233</v>
      </c>
      <c r="C2018" s="4" t="n">
        <v>41214</v>
      </c>
      <c r="D2018" s="5">
        <f>YEAR(C2018)</f>
        <v/>
      </c>
      <c r="E2018" s="5">
        <f>MONTH(C2018)</f>
        <v/>
      </c>
      <c r="F2018" s="38" t="inlineStr">
        <is>
          <t>NFV  :TENDA ATACADO LTDA</t>
        </is>
      </c>
      <c r="G2018" s="38" t="inlineStr">
        <is>
          <t>MARIO FRUGIS (01.04.01)</t>
        </is>
      </c>
      <c r="H2018" s="38" t="inlineStr">
        <is>
          <t>NFV</t>
        </is>
      </c>
      <c r="I2018" s="40" t="n">
        <v>178.86</v>
      </c>
      <c r="J2018" s="40" t="n">
        <v>0</v>
      </c>
      <c r="K2018" s="6">
        <f>I2018-J2018</f>
        <v/>
      </c>
      <c r="L2018" s="6">
        <f>IF(H2018="DISTRATO",0,I2018)</f>
        <v/>
      </c>
    </row>
    <row r="2019">
      <c r="A2019" s="38" t="inlineStr">
        <is>
          <t>Conta corrente FRUGIS5.XLS</t>
        </is>
      </c>
      <c r="B2019" s="39" t="n">
        <v>41233</v>
      </c>
      <c r="C2019" s="4" t="n">
        <v>41214</v>
      </c>
      <c r="D2019" s="5">
        <f>YEAR(C2019)</f>
        <v/>
      </c>
      <c r="E2019" s="5">
        <f>MONTH(C2019)</f>
        <v/>
      </c>
      <c r="F2019" s="38" t="inlineStr">
        <is>
          <t>NFV  :TENDA ATACADO LTDA</t>
        </is>
      </c>
      <c r="G2019" s="38" t="inlineStr">
        <is>
          <t>MARIO FRUGIS (01.04.01)</t>
        </is>
      </c>
      <c r="H2019" s="38" t="inlineStr">
        <is>
          <t>NFV</t>
        </is>
      </c>
      <c r="I2019" s="40" t="n">
        <v>45.48</v>
      </c>
      <c r="J2019" s="40" t="n">
        <v>0</v>
      </c>
      <c r="K2019" s="6">
        <f>I2019-J2019</f>
        <v/>
      </c>
      <c r="L2019" s="6">
        <f>IF(H2019="DISTRATO",0,I2019)</f>
        <v/>
      </c>
    </row>
    <row r="2020">
      <c r="A2020" s="38" t="inlineStr">
        <is>
          <t>Conta corrente FRUGIS5.XLS</t>
        </is>
      </c>
      <c r="B2020" s="39" t="n">
        <v>41233</v>
      </c>
      <c r="C2020" s="4" t="n">
        <v>41214</v>
      </c>
      <c r="D2020" s="5">
        <f>YEAR(C2020)</f>
        <v/>
      </c>
      <c r="E2020" s="5">
        <f>MONTH(C2020)</f>
        <v/>
      </c>
      <c r="F2020" s="38" t="inlineStr">
        <is>
          <t>NFV  :TENDA ATACADO LTDA</t>
        </is>
      </c>
      <c r="G2020" s="38" t="inlineStr">
        <is>
          <t>MARIO FRUGIS (01.04.01)</t>
        </is>
      </c>
      <c r="H2020" s="38" t="inlineStr">
        <is>
          <t>NFV</t>
        </is>
      </c>
      <c r="I2020" s="40" t="n">
        <v>56.69</v>
      </c>
      <c r="J2020" s="40" t="n">
        <v>0</v>
      </c>
      <c r="K2020" s="6">
        <f>I2020-J2020</f>
        <v/>
      </c>
      <c r="L2020" s="6">
        <f>IF(H2020="DISTRATO",0,I2020)</f>
        <v/>
      </c>
    </row>
    <row r="2021">
      <c r="A2021" s="38" t="inlineStr">
        <is>
          <t>Conta corrente FRUGIS5.XLS</t>
        </is>
      </c>
      <c r="B2021" s="39" t="n">
        <v>41233</v>
      </c>
      <c r="C2021" s="4" t="n">
        <v>41214</v>
      </c>
      <c r="D2021" s="5">
        <f>YEAR(C2021)</f>
        <v/>
      </c>
      <c r="E2021" s="5">
        <f>MONTH(C2021)</f>
        <v/>
      </c>
      <c r="F2021" s="38" t="inlineStr">
        <is>
          <t>NFV  :TENDA ATACADO LTDA</t>
        </is>
      </c>
      <c r="G2021" s="38" t="inlineStr">
        <is>
          <t>MARIO FRUGIS (01.04.01)</t>
        </is>
      </c>
      <c r="H2021" s="38" t="inlineStr">
        <is>
          <t>NFV</t>
        </is>
      </c>
      <c r="I2021" s="40" t="n">
        <v>119.46</v>
      </c>
      <c r="J2021" s="40" t="n">
        <v>0</v>
      </c>
      <c r="K2021" s="6">
        <f>I2021-J2021</f>
        <v/>
      </c>
      <c r="L2021" s="6">
        <f>IF(H2021="DISTRATO",0,I2021)</f>
        <v/>
      </c>
    </row>
    <row r="2022">
      <c r="A2022" s="38" t="inlineStr">
        <is>
          <t>Conta corrente FRUGIS5.XLS</t>
        </is>
      </c>
      <c r="B2022" s="39" t="n">
        <v>41233</v>
      </c>
      <c r="C2022" s="4" t="n">
        <v>41214</v>
      </c>
      <c r="D2022" s="5">
        <f>YEAR(C2022)</f>
        <v/>
      </c>
      <c r="E2022" s="5">
        <f>MONTH(C2022)</f>
        <v/>
      </c>
      <c r="F2022" s="38" t="inlineStr">
        <is>
          <t>NFV  :TENDA ATACADO LTDA</t>
        </is>
      </c>
      <c r="G2022" s="38" t="inlineStr">
        <is>
          <t>MARIO FRUGIS (01.04.01)</t>
        </is>
      </c>
      <c r="H2022" s="38" t="inlineStr">
        <is>
          <t>NFV</t>
        </is>
      </c>
      <c r="I2022" s="40" t="n">
        <v>81.41</v>
      </c>
      <c r="J2022" s="40" t="n">
        <v>0</v>
      </c>
      <c r="K2022" s="6">
        <f>I2022-J2022</f>
        <v/>
      </c>
      <c r="L2022" s="6">
        <f>IF(H2022="DISTRATO",0,I2022)</f>
        <v/>
      </c>
    </row>
    <row r="2023">
      <c r="A2023" s="38" t="inlineStr">
        <is>
          <t>Conta corrente FRUGIS5.XLS</t>
        </is>
      </c>
      <c r="B2023" s="39" t="n">
        <v>41233</v>
      </c>
      <c r="C2023" s="4" t="n">
        <v>41214</v>
      </c>
      <c r="D2023" s="5">
        <f>YEAR(C2023)</f>
        <v/>
      </c>
      <c r="E2023" s="5">
        <f>MONTH(C2023)</f>
        <v/>
      </c>
      <c r="F2023" s="38" t="inlineStr">
        <is>
          <t>NFV  :TENDA ATACADO LTDA</t>
        </is>
      </c>
      <c r="G2023" s="38" t="inlineStr">
        <is>
          <t>MARIO FRUGIS (01.04.01)</t>
        </is>
      </c>
      <c r="H2023" s="38" t="inlineStr">
        <is>
          <t>NFV</t>
        </is>
      </c>
      <c r="I2023" s="40" t="n">
        <v>30.54</v>
      </c>
      <c r="J2023" s="40" t="n">
        <v>0</v>
      </c>
      <c r="K2023" s="6">
        <f>I2023-J2023</f>
        <v/>
      </c>
      <c r="L2023" s="6">
        <f>IF(H2023="DISTRATO",0,I2023)</f>
        <v/>
      </c>
    </row>
    <row r="2024">
      <c r="A2024" s="38" t="inlineStr">
        <is>
          <t>Conta corrente FRUGIS5.XLS</t>
        </is>
      </c>
      <c r="B2024" s="39" t="n">
        <v>41233</v>
      </c>
      <c r="C2024" s="4" t="n">
        <v>41214</v>
      </c>
      <c r="D2024" s="5">
        <f>YEAR(C2024)</f>
        <v/>
      </c>
      <c r="E2024" s="5">
        <f>MONTH(C2024)</f>
        <v/>
      </c>
      <c r="F2024" s="38" t="inlineStr">
        <is>
          <t>NFV  :TENDA ATACADO LTDA</t>
        </is>
      </c>
      <c r="G2024" s="38" t="inlineStr">
        <is>
          <t>MARIO FRUGIS (01.04.01)</t>
        </is>
      </c>
      <c r="H2024" s="38" t="inlineStr">
        <is>
          <t>NFV</t>
        </is>
      </c>
      <c r="I2024" s="40" t="n">
        <v>91.5</v>
      </c>
      <c r="J2024" s="40" t="n">
        <v>0</v>
      </c>
      <c r="K2024" s="6">
        <f>I2024-J2024</f>
        <v/>
      </c>
      <c r="L2024" s="6">
        <f>IF(H2024="DISTRATO",0,I2024)</f>
        <v/>
      </c>
    </row>
    <row r="2025">
      <c r="A2025" s="38" t="inlineStr">
        <is>
          <t>Conta corrente FRUGIS5.XLS</t>
        </is>
      </c>
      <c r="B2025" s="39" t="n">
        <v>41233</v>
      </c>
      <c r="C2025" s="4" t="n">
        <v>41214</v>
      </c>
      <c r="D2025" s="5">
        <f>YEAR(C2025)</f>
        <v/>
      </c>
      <c r="E2025" s="5">
        <f>MONTH(C2025)</f>
        <v/>
      </c>
      <c r="F2025" s="38" t="inlineStr">
        <is>
          <t>NFV  :TENDA ATACADO LTDA</t>
        </is>
      </c>
      <c r="G2025" s="38" t="inlineStr">
        <is>
          <t>MARIO FRUGIS (01.04.01)</t>
        </is>
      </c>
      <c r="H2025" s="38" t="inlineStr">
        <is>
          <t>NFV</t>
        </is>
      </c>
      <c r="I2025" s="40" t="n">
        <v>68.98</v>
      </c>
      <c r="J2025" s="40" t="n">
        <v>0</v>
      </c>
      <c r="K2025" s="6">
        <f>I2025-J2025</f>
        <v/>
      </c>
      <c r="L2025" s="6">
        <f>IF(H2025="DISTRATO",0,I2025)</f>
        <v/>
      </c>
    </row>
    <row r="2026">
      <c r="A2026" s="38" t="inlineStr">
        <is>
          <t>Conta corrente FRUGIS5.XLS</t>
        </is>
      </c>
      <c r="B2026" s="39" t="n">
        <v>41233</v>
      </c>
      <c r="C2026" s="4" t="n">
        <v>41214</v>
      </c>
      <c r="D2026" s="5">
        <f>YEAR(C2026)</f>
        <v/>
      </c>
      <c r="E2026" s="5">
        <f>MONTH(C2026)</f>
        <v/>
      </c>
      <c r="F2026" s="38" t="inlineStr">
        <is>
          <t>NFV  :TENDA ATACADO LTDA</t>
        </is>
      </c>
      <c r="G2026" s="38" t="inlineStr">
        <is>
          <t>MARIO FRUGIS (01.04.01)</t>
        </is>
      </c>
      <c r="H2026" s="38" t="inlineStr">
        <is>
          <t>NFV</t>
        </is>
      </c>
      <c r="I2026" s="40" t="n">
        <v>49.41</v>
      </c>
      <c r="J2026" s="40" t="n">
        <v>0</v>
      </c>
      <c r="K2026" s="6">
        <f>I2026-J2026</f>
        <v/>
      </c>
      <c r="L2026" s="6">
        <f>IF(H2026="DISTRATO",0,I2026)</f>
        <v/>
      </c>
    </row>
    <row r="2027">
      <c r="A2027" s="38" t="inlineStr">
        <is>
          <t>Conta corrente FRUGIS5.XLS</t>
        </is>
      </c>
      <c r="B2027" s="39" t="n">
        <v>41233</v>
      </c>
      <c r="C2027" s="4" t="n">
        <v>41214</v>
      </c>
      <c r="D2027" s="5">
        <f>YEAR(C2027)</f>
        <v/>
      </c>
      <c r="E2027" s="5">
        <f>MONTH(C2027)</f>
        <v/>
      </c>
      <c r="F2027" s="38" t="inlineStr">
        <is>
          <t>NFV  :TENDA ATACADO LTDA</t>
        </is>
      </c>
      <c r="G2027" s="38" t="inlineStr">
        <is>
          <t>MARIO FRUGIS (01.04.01)</t>
        </is>
      </c>
      <c r="H2027" s="38" t="inlineStr">
        <is>
          <t>NFV</t>
        </is>
      </c>
      <c r="I2027" s="40" t="n">
        <v>117.2</v>
      </c>
      <c r="J2027" s="40" t="n">
        <v>0</v>
      </c>
      <c r="K2027" s="6">
        <f>I2027-J2027</f>
        <v/>
      </c>
      <c r="L2027" s="6">
        <f>IF(H2027="DISTRATO",0,I2027)</f>
        <v/>
      </c>
    </row>
    <row r="2028">
      <c r="A2028" s="38" t="inlineStr">
        <is>
          <t>Conta corrente FRUGIS5.XLS</t>
        </is>
      </c>
      <c r="B2028" s="39" t="n">
        <v>41233</v>
      </c>
      <c r="C2028" s="4" t="n">
        <v>41214</v>
      </c>
      <c r="D2028" s="5">
        <f>YEAR(C2028)</f>
        <v/>
      </c>
      <c r="E2028" s="5">
        <f>MONTH(C2028)</f>
        <v/>
      </c>
      <c r="F2028" s="38" t="inlineStr">
        <is>
          <t>NFV  :TENDA ATACADO LTDA</t>
        </is>
      </c>
      <c r="G2028" s="38" t="inlineStr">
        <is>
          <t>MARIO FRUGIS (01.04.01)</t>
        </is>
      </c>
      <c r="H2028" s="38" t="inlineStr">
        <is>
          <t>NFV</t>
        </is>
      </c>
      <c r="I2028" s="40" t="n">
        <v>112.96</v>
      </c>
      <c r="J2028" s="40" t="n">
        <v>0</v>
      </c>
      <c r="K2028" s="6">
        <f>I2028-J2028</f>
        <v/>
      </c>
      <c r="L2028" s="6">
        <f>IF(H2028="DISTRATO",0,I2028)</f>
        <v/>
      </c>
    </row>
    <row r="2029">
      <c r="A2029" s="38" t="inlineStr">
        <is>
          <t>Conta corrente FRUGIS5.XLS</t>
        </is>
      </c>
      <c r="B2029" s="39" t="n">
        <v>41233</v>
      </c>
      <c r="C2029" s="4" t="n">
        <v>41214</v>
      </c>
      <c r="D2029" s="5">
        <f>YEAR(C2029)</f>
        <v/>
      </c>
      <c r="E2029" s="5">
        <f>MONTH(C2029)</f>
        <v/>
      </c>
      <c r="F2029" s="38" t="inlineStr">
        <is>
          <t>NFV  :TENDA ATACADO LTDA</t>
        </is>
      </c>
      <c r="G2029" s="38" t="inlineStr">
        <is>
          <t>MARIO FRUGIS (01.04.01)</t>
        </is>
      </c>
      <c r="H2029" s="38" t="inlineStr">
        <is>
          <t>NFV</t>
        </is>
      </c>
      <c r="I2029" s="40" t="n">
        <v>63.78</v>
      </c>
      <c r="J2029" s="40" t="n">
        <v>0</v>
      </c>
      <c r="K2029" s="6">
        <f>I2029-J2029</f>
        <v/>
      </c>
      <c r="L2029" s="6">
        <f>IF(H2029="DISTRATO",0,I2029)</f>
        <v/>
      </c>
    </row>
    <row r="2030">
      <c r="A2030" s="38" t="inlineStr">
        <is>
          <t>Conta corrente FRUGIS5.XLS</t>
        </is>
      </c>
      <c r="B2030" s="39" t="n">
        <v>41234</v>
      </c>
      <c r="C2030" s="4" t="n">
        <v>41214</v>
      </c>
      <c r="D2030" s="5">
        <f>YEAR(C2030)</f>
        <v/>
      </c>
      <c r="E2030" s="5">
        <f>MONTH(C2030)</f>
        <v/>
      </c>
      <c r="F2030" s="38" t="inlineStr">
        <is>
          <t>NFV  :TENDA ATACADO LTDA</t>
        </is>
      </c>
      <c r="G2030" s="38" t="inlineStr">
        <is>
          <t>MARIO FRUGIS (01.04.01)</t>
        </is>
      </c>
      <c r="H2030" s="38" t="inlineStr">
        <is>
          <t>NFV</t>
        </is>
      </c>
      <c r="I2030" s="40" t="n">
        <v>14.74</v>
      </c>
      <c r="J2030" s="40" t="n">
        <v>0</v>
      </c>
      <c r="K2030" s="6">
        <f>I2030-J2030</f>
        <v/>
      </c>
      <c r="L2030" s="6">
        <f>IF(H2030="DISTRATO",0,I2030)</f>
        <v/>
      </c>
    </row>
    <row r="2031">
      <c r="A2031" s="38" t="inlineStr">
        <is>
          <t>Conta corrente FRUGIS5.XLS</t>
        </is>
      </c>
      <c r="B2031" s="39" t="n">
        <v>41238</v>
      </c>
      <c r="C2031" s="4" t="n">
        <v>41214</v>
      </c>
      <c r="D2031" s="5">
        <f>YEAR(C2031)</f>
        <v/>
      </c>
      <c r="E2031" s="5">
        <f>MONTH(C2031)</f>
        <v/>
      </c>
      <c r="F2031" s="38" t="inlineStr">
        <is>
          <t>NFV  :TENDA ATACADO LTDA</t>
        </is>
      </c>
      <c r="G2031" s="38" t="inlineStr">
        <is>
          <t>MARIO FRUGIS (01.04.01)</t>
        </is>
      </c>
      <c r="H2031" s="38" t="inlineStr">
        <is>
          <t>NFV</t>
        </is>
      </c>
      <c r="I2031" s="40" t="n">
        <v>89.29000000000001</v>
      </c>
      <c r="J2031" s="40" t="n">
        <v>0</v>
      </c>
      <c r="K2031" s="6">
        <f>I2031-J2031</f>
        <v/>
      </c>
      <c r="L2031" s="6">
        <f>IF(H2031="DISTRATO",0,I2031)</f>
        <v/>
      </c>
    </row>
    <row r="2032">
      <c r="A2032" s="38" t="inlineStr">
        <is>
          <t>Conta corrente FRUGIS5.XLS</t>
        </is>
      </c>
      <c r="B2032" s="39" t="n">
        <v>41238</v>
      </c>
      <c r="C2032" s="4" t="n">
        <v>41214</v>
      </c>
      <c r="D2032" s="5">
        <f>YEAR(C2032)</f>
        <v/>
      </c>
      <c r="E2032" s="5">
        <f>MONTH(C2032)</f>
        <v/>
      </c>
      <c r="F2032" s="38" t="inlineStr">
        <is>
          <t>NFV  :TENDA ATACADO LTDA</t>
        </is>
      </c>
      <c r="G2032" s="38" t="inlineStr">
        <is>
          <t>MARIO FRUGIS (01.04.01)</t>
        </is>
      </c>
      <c r="H2032" s="38" t="inlineStr">
        <is>
          <t>NFV</t>
        </is>
      </c>
      <c r="I2032" s="40" t="n">
        <v>109.91</v>
      </c>
      <c r="J2032" s="40" t="n">
        <v>0</v>
      </c>
      <c r="K2032" s="6">
        <f>I2032-J2032</f>
        <v/>
      </c>
      <c r="L2032" s="6">
        <f>IF(H2032="DISTRATO",0,I2032)</f>
        <v/>
      </c>
    </row>
    <row r="2033">
      <c r="A2033" s="38" t="inlineStr">
        <is>
          <t>Conta corrente FRUGIS5.XLS</t>
        </is>
      </c>
      <c r="B2033" s="39" t="n">
        <v>41243</v>
      </c>
      <c r="C2033" s="4" t="n">
        <v>41214</v>
      </c>
      <c r="D2033" s="5">
        <f>YEAR(C2033)</f>
        <v/>
      </c>
      <c r="E2033" s="5">
        <f>MONTH(C2033)</f>
        <v/>
      </c>
      <c r="F2033" s="38" t="inlineStr">
        <is>
          <t>BONIF:TENDA ATACADO LTDA</t>
        </is>
      </c>
      <c r="G2033" s="38" t="inlineStr">
        <is>
          <t>MARIO FRUGIS (01.04.01)</t>
        </is>
      </c>
      <c r="H2033" s="38" t="inlineStr">
        <is>
          <t>BONIFICACAO</t>
        </is>
      </c>
      <c r="I2033" s="40" t="n">
        <v>-5.27</v>
      </c>
      <c r="J2033" s="40" t="n">
        <v>0</v>
      </c>
      <c r="K2033" s="6">
        <f>I2033-J2033</f>
        <v/>
      </c>
      <c r="L2033" s="6">
        <f>IF(H2033="DISTRATO",0,I2033)</f>
        <v/>
      </c>
    </row>
    <row r="2034">
      <c r="A2034" s="38" t="inlineStr">
        <is>
          <t>Conta corrente FRUGIS5.XLS</t>
        </is>
      </c>
      <c r="B2034" s="39" t="n">
        <v>41243</v>
      </c>
      <c r="C2034" s="4" t="n">
        <v>41214</v>
      </c>
      <c r="D2034" s="5">
        <f>YEAR(C2034)</f>
        <v/>
      </c>
      <c r="E2034" s="5">
        <f>MONTH(C2034)</f>
        <v/>
      </c>
      <c r="F2034" s="38" t="inlineStr">
        <is>
          <t>BONIF:TENDA ATACADO LTDA</t>
        </is>
      </c>
      <c r="G2034" s="38" t="inlineStr">
        <is>
          <t>MARIO FRUGIS (01.04.01)</t>
        </is>
      </c>
      <c r="H2034" s="38" t="inlineStr">
        <is>
          <t>BONIFICACAO</t>
        </is>
      </c>
      <c r="I2034" s="40" t="n">
        <v>-5.27</v>
      </c>
      <c r="J2034" s="40" t="n">
        <v>0</v>
      </c>
      <c r="K2034" s="6">
        <f>I2034-J2034</f>
        <v/>
      </c>
      <c r="L2034" s="6">
        <f>IF(H2034="DISTRATO",0,I2034)</f>
        <v/>
      </c>
    </row>
    <row r="2035">
      <c r="A2035" s="38" t="inlineStr">
        <is>
          <t>Conta corrente FRUGIS5.XLS</t>
        </is>
      </c>
      <c r="B2035" s="39" t="n">
        <v>41243</v>
      </c>
      <c r="C2035" s="4" t="n">
        <v>41214</v>
      </c>
      <c r="D2035" s="5">
        <f>YEAR(C2035)</f>
        <v/>
      </c>
      <c r="E2035" s="5">
        <f>MONTH(C2035)</f>
        <v/>
      </c>
      <c r="F2035" s="38" t="inlineStr">
        <is>
          <t>BONIF:TENDA ATACADO LTDA</t>
        </is>
      </c>
      <c r="G2035" s="38" t="inlineStr">
        <is>
          <t>MARIO FRUGIS (01.04.01)</t>
        </is>
      </c>
      <c r="H2035" s="38" t="inlineStr">
        <is>
          <t>BONIFICACAO</t>
        </is>
      </c>
      <c r="I2035" s="40" t="n">
        <v>-5.27</v>
      </c>
      <c r="J2035" s="40" t="n">
        <v>0</v>
      </c>
      <c r="K2035" s="6">
        <f>I2035-J2035</f>
        <v/>
      </c>
      <c r="L2035" s="6">
        <f>IF(H2035="DISTRATO",0,I2035)</f>
        <v/>
      </c>
    </row>
    <row r="2036">
      <c r="A2036" s="38" t="inlineStr">
        <is>
          <t>Conta corrente FRUGIS5.XLS</t>
        </is>
      </c>
      <c r="B2036" s="39" t="n">
        <v>41243</v>
      </c>
      <c r="C2036" s="4" t="n">
        <v>41214</v>
      </c>
      <c r="D2036" s="5">
        <f>YEAR(C2036)</f>
        <v/>
      </c>
      <c r="E2036" s="5">
        <f>MONTH(C2036)</f>
        <v/>
      </c>
      <c r="F2036" s="38" t="inlineStr">
        <is>
          <t>BONIF:TENDA ATACADO LTDA</t>
        </is>
      </c>
      <c r="G2036" s="38" t="inlineStr">
        <is>
          <t>MARIO FRUGIS (01.04.01)</t>
        </is>
      </c>
      <c r="H2036" s="38" t="inlineStr">
        <is>
          <t>BONIFICACAO</t>
        </is>
      </c>
      <c r="I2036" s="40" t="n">
        <v>-5.27</v>
      </c>
      <c r="J2036" s="40" t="n">
        <v>0</v>
      </c>
      <c r="K2036" s="6">
        <f>I2036-J2036</f>
        <v/>
      </c>
      <c r="L2036" s="6">
        <f>IF(H2036="DISTRATO",0,I2036)</f>
        <v/>
      </c>
    </row>
    <row r="2037">
      <c r="A2037" s="38" t="inlineStr">
        <is>
          <t>Conta corrente FRUGIS5.XLS</t>
        </is>
      </c>
      <c r="B2037" s="39" t="n">
        <v>41243</v>
      </c>
      <c r="C2037" s="4" t="n">
        <v>41214</v>
      </c>
      <c r="D2037" s="5">
        <f>YEAR(C2037)</f>
        <v/>
      </c>
      <c r="E2037" s="5">
        <f>MONTH(C2037)</f>
        <v/>
      </c>
      <c r="F2037" s="38" t="inlineStr">
        <is>
          <t>BONIF:TENDA ATACADO LTDA</t>
        </is>
      </c>
      <c r="G2037" s="38" t="inlineStr">
        <is>
          <t>MARIO FRUGIS (01.04.01)</t>
        </is>
      </c>
      <c r="H2037" s="38" t="inlineStr">
        <is>
          <t>BONIFICACAO</t>
        </is>
      </c>
      <c r="I2037" s="40" t="n">
        <v>-5.27</v>
      </c>
      <c r="J2037" s="40" t="n">
        <v>0</v>
      </c>
      <c r="K2037" s="6">
        <f>I2037-J2037</f>
        <v/>
      </c>
      <c r="L2037" s="6">
        <f>IF(H2037="DISTRATO",0,I2037)</f>
        <v/>
      </c>
    </row>
    <row r="2038">
      <c r="A2038" s="38" t="inlineStr">
        <is>
          <t>Conta corrente FRUGIS5.XLS</t>
        </is>
      </c>
      <c r="B2038" s="39" t="n">
        <v>41243</v>
      </c>
      <c r="C2038" s="4" t="n">
        <v>41214</v>
      </c>
      <c r="D2038" s="5">
        <f>YEAR(C2038)</f>
        <v/>
      </c>
      <c r="E2038" s="5">
        <f>MONTH(C2038)</f>
        <v/>
      </c>
      <c r="F2038" s="38" t="inlineStr">
        <is>
          <t>BONIF:TENDA ATACADO LTDA</t>
        </is>
      </c>
      <c r="G2038" s="38" t="inlineStr">
        <is>
          <t>MARIO FRUGIS (01.04.01)</t>
        </is>
      </c>
      <c r="H2038" s="38" t="inlineStr">
        <is>
          <t>BONIFICACAO</t>
        </is>
      </c>
      <c r="I2038" s="40" t="n">
        <v>-5.27</v>
      </c>
      <c r="J2038" s="40" t="n">
        <v>0</v>
      </c>
      <c r="K2038" s="6">
        <f>I2038-J2038</f>
        <v/>
      </c>
      <c r="L2038" s="6">
        <f>IF(H2038="DISTRATO",0,I2038)</f>
        <v/>
      </c>
    </row>
    <row r="2039">
      <c r="A2039" s="38" t="inlineStr">
        <is>
          <t>Conta corrente FRUGIS5.XLS</t>
        </is>
      </c>
      <c r="B2039" s="39" t="n">
        <v>41243</v>
      </c>
      <c r="C2039" s="4" t="n">
        <v>41214</v>
      </c>
      <c r="D2039" s="5">
        <f>YEAR(C2039)</f>
        <v/>
      </c>
      <c r="E2039" s="5">
        <f>MONTH(C2039)</f>
        <v/>
      </c>
      <c r="F2039" s="38" t="inlineStr">
        <is>
          <t>BONIF:TENDA ATACADO LTDA</t>
        </is>
      </c>
      <c r="G2039" s="38" t="inlineStr">
        <is>
          <t>MARIO FRUGIS (01.04.01)</t>
        </is>
      </c>
      <c r="H2039" s="38" t="inlineStr">
        <is>
          <t>BONIFICACAO</t>
        </is>
      </c>
      <c r="I2039" s="40" t="n">
        <v>-5.27</v>
      </c>
      <c r="J2039" s="40" t="n">
        <v>0</v>
      </c>
      <c r="K2039" s="6">
        <f>I2039-J2039</f>
        <v/>
      </c>
      <c r="L2039" s="6">
        <f>IF(H2039="DISTRATO",0,I2039)</f>
        <v/>
      </c>
    </row>
    <row r="2040">
      <c r="A2040" s="38" t="inlineStr">
        <is>
          <t>Conta corrente FRUGIS5.XLS</t>
        </is>
      </c>
      <c r="B2040" s="39" t="n">
        <v>41243</v>
      </c>
      <c r="C2040" s="4" t="n">
        <v>41214</v>
      </c>
      <c r="D2040" s="5">
        <f>YEAR(C2040)</f>
        <v/>
      </c>
      <c r="E2040" s="5">
        <f>MONTH(C2040)</f>
        <v/>
      </c>
      <c r="F2040" s="38" t="inlineStr">
        <is>
          <t>BONIF:TENDA ATACADO LTDA</t>
        </is>
      </c>
      <c r="G2040" s="38" t="inlineStr">
        <is>
          <t>MARIO FRUGIS (01.04.01)</t>
        </is>
      </c>
      <c r="H2040" s="38" t="inlineStr">
        <is>
          <t>BONIFICACAO</t>
        </is>
      </c>
      <c r="I2040" s="40" t="n">
        <v>-5.27</v>
      </c>
      <c r="J2040" s="40" t="n">
        <v>0</v>
      </c>
      <c r="K2040" s="6">
        <f>I2040-J2040</f>
        <v/>
      </c>
      <c r="L2040" s="6">
        <f>IF(H2040="DISTRATO",0,I2040)</f>
        <v/>
      </c>
    </row>
    <row r="2041">
      <c r="A2041" s="38" t="inlineStr">
        <is>
          <t>Conta corrente FRUGIS5.XLS</t>
        </is>
      </c>
      <c r="B2041" s="39" t="n">
        <v>41243</v>
      </c>
      <c r="C2041" s="4" t="n">
        <v>41214</v>
      </c>
      <c r="D2041" s="5">
        <f>YEAR(C2041)</f>
        <v/>
      </c>
      <c r="E2041" s="5">
        <f>MONTH(C2041)</f>
        <v/>
      </c>
      <c r="F2041" s="38" t="inlineStr">
        <is>
          <t>BONIF:TENDA ATACADO LTDA</t>
        </is>
      </c>
      <c r="G2041" s="38" t="inlineStr">
        <is>
          <t>MARIO FRUGIS (01.04.01)</t>
        </is>
      </c>
      <c r="H2041" s="38" t="inlineStr">
        <is>
          <t>BONIFICACAO</t>
        </is>
      </c>
      <c r="I2041" s="40" t="n">
        <v>-5.27</v>
      </c>
      <c r="J2041" s="40" t="n">
        <v>0</v>
      </c>
      <c r="K2041" s="6">
        <f>I2041-J2041</f>
        <v/>
      </c>
      <c r="L2041" s="6">
        <f>IF(H2041="DISTRATO",0,I2041)</f>
        <v/>
      </c>
    </row>
    <row r="2042">
      <c r="A2042" s="38" t="inlineStr">
        <is>
          <t>Conta corrente FRUGIS5.XLS</t>
        </is>
      </c>
      <c r="B2042" s="39" t="n">
        <v>41243</v>
      </c>
      <c r="C2042" s="4" t="n">
        <v>41214</v>
      </c>
      <c r="D2042" s="5">
        <f>YEAR(C2042)</f>
        <v/>
      </c>
      <c r="E2042" s="5">
        <f>MONTH(C2042)</f>
        <v/>
      </c>
      <c r="F2042" s="38" t="inlineStr">
        <is>
          <t>BONIF:TENDA ATACADO LTDA</t>
        </is>
      </c>
      <c r="G2042" s="38" t="inlineStr">
        <is>
          <t>MARIO FRUGIS (01.04.01)</t>
        </is>
      </c>
      <c r="H2042" s="38" t="inlineStr">
        <is>
          <t>BONIFICACAO</t>
        </is>
      </c>
      <c r="I2042" s="40" t="n">
        <v>-5.27</v>
      </c>
      <c r="J2042" s="40" t="n">
        <v>0</v>
      </c>
      <c r="K2042" s="6">
        <f>I2042-J2042</f>
        <v/>
      </c>
      <c r="L2042" s="6">
        <f>IF(H2042="DISTRATO",0,I2042)</f>
        <v/>
      </c>
    </row>
    <row r="2043">
      <c r="A2043" s="38" t="inlineStr">
        <is>
          <t>Conta corrente FRUGIS5.XLS</t>
        </is>
      </c>
      <c r="B2043" s="39" t="n">
        <v>41243</v>
      </c>
      <c r="C2043" s="4" t="n">
        <v>41214</v>
      </c>
      <c r="D2043" s="5">
        <f>YEAR(C2043)</f>
        <v/>
      </c>
      <c r="E2043" s="5">
        <f>MONTH(C2043)</f>
        <v/>
      </c>
      <c r="F2043" s="38" t="inlineStr">
        <is>
          <t>NFV  :TENDA ATACADO LTDA</t>
        </is>
      </c>
      <c r="G2043" s="38" t="inlineStr">
        <is>
          <t>MARIO FRUGIS (01.04.01)</t>
        </is>
      </c>
      <c r="H2043" s="38" t="inlineStr">
        <is>
          <t>NFV</t>
        </is>
      </c>
      <c r="I2043" s="40" t="n">
        <v>36.02</v>
      </c>
      <c r="J2043" s="40" t="n">
        <v>0</v>
      </c>
      <c r="K2043" s="6">
        <f>I2043-J2043</f>
        <v/>
      </c>
      <c r="L2043" s="6">
        <f>IF(H2043="DISTRATO",0,I2043)</f>
        <v/>
      </c>
    </row>
    <row r="2044">
      <c r="A2044" s="38" t="inlineStr">
        <is>
          <t>Conta corrente FRUGIS5.XLS</t>
        </is>
      </c>
      <c r="B2044" s="39" t="n">
        <v>41243</v>
      </c>
      <c r="C2044" s="4" t="n">
        <v>41214</v>
      </c>
      <c r="D2044" s="5">
        <f>YEAR(C2044)</f>
        <v/>
      </c>
      <c r="E2044" s="5">
        <f>MONTH(C2044)</f>
        <v/>
      </c>
      <c r="F2044" s="38" t="inlineStr">
        <is>
          <t>NFV  :TENDA ATACADO LTDA</t>
        </is>
      </c>
      <c r="G2044" s="38" t="inlineStr">
        <is>
          <t>MARIO FRUGIS (01.04.01)</t>
        </is>
      </c>
      <c r="H2044" s="38" t="inlineStr">
        <is>
          <t>NFV</t>
        </is>
      </c>
      <c r="I2044" s="40" t="n">
        <v>36.75</v>
      </c>
      <c r="J2044" s="40" t="n">
        <v>0</v>
      </c>
      <c r="K2044" s="6">
        <f>I2044-J2044</f>
        <v/>
      </c>
      <c r="L2044" s="6">
        <f>IF(H2044="DISTRATO",0,I2044)</f>
        <v/>
      </c>
    </row>
    <row r="2045">
      <c r="A2045" s="38" t="inlineStr">
        <is>
          <t>Conta corrente FRUGIS5.XLS</t>
        </is>
      </c>
      <c r="B2045" s="39" t="n">
        <v>41243</v>
      </c>
      <c r="C2045" s="4" t="n">
        <v>41214</v>
      </c>
      <c r="D2045" s="5">
        <f>YEAR(C2045)</f>
        <v/>
      </c>
      <c r="E2045" s="5">
        <f>MONTH(C2045)</f>
        <v/>
      </c>
      <c r="F2045" s="38" t="inlineStr">
        <is>
          <t>NFV  :TENDA ATACADO LTDA</t>
        </is>
      </c>
      <c r="G2045" s="38" t="inlineStr">
        <is>
          <t>MARIO FRUGIS (01.04.01)</t>
        </is>
      </c>
      <c r="H2045" s="38" t="inlineStr">
        <is>
          <t>NFV</t>
        </is>
      </c>
      <c r="I2045" s="40" t="n">
        <v>75.67</v>
      </c>
      <c r="J2045" s="40" t="n">
        <v>0</v>
      </c>
      <c r="K2045" s="6">
        <f>I2045-J2045</f>
        <v/>
      </c>
      <c r="L2045" s="6">
        <f>IF(H2045="DISTRATO",0,I2045)</f>
        <v/>
      </c>
    </row>
    <row r="2046">
      <c r="A2046" s="38" t="inlineStr">
        <is>
          <t>Conta corrente FRUGIS5.XLS</t>
        </is>
      </c>
      <c r="B2046" s="39" t="n">
        <v>41243</v>
      </c>
      <c r="C2046" s="4" t="n">
        <v>41214</v>
      </c>
      <c r="D2046" s="5">
        <f>YEAR(C2046)</f>
        <v/>
      </c>
      <c r="E2046" s="5">
        <f>MONTH(C2046)</f>
        <v/>
      </c>
      <c r="F2046" s="38" t="inlineStr">
        <is>
          <t>NFV  :TENDA ATACADO LTDA</t>
        </is>
      </c>
      <c r="G2046" s="38" t="inlineStr">
        <is>
          <t>MARIO FRUGIS (01.04.01)</t>
        </is>
      </c>
      <c r="H2046" s="38" t="inlineStr">
        <is>
          <t>NFV</t>
        </is>
      </c>
      <c r="I2046" s="40" t="n">
        <v>48.55</v>
      </c>
      <c r="J2046" s="40" t="n">
        <v>0</v>
      </c>
      <c r="K2046" s="6">
        <f>I2046-J2046</f>
        <v/>
      </c>
      <c r="L2046" s="6">
        <f>IF(H2046="DISTRATO",0,I2046)</f>
        <v/>
      </c>
    </row>
    <row r="2047">
      <c r="A2047" s="38" t="inlineStr">
        <is>
          <t>Conta corrente FRUGIS5.XLS</t>
        </is>
      </c>
      <c r="B2047" s="39" t="n">
        <v>41243</v>
      </c>
      <c r="C2047" s="4" t="n">
        <v>41214</v>
      </c>
      <c r="D2047" s="5">
        <f>YEAR(C2047)</f>
        <v/>
      </c>
      <c r="E2047" s="5">
        <f>MONTH(C2047)</f>
        <v/>
      </c>
      <c r="F2047" s="38" t="inlineStr">
        <is>
          <t>NFV  :TENDA ATACADO LTDA</t>
        </is>
      </c>
      <c r="G2047" s="38" t="inlineStr">
        <is>
          <t>MARIO FRUGIS (01.04.01)</t>
        </is>
      </c>
      <c r="H2047" s="38" t="inlineStr">
        <is>
          <t>NFV</t>
        </is>
      </c>
      <c r="I2047" s="40" t="n">
        <v>34.69</v>
      </c>
      <c r="J2047" s="40" t="n">
        <v>0</v>
      </c>
      <c r="K2047" s="6">
        <f>I2047-J2047</f>
        <v/>
      </c>
      <c r="L2047" s="6">
        <f>IF(H2047="DISTRATO",0,I2047)</f>
        <v/>
      </c>
    </row>
    <row r="2048">
      <c r="A2048" s="38" t="inlineStr">
        <is>
          <t>Conta corrente FRUGIS5.XLS</t>
        </is>
      </c>
      <c r="B2048" s="39" t="n">
        <v>41243</v>
      </c>
      <c r="C2048" s="4" t="n">
        <v>41214</v>
      </c>
      <c r="D2048" s="5">
        <f>YEAR(C2048)</f>
        <v/>
      </c>
      <c r="E2048" s="5">
        <f>MONTH(C2048)</f>
        <v/>
      </c>
      <c r="F2048" s="38" t="inlineStr">
        <is>
          <t>NFV  :TENDA ATACADO LTDA</t>
        </is>
      </c>
      <c r="G2048" s="38" t="inlineStr">
        <is>
          <t>MARIO FRUGIS (01.04.01)</t>
        </is>
      </c>
      <c r="H2048" s="38" t="inlineStr">
        <is>
          <t>NFV</t>
        </is>
      </c>
      <c r="I2048" s="40" t="n">
        <v>73.8</v>
      </c>
      <c r="J2048" s="40" t="n">
        <v>0</v>
      </c>
      <c r="K2048" s="6">
        <f>I2048-J2048</f>
        <v/>
      </c>
      <c r="L2048" s="6">
        <f>IF(H2048="DISTRATO",0,I2048)</f>
        <v/>
      </c>
    </row>
    <row r="2049">
      <c r="A2049" s="38" t="inlineStr">
        <is>
          <t>Conta corrente FRUGIS5.XLS</t>
        </is>
      </c>
      <c r="B2049" s="39" t="n">
        <v>41243</v>
      </c>
      <c r="C2049" s="4" t="n">
        <v>41214</v>
      </c>
      <c r="D2049" s="5">
        <f>YEAR(C2049)</f>
        <v/>
      </c>
      <c r="E2049" s="5">
        <f>MONTH(C2049)</f>
        <v/>
      </c>
      <c r="F2049" s="38" t="inlineStr">
        <is>
          <t>NFV  :TENDA ATACADO LTDA</t>
        </is>
      </c>
      <c r="G2049" s="38" t="inlineStr">
        <is>
          <t>MARIO FRUGIS (01.04.01)</t>
        </is>
      </c>
      <c r="H2049" s="38" t="inlineStr">
        <is>
          <t>NFV</t>
        </is>
      </c>
      <c r="I2049" s="40" t="n">
        <v>45</v>
      </c>
      <c r="J2049" s="40" t="n">
        <v>0</v>
      </c>
      <c r="K2049" s="6">
        <f>I2049-J2049</f>
        <v/>
      </c>
      <c r="L2049" s="6">
        <f>IF(H2049="DISTRATO",0,I2049)</f>
        <v/>
      </c>
    </row>
    <row r="2050">
      <c r="A2050" s="38" t="inlineStr">
        <is>
          <t>Conta corrente FRUGIS5.XLS</t>
        </is>
      </c>
      <c r="B2050" s="39" t="n">
        <v>41243</v>
      </c>
      <c r="C2050" s="4" t="n">
        <v>41214</v>
      </c>
      <c r="D2050" s="5">
        <f>YEAR(C2050)</f>
        <v/>
      </c>
      <c r="E2050" s="5">
        <f>MONTH(C2050)</f>
        <v/>
      </c>
      <c r="F2050" s="38" t="inlineStr">
        <is>
          <t>NFV  :TENDA ATACADO LTDA</t>
        </is>
      </c>
      <c r="G2050" s="38" t="inlineStr">
        <is>
          <t>MARIO FRUGIS (01.04.01)</t>
        </is>
      </c>
      <c r="H2050" s="38" t="inlineStr">
        <is>
          <t>NFV</t>
        </is>
      </c>
      <c r="I2050" s="40" t="n">
        <v>12.56</v>
      </c>
      <c r="J2050" s="40" t="n">
        <v>0</v>
      </c>
      <c r="K2050" s="6">
        <f>I2050-J2050</f>
        <v/>
      </c>
      <c r="L2050" s="6">
        <f>IF(H2050="DISTRATO",0,I2050)</f>
        <v/>
      </c>
    </row>
    <row r="2051">
      <c r="A2051" s="38" t="inlineStr">
        <is>
          <t>Conta corrente FRUGIS5.XLS</t>
        </is>
      </c>
      <c r="B2051" s="39" t="n">
        <v>41243</v>
      </c>
      <c r="C2051" s="4" t="n">
        <v>41214</v>
      </c>
      <c r="D2051" s="5">
        <f>YEAR(C2051)</f>
        <v/>
      </c>
      <c r="E2051" s="5">
        <f>MONTH(C2051)</f>
        <v/>
      </c>
      <c r="F2051" s="38" t="inlineStr">
        <is>
          <t>NFV  :TENDA ATACADO LTDA</t>
        </is>
      </c>
      <c r="G2051" s="38" t="inlineStr">
        <is>
          <t>MARIO FRUGIS (01.04.01)</t>
        </is>
      </c>
      <c r="H2051" s="38" t="inlineStr">
        <is>
          <t>NFV</t>
        </is>
      </c>
      <c r="I2051" s="40" t="n">
        <v>44.27</v>
      </c>
      <c r="J2051" s="40" t="n">
        <v>0</v>
      </c>
      <c r="K2051" s="6">
        <f>I2051-J2051</f>
        <v/>
      </c>
      <c r="L2051" s="6">
        <f>IF(H2051="DISTRATO",0,I2051)</f>
        <v/>
      </c>
    </row>
    <row r="2052">
      <c r="A2052" s="38" t="inlineStr">
        <is>
          <t>Conta corrente FRUGIS5.XLS</t>
        </is>
      </c>
      <c r="B2052" s="39" t="n">
        <v>41243</v>
      </c>
      <c r="C2052" s="4" t="n">
        <v>41214</v>
      </c>
      <c r="D2052" s="5">
        <f>YEAR(C2052)</f>
        <v/>
      </c>
      <c r="E2052" s="5">
        <f>MONTH(C2052)</f>
        <v/>
      </c>
      <c r="F2052" s="38" t="inlineStr">
        <is>
          <t>NFV  :TENDA ATACADO LTDA</t>
        </is>
      </c>
      <c r="G2052" s="38" t="inlineStr">
        <is>
          <t>MARIO FRUGIS (01.04.01)</t>
        </is>
      </c>
      <c r="H2052" s="38" t="inlineStr">
        <is>
          <t>NFV</t>
        </is>
      </c>
      <c r="I2052" s="40" t="n">
        <v>47.13</v>
      </c>
      <c r="J2052" s="40" t="n">
        <v>0</v>
      </c>
      <c r="K2052" s="6">
        <f>I2052-J2052</f>
        <v/>
      </c>
      <c r="L2052" s="6">
        <f>IF(H2052="DISTRATO",0,I2052)</f>
        <v/>
      </c>
    </row>
    <row r="2053">
      <c r="A2053" s="38" t="inlineStr">
        <is>
          <t>Conta corrente FRUGIS5.XLS</t>
        </is>
      </c>
      <c r="B2053" s="39" t="n">
        <v>41243</v>
      </c>
      <c r="C2053" s="4" t="n">
        <v>41214</v>
      </c>
      <c r="D2053" s="5">
        <f>YEAR(C2053)</f>
        <v/>
      </c>
      <c r="E2053" s="5">
        <f>MONTH(C2053)</f>
        <v/>
      </c>
      <c r="F2053" s="38" t="inlineStr">
        <is>
          <t>NFV  :TENDA ATACADO LTDA</t>
        </is>
      </c>
      <c r="G2053" s="38" t="inlineStr">
        <is>
          <t>MARIO FRUGIS (01.04.01)</t>
        </is>
      </c>
      <c r="H2053" s="38" t="inlineStr">
        <is>
          <t>NFV</t>
        </is>
      </c>
      <c r="I2053" s="40" t="n">
        <v>44.27</v>
      </c>
      <c r="J2053" s="40" t="n">
        <v>0</v>
      </c>
      <c r="K2053" s="6">
        <f>I2053-J2053</f>
        <v/>
      </c>
      <c r="L2053" s="6">
        <f>IF(H2053="DISTRATO",0,I2053)</f>
        <v/>
      </c>
    </row>
    <row r="2054">
      <c r="A2054" s="38" t="inlineStr">
        <is>
          <t>Conta corrente FRUGIS5.XLS</t>
        </is>
      </c>
      <c r="B2054" s="39" t="n">
        <v>41243</v>
      </c>
      <c r="C2054" s="4" t="n">
        <v>41214</v>
      </c>
      <c r="D2054" s="5">
        <f>YEAR(C2054)</f>
        <v/>
      </c>
      <c r="E2054" s="5">
        <f>MONTH(C2054)</f>
        <v/>
      </c>
      <c r="F2054" s="38" t="inlineStr">
        <is>
          <t>NFV  :TENDA ATACADO LTDA</t>
        </is>
      </c>
      <c r="G2054" s="38" t="inlineStr">
        <is>
          <t>MARIO FRUGIS (01.04.01)</t>
        </is>
      </c>
      <c r="H2054" s="38" t="inlineStr">
        <is>
          <t>NFV</t>
        </is>
      </c>
      <c r="I2054" s="40" t="n">
        <v>48.72</v>
      </c>
      <c r="J2054" s="40" t="n">
        <v>0</v>
      </c>
      <c r="K2054" s="6">
        <f>I2054-J2054</f>
        <v/>
      </c>
      <c r="L2054" s="6">
        <f>IF(H2054="DISTRATO",0,I2054)</f>
        <v/>
      </c>
    </row>
    <row r="2055">
      <c r="A2055" s="38" t="inlineStr">
        <is>
          <t>Conta corrente FRUGIS5.XLS</t>
        </is>
      </c>
      <c r="B2055" s="39" t="n">
        <v>41243</v>
      </c>
      <c r="C2055" s="4" t="n">
        <v>41214</v>
      </c>
      <c r="D2055" s="5">
        <f>YEAR(C2055)</f>
        <v/>
      </c>
      <c r="E2055" s="5">
        <f>MONTH(C2055)</f>
        <v/>
      </c>
      <c r="F2055" s="38" t="inlineStr">
        <is>
          <t>NFV  :TENDA ATACADO LTDA</t>
        </is>
      </c>
      <c r="G2055" s="38" t="inlineStr">
        <is>
          <t>MARIO FRUGIS (01.04.01)</t>
        </is>
      </c>
      <c r="H2055" s="38" t="inlineStr">
        <is>
          <t>NFV</t>
        </is>
      </c>
      <c r="I2055" s="40" t="n">
        <v>71.29000000000001</v>
      </c>
      <c r="J2055" s="40" t="n">
        <v>0</v>
      </c>
      <c r="K2055" s="6">
        <f>I2055-J2055</f>
        <v/>
      </c>
      <c r="L2055" s="6">
        <f>IF(H2055="DISTRATO",0,I2055)</f>
        <v/>
      </c>
    </row>
    <row r="2056">
      <c r="A2056" s="38" t="inlineStr">
        <is>
          <t>Conta corrente FRUGIS5.XLS</t>
        </is>
      </c>
      <c r="B2056" s="39" t="n">
        <v>41243</v>
      </c>
      <c r="C2056" s="4" t="n">
        <v>41214</v>
      </c>
      <c r="D2056" s="5">
        <f>YEAR(C2056)</f>
        <v/>
      </c>
      <c r="E2056" s="5">
        <f>MONTH(C2056)</f>
        <v/>
      </c>
      <c r="F2056" s="38" t="inlineStr">
        <is>
          <t>NFV  :TENDA ATACADO LTDA</t>
        </is>
      </c>
      <c r="G2056" s="38" t="inlineStr">
        <is>
          <t>MARIO FRUGIS (01.04.01)</t>
        </is>
      </c>
      <c r="H2056" s="38" t="inlineStr">
        <is>
          <t>NFV</t>
        </is>
      </c>
      <c r="I2056" s="40" t="n">
        <v>32.35</v>
      </c>
      <c r="J2056" s="40" t="n">
        <v>0</v>
      </c>
      <c r="K2056" s="6">
        <f>I2056-J2056</f>
        <v/>
      </c>
      <c r="L2056" s="6">
        <f>IF(H2056="DISTRATO",0,I2056)</f>
        <v/>
      </c>
    </row>
    <row r="2057">
      <c r="A2057" s="38" t="inlineStr">
        <is>
          <t>Conta corrente FRUGIS5.XLS</t>
        </is>
      </c>
      <c r="B2057" s="39" t="n">
        <v>41243</v>
      </c>
      <c r="C2057" s="4" t="n">
        <v>41214</v>
      </c>
      <c r="D2057" s="5">
        <f>YEAR(C2057)</f>
        <v/>
      </c>
      <c r="E2057" s="5">
        <f>MONTH(C2057)</f>
        <v/>
      </c>
      <c r="F2057" s="38" t="inlineStr">
        <is>
          <t>NFV  :TENDA ATACADO LTDA</t>
        </is>
      </c>
      <c r="G2057" s="38" t="inlineStr">
        <is>
          <t>MARIO FRUGIS (01.04.01)</t>
        </is>
      </c>
      <c r="H2057" s="38" t="inlineStr">
        <is>
          <t>NFV</t>
        </is>
      </c>
      <c r="I2057" s="40" t="n">
        <v>36.75</v>
      </c>
      <c r="J2057" s="40" t="n">
        <v>0</v>
      </c>
      <c r="K2057" s="6">
        <f>I2057-J2057</f>
        <v/>
      </c>
      <c r="L2057" s="6">
        <f>IF(H2057="DISTRATO",0,I2057)</f>
        <v/>
      </c>
    </row>
    <row r="2058">
      <c r="A2058" s="38" t="inlineStr">
        <is>
          <t>Conta corrente FRUGIS5.XLS</t>
        </is>
      </c>
      <c r="B2058" s="39" t="n">
        <v>41243</v>
      </c>
      <c r="C2058" s="4" t="n">
        <v>41214</v>
      </c>
      <c r="D2058" s="5">
        <f>YEAR(C2058)</f>
        <v/>
      </c>
      <c r="E2058" s="5">
        <f>MONTH(C2058)</f>
        <v/>
      </c>
      <c r="F2058" s="38" t="inlineStr">
        <is>
          <t>NFV  :TENDA ATACADO LTDA</t>
        </is>
      </c>
      <c r="G2058" s="38" t="inlineStr">
        <is>
          <t>MARIO FRUGIS (01.04.01)</t>
        </is>
      </c>
      <c r="H2058" s="38" t="inlineStr">
        <is>
          <t>NFV</t>
        </is>
      </c>
      <c r="I2058" s="40" t="n">
        <v>78.77</v>
      </c>
      <c r="J2058" s="40" t="n">
        <v>0</v>
      </c>
      <c r="K2058" s="6">
        <f>I2058-J2058</f>
        <v/>
      </c>
      <c r="L2058" s="6">
        <f>IF(H2058="DISTRATO",0,I2058)</f>
        <v/>
      </c>
    </row>
    <row r="2059">
      <c r="A2059" s="38" t="inlineStr">
        <is>
          <t>Conta corrente FRUGIS5.XLS</t>
        </is>
      </c>
      <c r="B2059" s="39" t="n">
        <v>41243</v>
      </c>
      <c r="C2059" s="4" t="n">
        <v>41214</v>
      </c>
      <c r="D2059" s="5">
        <f>YEAR(C2059)</f>
        <v/>
      </c>
      <c r="E2059" s="5">
        <f>MONTH(C2059)</f>
        <v/>
      </c>
      <c r="F2059" s="38" t="inlineStr">
        <is>
          <t>NFV  :TENDA ATACADO LTDA</t>
        </is>
      </c>
      <c r="G2059" s="38" t="inlineStr">
        <is>
          <t>MARIO FRUGIS (01.04.01)</t>
        </is>
      </c>
      <c r="H2059" s="38" t="inlineStr">
        <is>
          <t>NFV</t>
        </is>
      </c>
      <c r="I2059" s="40" t="n">
        <v>39.93</v>
      </c>
      <c r="J2059" s="40" t="n">
        <v>0</v>
      </c>
      <c r="K2059" s="6">
        <f>I2059-J2059</f>
        <v/>
      </c>
      <c r="L2059" s="6">
        <f>IF(H2059="DISTRATO",0,I2059)</f>
        <v/>
      </c>
    </row>
    <row r="2060">
      <c r="A2060" s="38" t="inlineStr">
        <is>
          <t>Conta corrente FRUGIS5.XLS</t>
        </is>
      </c>
      <c r="B2060" s="39" t="n">
        <v>41243</v>
      </c>
      <c r="C2060" s="4" t="n">
        <v>41214</v>
      </c>
      <c r="D2060" s="5">
        <f>YEAR(C2060)</f>
        <v/>
      </c>
      <c r="E2060" s="5">
        <f>MONTH(C2060)</f>
        <v/>
      </c>
      <c r="F2060" s="38" t="inlineStr">
        <is>
          <t>NFV  :TENDA ATACADO LTDA</t>
        </is>
      </c>
      <c r="G2060" s="38" t="inlineStr">
        <is>
          <t>MARIO FRUGIS (01.04.01)</t>
        </is>
      </c>
      <c r="H2060" s="38" t="inlineStr">
        <is>
          <t>NFV</t>
        </is>
      </c>
      <c r="I2060" s="40" t="n">
        <v>87.47</v>
      </c>
      <c r="J2060" s="40" t="n">
        <v>0</v>
      </c>
      <c r="K2060" s="6">
        <f>I2060-J2060</f>
        <v/>
      </c>
      <c r="L2060" s="6">
        <f>IF(H2060="DISTRATO",0,I2060)</f>
        <v/>
      </c>
    </row>
    <row r="2061">
      <c r="A2061" s="38" t="inlineStr">
        <is>
          <t>Conta corrente FRUGIS5.XLS</t>
        </is>
      </c>
      <c r="B2061" s="39" t="n">
        <v>41243</v>
      </c>
      <c r="C2061" s="4" t="n">
        <v>41214</v>
      </c>
      <c r="D2061" s="5">
        <f>YEAR(C2061)</f>
        <v/>
      </c>
      <c r="E2061" s="5">
        <f>MONTH(C2061)</f>
        <v/>
      </c>
      <c r="F2061" s="38" t="inlineStr">
        <is>
          <t>NFV  :TENDA ATACADO LTDA</t>
        </is>
      </c>
      <c r="G2061" s="38" t="inlineStr">
        <is>
          <t>MARIO FRUGIS (01.04.01)</t>
        </is>
      </c>
      <c r="H2061" s="38" t="inlineStr">
        <is>
          <t>NFV</t>
        </is>
      </c>
      <c r="I2061" s="40" t="n">
        <v>69.5</v>
      </c>
      <c r="J2061" s="40" t="n">
        <v>0</v>
      </c>
      <c r="K2061" s="6">
        <f>I2061-J2061</f>
        <v/>
      </c>
      <c r="L2061" s="6">
        <f>IF(H2061="DISTRATO",0,I2061)</f>
        <v/>
      </c>
    </row>
    <row r="2062">
      <c r="A2062" s="38" t="inlineStr">
        <is>
          <t>Conta corrente FRUGIS5.XLS</t>
        </is>
      </c>
      <c r="B2062" s="39" t="n">
        <v>41243</v>
      </c>
      <c r="C2062" s="4" t="n">
        <v>41214</v>
      </c>
      <c r="D2062" s="5">
        <f>YEAR(C2062)</f>
        <v/>
      </c>
      <c r="E2062" s="5">
        <f>MONTH(C2062)</f>
        <v/>
      </c>
      <c r="F2062" s="38" t="inlineStr">
        <is>
          <t>NFV  :TENDA ATACADO LTDA</t>
        </is>
      </c>
      <c r="G2062" s="38" t="inlineStr">
        <is>
          <t>MARIO FRUGIS (01.04.01)</t>
        </is>
      </c>
      <c r="H2062" s="38" t="inlineStr">
        <is>
          <t>NFV</t>
        </is>
      </c>
      <c r="I2062" s="40" t="n">
        <v>145.58</v>
      </c>
      <c r="J2062" s="40" t="n">
        <v>0</v>
      </c>
      <c r="K2062" s="6">
        <f>I2062-J2062</f>
        <v/>
      </c>
      <c r="L2062" s="6">
        <f>IF(H2062="DISTRATO",0,I2062)</f>
        <v/>
      </c>
    </row>
    <row r="2063">
      <c r="A2063" s="38" t="inlineStr">
        <is>
          <t>Conta corrente FRUGIS5.XLS</t>
        </is>
      </c>
      <c r="B2063" s="39" t="n">
        <v>41243</v>
      </c>
      <c r="C2063" s="4" t="n">
        <v>41214</v>
      </c>
      <c r="D2063" s="5">
        <f>YEAR(C2063)</f>
        <v/>
      </c>
      <c r="E2063" s="5">
        <f>MONTH(C2063)</f>
        <v/>
      </c>
      <c r="F2063" s="38" t="inlineStr">
        <is>
          <t>NFV  :TENDA ATACADO LTDA</t>
        </is>
      </c>
      <c r="G2063" s="38" t="inlineStr">
        <is>
          <t>MARIO FRUGIS (01.04.01)</t>
        </is>
      </c>
      <c r="H2063" s="38" t="inlineStr">
        <is>
          <t>NFV</t>
        </is>
      </c>
      <c r="I2063" s="40" t="n">
        <v>69.41</v>
      </c>
      <c r="J2063" s="40" t="n">
        <v>0</v>
      </c>
      <c r="K2063" s="6">
        <f>I2063-J2063</f>
        <v/>
      </c>
      <c r="L2063" s="6">
        <f>IF(H2063="DISTRATO",0,I2063)</f>
        <v/>
      </c>
    </row>
    <row r="2064">
      <c r="A2064" s="38" t="inlineStr">
        <is>
          <t>Conta corrente FRUGIS5.XLS</t>
        </is>
      </c>
      <c r="B2064" s="39" t="n">
        <v>41243</v>
      </c>
      <c r="C2064" s="4" t="n">
        <v>41214</v>
      </c>
      <c r="D2064" s="5">
        <f>YEAR(C2064)</f>
        <v/>
      </c>
      <c r="E2064" s="5">
        <f>MONTH(C2064)</f>
        <v/>
      </c>
      <c r="F2064" s="38" t="inlineStr">
        <is>
          <t>NFV  :TENDA ATACADO LTDA</t>
        </is>
      </c>
      <c r="G2064" s="38" t="inlineStr">
        <is>
          <t>MARIO FRUGIS (01.04.01)</t>
        </is>
      </c>
      <c r="H2064" s="38" t="inlineStr">
        <is>
          <t>NFV</t>
        </is>
      </c>
      <c r="I2064" s="40" t="n">
        <v>97.29000000000001</v>
      </c>
      <c r="J2064" s="40" t="n">
        <v>0</v>
      </c>
      <c r="K2064" s="6">
        <f>I2064-J2064</f>
        <v/>
      </c>
      <c r="L2064" s="6">
        <f>IF(H2064="DISTRATO",0,I2064)</f>
        <v/>
      </c>
    </row>
    <row r="2065">
      <c r="A2065" s="38" t="inlineStr">
        <is>
          <t>Conta corrente FRUGIS5.XLS</t>
        </is>
      </c>
      <c r="B2065" s="39" t="n">
        <v>41243</v>
      </c>
      <c r="C2065" s="4" t="n">
        <v>41214</v>
      </c>
      <c r="D2065" s="5">
        <f>YEAR(C2065)</f>
        <v/>
      </c>
      <c r="E2065" s="5">
        <f>MONTH(C2065)</f>
        <v/>
      </c>
      <c r="F2065" s="38" t="inlineStr">
        <is>
          <t>NFV  :TENDA ATACADO LTDA</t>
        </is>
      </c>
      <c r="G2065" s="38" t="inlineStr">
        <is>
          <t>MARIO FRUGIS (01.04.01)</t>
        </is>
      </c>
      <c r="H2065" s="38" t="inlineStr">
        <is>
          <t>NFV</t>
        </is>
      </c>
      <c r="I2065" s="40" t="n">
        <v>78.44</v>
      </c>
      <c r="J2065" s="40" t="n">
        <v>0</v>
      </c>
      <c r="K2065" s="6">
        <f>I2065-J2065</f>
        <v/>
      </c>
      <c r="L2065" s="6">
        <f>IF(H2065="DISTRATO",0,I2065)</f>
        <v/>
      </c>
    </row>
    <row r="2066">
      <c r="A2066" s="38" t="inlineStr">
        <is>
          <t>Conta corrente FRUGIS5.XLS</t>
        </is>
      </c>
      <c r="B2066" s="39" t="n">
        <v>41249</v>
      </c>
      <c r="C2066" s="4" t="n">
        <v>41244</v>
      </c>
      <c r="D2066" s="5">
        <f>YEAR(C2066)</f>
        <v/>
      </c>
      <c r="E2066" s="5">
        <f>MONTH(C2066)</f>
        <v/>
      </c>
      <c r="F2066" s="38" t="inlineStr">
        <is>
          <t>BONIF:TENDA ATACADO LTDA</t>
        </is>
      </c>
      <c r="G2066" s="38" t="inlineStr">
        <is>
          <t>MARIO FRUGIS (01.04.01)</t>
        </is>
      </c>
      <c r="H2066" s="38" t="inlineStr">
        <is>
          <t>BONIFICACAO</t>
        </is>
      </c>
      <c r="I2066" s="40" t="n">
        <v>-3.95</v>
      </c>
      <c r="J2066" s="40" t="n">
        <v>0</v>
      </c>
      <c r="K2066" s="6">
        <f>I2066-J2066</f>
        <v/>
      </c>
      <c r="L2066" s="6">
        <f>IF(H2066="DISTRATO",0,I2066)</f>
        <v/>
      </c>
    </row>
    <row r="2067">
      <c r="A2067" s="38" t="inlineStr">
        <is>
          <t>Conta corrente FRUGIS5.XLS</t>
        </is>
      </c>
      <c r="B2067" s="39" t="n">
        <v>41252</v>
      </c>
      <c r="C2067" s="4" t="n">
        <v>41244</v>
      </c>
      <c r="D2067" s="5">
        <f>YEAR(C2067)</f>
        <v/>
      </c>
      <c r="E2067" s="5">
        <f>MONTH(C2067)</f>
        <v/>
      </c>
      <c r="F2067" s="38" t="inlineStr">
        <is>
          <t>NFV  :TENDA ATACADO LTDA</t>
        </is>
      </c>
      <c r="G2067" s="38" t="inlineStr">
        <is>
          <t>MARIO FRUGIS (01.04.01)</t>
        </is>
      </c>
      <c r="H2067" s="38" t="inlineStr">
        <is>
          <t>NFV</t>
        </is>
      </c>
      <c r="I2067" s="40" t="n">
        <v>8.02</v>
      </c>
      <c r="J2067" s="40" t="n">
        <v>0</v>
      </c>
      <c r="K2067" s="6">
        <f>I2067-J2067</f>
        <v/>
      </c>
      <c r="L2067" s="6">
        <f>IF(H2067="DISTRATO",0,I2067)</f>
        <v/>
      </c>
    </row>
    <row r="2068">
      <c r="A2068" s="38" t="inlineStr">
        <is>
          <t>Conta corrente FRUGIS5.XLS</t>
        </is>
      </c>
      <c r="B2068" s="39" t="n">
        <v>41252</v>
      </c>
      <c r="C2068" s="4" t="n">
        <v>41244</v>
      </c>
      <c r="D2068" s="5">
        <f>YEAR(C2068)</f>
        <v/>
      </c>
      <c r="E2068" s="5">
        <f>MONTH(C2068)</f>
        <v/>
      </c>
      <c r="F2068" s="38" t="inlineStr">
        <is>
          <t>NFV  :TENDA ATACADO LTDA</t>
        </is>
      </c>
      <c r="G2068" s="38" t="inlineStr">
        <is>
          <t>MARIO FRUGIS (01.04.01)</t>
        </is>
      </c>
      <c r="H2068" s="38" t="inlineStr">
        <is>
          <t>NFV</t>
        </is>
      </c>
      <c r="I2068" s="40" t="n">
        <v>7.37</v>
      </c>
      <c r="J2068" s="40" t="n">
        <v>0</v>
      </c>
      <c r="K2068" s="6">
        <f>I2068-J2068</f>
        <v/>
      </c>
      <c r="L2068" s="6">
        <f>IF(H2068="DISTRATO",0,I2068)</f>
        <v/>
      </c>
    </row>
    <row r="2069">
      <c r="A2069" s="38" t="inlineStr">
        <is>
          <t>Conta corrente FRUGIS5.XLS</t>
        </is>
      </c>
      <c r="B2069" s="39" t="n">
        <v>41252</v>
      </c>
      <c r="C2069" s="4" t="n">
        <v>41244</v>
      </c>
      <c r="D2069" s="5">
        <f>YEAR(C2069)</f>
        <v/>
      </c>
      <c r="E2069" s="5">
        <f>MONTH(C2069)</f>
        <v/>
      </c>
      <c r="F2069" s="38" t="inlineStr">
        <is>
          <t>NFV  :TENDA ATACADO LTDA</t>
        </is>
      </c>
      <c r="G2069" s="38" t="inlineStr">
        <is>
          <t>MARIO FRUGIS (01.04.01)</t>
        </is>
      </c>
      <c r="H2069" s="38" t="inlineStr">
        <is>
          <t>NFV</t>
        </is>
      </c>
      <c r="I2069" s="40" t="n">
        <v>8.02</v>
      </c>
      <c r="J2069" s="40" t="n">
        <v>0</v>
      </c>
      <c r="K2069" s="6">
        <f>I2069-J2069</f>
        <v/>
      </c>
      <c r="L2069" s="6">
        <f>IF(H2069="DISTRATO",0,I2069)</f>
        <v/>
      </c>
    </row>
    <row r="2070">
      <c r="A2070" s="38" t="inlineStr">
        <is>
          <t>Conta corrente FRUGIS5.XLS</t>
        </is>
      </c>
      <c r="B2070" s="39" t="n">
        <v>41252</v>
      </c>
      <c r="C2070" s="4" t="n">
        <v>41244</v>
      </c>
      <c r="D2070" s="5">
        <f>YEAR(C2070)</f>
        <v/>
      </c>
      <c r="E2070" s="5">
        <f>MONTH(C2070)</f>
        <v/>
      </c>
      <c r="F2070" s="38" t="inlineStr">
        <is>
          <t>NFV  :TENDA ATACADO LTDA</t>
        </is>
      </c>
      <c r="G2070" s="38" t="inlineStr">
        <is>
          <t>MARIO FRUGIS (01.04.01)</t>
        </is>
      </c>
      <c r="H2070" s="38" t="inlineStr">
        <is>
          <t>NFV</t>
        </is>
      </c>
      <c r="I2070" s="40" t="n">
        <v>12.26</v>
      </c>
      <c r="J2070" s="40" t="n">
        <v>0</v>
      </c>
      <c r="K2070" s="6">
        <f>I2070-J2070</f>
        <v/>
      </c>
      <c r="L2070" s="6">
        <f>IF(H2070="DISTRATO",0,I2070)</f>
        <v/>
      </c>
    </row>
    <row r="2071">
      <c r="A2071" s="38" t="inlineStr">
        <is>
          <t>Conta corrente FRUGIS5.XLS</t>
        </is>
      </c>
      <c r="B2071" s="39" t="n">
        <v>41252</v>
      </c>
      <c r="C2071" s="4" t="n">
        <v>41244</v>
      </c>
      <c r="D2071" s="5">
        <f>YEAR(C2071)</f>
        <v/>
      </c>
      <c r="E2071" s="5">
        <f>MONTH(C2071)</f>
        <v/>
      </c>
      <c r="F2071" s="38" t="inlineStr">
        <is>
          <t>NFV  :TENDA ATACADO LTDA</t>
        </is>
      </c>
      <c r="G2071" s="38" t="inlineStr">
        <is>
          <t>MARIO FRUGIS (01.04.01)</t>
        </is>
      </c>
      <c r="H2071" s="38" t="inlineStr">
        <is>
          <t>NFV</t>
        </is>
      </c>
      <c r="I2071" s="40" t="n">
        <v>8.6</v>
      </c>
      <c r="J2071" s="40" t="n">
        <v>0</v>
      </c>
      <c r="K2071" s="6">
        <f>I2071-J2071</f>
        <v/>
      </c>
      <c r="L2071" s="6">
        <f>IF(H2071="DISTRATO",0,I2071)</f>
        <v/>
      </c>
    </row>
    <row r="2072">
      <c r="A2072" s="38" t="inlineStr">
        <is>
          <t>Conta corrente FRUGIS5.XLS</t>
        </is>
      </c>
      <c r="B2072" s="39" t="n">
        <v>41252</v>
      </c>
      <c r="C2072" s="4" t="n">
        <v>41244</v>
      </c>
      <c r="D2072" s="5">
        <f>YEAR(C2072)</f>
        <v/>
      </c>
      <c r="E2072" s="5">
        <f>MONTH(C2072)</f>
        <v/>
      </c>
      <c r="F2072" s="38" t="inlineStr">
        <is>
          <t>NFV  :TENDA ATACADO LTDA</t>
        </is>
      </c>
      <c r="G2072" s="38" t="inlineStr">
        <is>
          <t>MARIO FRUGIS (01.04.01)</t>
        </is>
      </c>
      <c r="H2072" s="38" t="inlineStr">
        <is>
          <t>NFV</t>
        </is>
      </c>
      <c r="I2072" s="40" t="n">
        <v>8.02</v>
      </c>
      <c r="J2072" s="40" t="n">
        <v>0</v>
      </c>
      <c r="K2072" s="6">
        <f>I2072-J2072</f>
        <v/>
      </c>
      <c r="L2072" s="6">
        <f>IF(H2072="DISTRATO",0,I2072)</f>
        <v/>
      </c>
    </row>
    <row r="2073">
      <c r="A2073" s="38" t="inlineStr">
        <is>
          <t>Conta corrente FRUGIS5.XLS</t>
        </is>
      </c>
      <c r="B2073" s="39" t="n">
        <v>41253</v>
      </c>
      <c r="C2073" s="4" t="n">
        <v>41244</v>
      </c>
      <c r="D2073" s="5">
        <f>YEAR(C2073)</f>
        <v/>
      </c>
      <c r="E2073" s="5">
        <f>MONTH(C2073)</f>
        <v/>
      </c>
      <c r="F2073" s="38" t="inlineStr">
        <is>
          <t>NFV  :TENDA ATACADO LTDA</t>
        </is>
      </c>
      <c r="G2073" s="38" t="inlineStr">
        <is>
          <t>MARIO FRUGIS (01.04.01)</t>
        </is>
      </c>
      <c r="H2073" s="38" t="inlineStr">
        <is>
          <t>NFV</t>
        </is>
      </c>
      <c r="I2073" s="40" t="n">
        <v>4.91</v>
      </c>
      <c r="J2073" s="40" t="n">
        <v>0</v>
      </c>
      <c r="K2073" s="6">
        <f>I2073-J2073</f>
        <v/>
      </c>
      <c r="L2073" s="6">
        <f>IF(H2073="DISTRATO",0,I2073)</f>
        <v/>
      </c>
    </row>
    <row r="2074">
      <c r="A2074" s="38" t="inlineStr">
        <is>
          <t>Conta corrente FRUGIS5.XLS</t>
        </is>
      </c>
      <c r="B2074" s="39" t="n">
        <v>41253</v>
      </c>
      <c r="C2074" s="4" t="n">
        <v>41244</v>
      </c>
      <c r="D2074" s="5">
        <f>YEAR(C2074)</f>
        <v/>
      </c>
      <c r="E2074" s="5">
        <f>MONTH(C2074)</f>
        <v/>
      </c>
      <c r="F2074" s="38" t="inlineStr">
        <is>
          <t>NFV  :TENDA ATACADO LTDA</t>
        </is>
      </c>
      <c r="G2074" s="38" t="inlineStr">
        <is>
          <t>MARIO FRUGIS (01.04.01)</t>
        </is>
      </c>
      <c r="H2074" s="38" t="inlineStr">
        <is>
          <t>NFV</t>
        </is>
      </c>
      <c r="I2074" s="40" t="n">
        <v>26.77</v>
      </c>
      <c r="J2074" s="40" t="n">
        <v>0</v>
      </c>
      <c r="K2074" s="6">
        <f>I2074-J2074</f>
        <v/>
      </c>
      <c r="L2074" s="6">
        <f>IF(H2074="DISTRATO",0,I2074)</f>
        <v/>
      </c>
    </row>
    <row r="2075">
      <c r="A2075" s="38" t="inlineStr">
        <is>
          <t>Conta corrente FRUGIS5.XLS</t>
        </is>
      </c>
      <c r="B2075" s="39" t="n">
        <v>41253</v>
      </c>
      <c r="C2075" s="4" t="n">
        <v>41244</v>
      </c>
      <c r="D2075" s="5">
        <f>YEAR(C2075)</f>
        <v/>
      </c>
      <c r="E2075" s="5">
        <f>MONTH(C2075)</f>
        <v/>
      </c>
      <c r="F2075" s="38" t="inlineStr">
        <is>
          <t>NFV  :TENDA ATACADO LTDA</t>
        </is>
      </c>
      <c r="G2075" s="38" t="inlineStr">
        <is>
          <t>MARIO FRUGIS (01.04.01)</t>
        </is>
      </c>
      <c r="H2075" s="38" t="inlineStr">
        <is>
          <t>NFV</t>
        </is>
      </c>
      <c r="I2075" s="40" t="n">
        <v>22.11</v>
      </c>
      <c r="J2075" s="40" t="n">
        <v>0</v>
      </c>
      <c r="K2075" s="6">
        <f>I2075-J2075</f>
        <v/>
      </c>
      <c r="L2075" s="6">
        <f>IF(H2075="DISTRATO",0,I2075)</f>
        <v/>
      </c>
    </row>
    <row r="2076">
      <c r="A2076" s="38" t="inlineStr">
        <is>
          <t>Conta corrente FRUGIS5.XLS</t>
        </is>
      </c>
      <c r="B2076" s="39" t="n">
        <v>41253</v>
      </c>
      <c r="C2076" s="4" t="n">
        <v>41244</v>
      </c>
      <c r="D2076" s="5">
        <f>YEAR(C2076)</f>
        <v/>
      </c>
      <c r="E2076" s="5">
        <f>MONTH(C2076)</f>
        <v/>
      </c>
      <c r="F2076" s="38" t="inlineStr">
        <is>
          <t>NFV  :TENDA ATACADO LTDA</t>
        </is>
      </c>
      <c r="G2076" s="38" t="inlineStr">
        <is>
          <t>MARIO FRUGIS (01.04.01)</t>
        </is>
      </c>
      <c r="H2076" s="38" t="inlineStr">
        <is>
          <t>NFV</t>
        </is>
      </c>
      <c r="I2076" s="40" t="n">
        <v>8.02</v>
      </c>
      <c r="J2076" s="40" t="n">
        <v>0</v>
      </c>
      <c r="K2076" s="6">
        <f>I2076-J2076</f>
        <v/>
      </c>
      <c r="L2076" s="6">
        <f>IF(H2076="DISTRATO",0,I2076)</f>
        <v/>
      </c>
    </row>
    <row r="2077">
      <c r="A2077" s="38" t="inlineStr">
        <is>
          <t>Conta corrente FRUGIS5.XLS</t>
        </is>
      </c>
      <c r="B2077" s="39" t="n">
        <v>41253</v>
      </c>
      <c r="C2077" s="4" t="n">
        <v>41244</v>
      </c>
      <c r="D2077" s="5">
        <f>YEAR(C2077)</f>
        <v/>
      </c>
      <c r="E2077" s="5">
        <f>MONTH(C2077)</f>
        <v/>
      </c>
      <c r="F2077" s="38" t="inlineStr">
        <is>
          <t>NFV  :TENDA ATACADO LTDA</t>
        </is>
      </c>
      <c r="G2077" s="38" t="inlineStr">
        <is>
          <t>MARIO FRUGIS (01.04.01)</t>
        </is>
      </c>
      <c r="H2077" s="38" t="inlineStr">
        <is>
          <t>NFV</t>
        </is>
      </c>
      <c r="I2077" s="40" t="n">
        <v>8.02</v>
      </c>
      <c r="J2077" s="40" t="n">
        <v>0</v>
      </c>
      <c r="K2077" s="6">
        <f>I2077-J2077</f>
        <v/>
      </c>
      <c r="L2077" s="6">
        <f>IF(H2077="DISTRATO",0,I2077)</f>
        <v/>
      </c>
    </row>
    <row r="2078">
      <c r="A2078" s="38" t="inlineStr">
        <is>
          <t>Conta corrente FRUGIS5.XLS</t>
        </is>
      </c>
      <c r="B2078" s="39" t="n">
        <v>41253</v>
      </c>
      <c r="C2078" s="4" t="n">
        <v>41244</v>
      </c>
      <c r="D2078" s="5">
        <f>YEAR(C2078)</f>
        <v/>
      </c>
      <c r="E2078" s="5">
        <f>MONTH(C2078)</f>
        <v/>
      </c>
      <c r="F2078" s="38" t="inlineStr">
        <is>
          <t>NFV  :TENDA ATACADO LTDA</t>
        </is>
      </c>
      <c r="G2078" s="38" t="inlineStr">
        <is>
          <t>MARIO FRUGIS (01.04.01)</t>
        </is>
      </c>
      <c r="H2078" s="38" t="inlineStr">
        <is>
          <t>NFV</t>
        </is>
      </c>
      <c r="I2078" s="40" t="n">
        <v>9.82</v>
      </c>
      <c r="J2078" s="40" t="n">
        <v>0</v>
      </c>
      <c r="K2078" s="6">
        <f>I2078-J2078</f>
        <v/>
      </c>
      <c r="L2078" s="6">
        <f>IF(H2078="DISTRATO",0,I2078)</f>
        <v/>
      </c>
    </row>
    <row r="2079">
      <c r="A2079" s="38" t="inlineStr">
        <is>
          <t>Conta corrente FRUGIS5.XLS</t>
        </is>
      </c>
      <c r="B2079" s="39" t="n">
        <v>41253</v>
      </c>
      <c r="C2079" s="4" t="n">
        <v>41244</v>
      </c>
      <c r="D2079" s="5">
        <f>YEAR(C2079)</f>
        <v/>
      </c>
      <c r="E2079" s="5">
        <f>MONTH(C2079)</f>
        <v/>
      </c>
      <c r="F2079" s="38" t="inlineStr">
        <is>
          <t>NFV  :TENDA ATACADO LTDA</t>
        </is>
      </c>
      <c r="G2079" s="38" t="inlineStr">
        <is>
          <t>MARIO FRUGIS (01.04.01)</t>
        </is>
      </c>
      <c r="H2079" s="38" t="inlineStr">
        <is>
          <t>NFV</t>
        </is>
      </c>
      <c r="I2079" s="40" t="n">
        <v>10.69</v>
      </c>
      <c r="J2079" s="40" t="n">
        <v>0</v>
      </c>
      <c r="K2079" s="6">
        <f>I2079-J2079</f>
        <v/>
      </c>
      <c r="L2079" s="6">
        <f>IF(H2079="DISTRATO",0,I2079)</f>
        <v/>
      </c>
    </row>
    <row r="2080">
      <c r="A2080" s="38" t="inlineStr">
        <is>
          <t>Conta corrente FRUGIS5.XLS</t>
        </is>
      </c>
      <c r="B2080" s="39" t="n">
        <v>41253</v>
      </c>
      <c r="C2080" s="4" t="n">
        <v>41244</v>
      </c>
      <c r="D2080" s="5">
        <f>YEAR(C2080)</f>
        <v/>
      </c>
      <c r="E2080" s="5">
        <f>MONTH(C2080)</f>
        <v/>
      </c>
      <c r="F2080" s="38" t="inlineStr">
        <is>
          <t>NFV  :TENDA ATACADO LTDA</t>
        </is>
      </c>
      <c r="G2080" s="38" t="inlineStr">
        <is>
          <t>MARIO FRUGIS (01.04.01)</t>
        </is>
      </c>
      <c r="H2080" s="38" t="inlineStr">
        <is>
          <t>NFV</t>
        </is>
      </c>
      <c r="I2080" s="40" t="n">
        <v>6.91</v>
      </c>
      <c r="J2080" s="40" t="n">
        <v>0</v>
      </c>
      <c r="K2080" s="6">
        <f>I2080-J2080</f>
        <v/>
      </c>
      <c r="L2080" s="6">
        <f>IF(H2080="DISTRATO",0,I2080)</f>
        <v/>
      </c>
    </row>
    <row r="2081">
      <c r="A2081" s="38" t="inlineStr">
        <is>
          <t>Conta corrente FRUGIS5.XLS</t>
        </is>
      </c>
      <c r="B2081" s="39" t="n">
        <v>41253</v>
      </c>
      <c r="C2081" s="4" t="n">
        <v>41244</v>
      </c>
      <c r="D2081" s="5">
        <f>YEAR(C2081)</f>
        <v/>
      </c>
      <c r="E2081" s="5">
        <f>MONTH(C2081)</f>
        <v/>
      </c>
      <c r="F2081" s="38" t="inlineStr">
        <is>
          <t>NFV  :TENDA ATACADO LTDA</t>
        </is>
      </c>
      <c r="G2081" s="38" t="inlineStr">
        <is>
          <t>MARIO FRUGIS (01.04.01)</t>
        </is>
      </c>
      <c r="H2081" s="38" t="inlineStr">
        <is>
          <t>NFV</t>
        </is>
      </c>
      <c r="I2081" s="40" t="n">
        <v>4.91</v>
      </c>
      <c r="J2081" s="40" t="n">
        <v>0</v>
      </c>
      <c r="K2081" s="6">
        <f>I2081-J2081</f>
        <v/>
      </c>
      <c r="L2081" s="6">
        <f>IF(H2081="DISTRATO",0,I2081)</f>
        <v/>
      </c>
    </row>
    <row r="2082">
      <c r="A2082" s="38" t="inlineStr">
        <is>
          <t>Conta corrente FRUGIS5.XLS</t>
        </is>
      </c>
      <c r="B2082" s="39" t="n">
        <v>41253</v>
      </c>
      <c r="C2082" s="4" t="n">
        <v>41244</v>
      </c>
      <c r="D2082" s="5">
        <f>YEAR(C2082)</f>
        <v/>
      </c>
      <c r="E2082" s="5">
        <f>MONTH(C2082)</f>
        <v/>
      </c>
      <c r="F2082" s="38" t="inlineStr">
        <is>
          <t>NFV  :TENDA ATACADO LTDA</t>
        </is>
      </c>
      <c r="G2082" s="38" t="inlineStr">
        <is>
          <t>MARIO FRUGIS (01.04.01)</t>
        </is>
      </c>
      <c r="H2082" s="38" t="inlineStr">
        <is>
          <t>NFV</t>
        </is>
      </c>
      <c r="I2082" s="40" t="n">
        <v>8.02</v>
      </c>
      <c r="J2082" s="40" t="n">
        <v>0</v>
      </c>
      <c r="K2082" s="6">
        <f>I2082-J2082</f>
        <v/>
      </c>
      <c r="L2082" s="6">
        <f>IF(H2082="DISTRATO",0,I2082)</f>
        <v/>
      </c>
    </row>
    <row r="2083">
      <c r="A2083" s="38" t="inlineStr">
        <is>
          <t>Conta corrente FRUGIS5.XLS</t>
        </is>
      </c>
      <c r="B2083" s="39" t="n">
        <v>41253</v>
      </c>
      <c r="C2083" s="4" t="n">
        <v>41244</v>
      </c>
      <c r="D2083" s="5">
        <f>YEAR(C2083)</f>
        <v/>
      </c>
      <c r="E2083" s="5">
        <f>MONTH(C2083)</f>
        <v/>
      </c>
      <c r="F2083" s="38" t="inlineStr">
        <is>
          <t>NFV  :TENDA ATACADO LTDA</t>
        </is>
      </c>
      <c r="G2083" s="38" t="inlineStr">
        <is>
          <t>MARIO FRUGIS (01.04.01)</t>
        </is>
      </c>
      <c r="H2083" s="38" t="inlineStr">
        <is>
          <t>NFV</t>
        </is>
      </c>
      <c r="I2083" s="40" t="n">
        <v>8.6</v>
      </c>
      <c r="J2083" s="40" t="n">
        <v>0</v>
      </c>
      <c r="K2083" s="6">
        <f>I2083-J2083</f>
        <v/>
      </c>
      <c r="L2083" s="6">
        <f>IF(H2083="DISTRATO",0,I2083)</f>
        <v/>
      </c>
    </row>
    <row r="2084">
      <c r="A2084" s="38" t="inlineStr">
        <is>
          <t>Conta corrente FRUGIS5.XLS</t>
        </is>
      </c>
      <c r="B2084" s="39" t="n">
        <v>41253</v>
      </c>
      <c r="C2084" s="4" t="n">
        <v>41244</v>
      </c>
      <c r="D2084" s="5">
        <f>YEAR(C2084)</f>
        <v/>
      </c>
      <c r="E2084" s="5">
        <f>MONTH(C2084)</f>
        <v/>
      </c>
      <c r="F2084" s="38" t="inlineStr">
        <is>
          <t>NFV  :TENDA ATACADO LTDA</t>
        </is>
      </c>
      <c r="G2084" s="38" t="inlineStr">
        <is>
          <t>MARIO FRUGIS (01.04.01)</t>
        </is>
      </c>
      <c r="H2084" s="38" t="inlineStr">
        <is>
          <t>NFV</t>
        </is>
      </c>
      <c r="I2084" s="40" t="n">
        <v>8.6</v>
      </c>
      <c r="J2084" s="40" t="n">
        <v>0</v>
      </c>
      <c r="K2084" s="6">
        <f>I2084-J2084</f>
        <v/>
      </c>
      <c r="L2084" s="6">
        <f>IF(H2084="DISTRATO",0,I2084)</f>
        <v/>
      </c>
    </row>
    <row r="2085">
      <c r="A2085" s="38" t="inlineStr">
        <is>
          <t>Conta corrente FRUGIS5.XLS</t>
        </is>
      </c>
      <c r="B2085" s="39" t="n">
        <v>41253</v>
      </c>
      <c r="C2085" s="4" t="n">
        <v>41244</v>
      </c>
      <c r="D2085" s="5">
        <f>YEAR(C2085)</f>
        <v/>
      </c>
      <c r="E2085" s="5">
        <f>MONTH(C2085)</f>
        <v/>
      </c>
      <c r="F2085" s="38" t="inlineStr">
        <is>
          <t>NFV  :TENDA ATACADO LTDA</t>
        </is>
      </c>
      <c r="G2085" s="38" t="inlineStr">
        <is>
          <t>MARIO FRUGIS (01.04.01)</t>
        </is>
      </c>
      <c r="H2085" s="38" t="inlineStr">
        <is>
          <t>NFV</t>
        </is>
      </c>
      <c r="I2085" s="40" t="n">
        <v>21.08</v>
      </c>
      <c r="J2085" s="40" t="n">
        <v>0</v>
      </c>
      <c r="K2085" s="6">
        <f>I2085-J2085</f>
        <v/>
      </c>
      <c r="L2085" s="6">
        <f>IF(H2085="DISTRATO",0,I2085)</f>
        <v/>
      </c>
    </row>
    <row r="2086">
      <c r="A2086" s="38" t="inlineStr">
        <is>
          <t>Conta corrente FRUGIS5.XLS</t>
        </is>
      </c>
      <c r="B2086" s="39" t="n">
        <v>41253</v>
      </c>
      <c r="C2086" s="4" t="n">
        <v>41244</v>
      </c>
      <c r="D2086" s="5">
        <f>YEAR(C2086)</f>
        <v/>
      </c>
      <c r="E2086" s="5">
        <f>MONTH(C2086)</f>
        <v/>
      </c>
      <c r="F2086" s="38" t="inlineStr">
        <is>
          <t>NFV  :TENDA ATACADO LTDA</t>
        </is>
      </c>
      <c r="G2086" s="38" t="inlineStr">
        <is>
          <t>MARIO FRUGIS (01.04.01)</t>
        </is>
      </c>
      <c r="H2086" s="38" t="inlineStr">
        <is>
          <t>NFV</t>
        </is>
      </c>
      <c r="I2086" s="40" t="n">
        <v>8.02</v>
      </c>
      <c r="J2086" s="40" t="n">
        <v>0</v>
      </c>
      <c r="K2086" s="6">
        <f>I2086-J2086</f>
        <v/>
      </c>
      <c r="L2086" s="6">
        <f>IF(H2086="DISTRATO",0,I2086)</f>
        <v/>
      </c>
    </row>
    <row r="2087">
      <c r="A2087" s="38" t="inlineStr">
        <is>
          <t>Conta corrente FRUGIS5.XLS</t>
        </is>
      </c>
      <c r="B2087" s="39" t="n">
        <v>41254</v>
      </c>
      <c r="C2087" s="4" t="n">
        <v>41244</v>
      </c>
      <c r="D2087" s="5">
        <f>YEAR(C2087)</f>
        <v/>
      </c>
      <c r="E2087" s="5">
        <f>MONTH(C2087)</f>
        <v/>
      </c>
      <c r="F2087" s="38" t="inlineStr">
        <is>
          <t>BONIF:TENDA ATACADO LTDA</t>
        </is>
      </c>
      <c r="G2087" s="38" t="inlineStr">
        <is>
          <t>MARIO FRUGIS (01.04.01)</t>
        </is>
      </c>
      <c r="H2087" s="38" t="inlineStr">
        <is>
          <t>BONIFICACAO</t>
        </is>
      </c>
      <c r="I2087" s="40" t="n">
        <v>-7.02</v>
      </c>
      <c r="J2087" s="40" t="n">
        <v>0</v>
      </c>
      <c r="K2087" s="6">
        <f>I2087-J2087</f>
        <v/>
      </c>
      <c r="L2087" s="6">
        <f>IF(H2087="DISTRATO",0,I2087)</f>
        <v/>
      </c>
    </row>
    <row r="2088">
      <c r="A2088" s="38" t="inlineStr">
        <is>
          <t>Conta corrente FRUGIS5.XLS</t>
        </is>
      </c>
      <c r="B2088" s="39" t="n">
        <v>41254</v>
      </c>
      <c r="C2088" s="4" t="n">
        <v>41244</v>
      </c>
      <c r="D2088" s="5">
        <f>YEAR(C2088)</f>
        <v/>
      </c>
      <c r="E2088" s="5">
        <f>MONTH(C2088)</f>
        <v/>
      </c>
      <c r="F2088" s="38" t="inlineStr">
        <is>
          <t>BONIF:TENDA ATACADO LTDA</t>
        </is>
      </c>
      <c r="G2088" s="38" t="inlineStr">
        <is>
          <t>MARIO FRUGIS (01.04.01)</t>
        </is>
      </c>
      <c r="H2088" s="38" t="inlineStr">
        <is>
          <t>BONIFICACAO</t>
        </is>
      </c>
      <c r="I2088" s="40" t="n">
        <v>-7.02</v>
      </c>
      <c r="J2088" s="40" t="n">
        <v>0</v>
      </c>
      <c r="K2088" s="6">
        <f>I2088-J2088</f>
        <v/>
      </c>
      <c r="L2088" s="6">
        <f>IF(H2088="DISTRATO",0,I2088)</f>
        <v/>
      </c>
    </row>
    <row r="2089">
      <c r="A2089" s="38" t="inlineStr">
        <is>
          <t>Conta corrente FRUGIS5.XLS</t>
        </is>
      </c>
      <c r="B2089" s="39" t="n">
        <v>41254</v>
      </c>
      <c r="C2089" s="4" t="n">
        <v>41244</v>
      </c>
      <c r="D2089" s="5">
        <f>YEAR(C2089)</f>
        <v/>
      </c>
      <c r="E2089" s="5">
        <f>MONTH(C2089)</f>
        <v/>
      </c>
      <c r="F2089" s="38" t="inlineStr">
        <is>
          <t>NFV  :TENDA ATACADO LTDA</t>
        </is>
      </c>
      <c r="G2089" s="38" t="inlineStr">
        <is>
          <t>MARIO FRUGIS (01.04.01)</t>
        </is>
      </c>
      <c r="H2089" s="38" t="inlineStr">
        <is>
          <t>NFV</t>
        </is>
      </c>
      <c r="I2089" s="40" t="n">
        <v>154.14</v>
      </c>
      <c r="J2089" s="40" t="n">
        <v>0</v>
      </c>
      <c r="K2089" s="6">
        <f>I2089-J2089</f>
        <v/>
      </c>
      <c r="L2089" s="6">
        <f>IF(H2089="DISTRATO",0,I2089)</f>
        <v/>
      </c>
    </row>
    <row r="2090">
      <c r="A2090" s="38" t="inlineStr">
        <is>
          <t>Conta corrente FRUGIS5.XLS</t>
        </is>
      </c>
      <c r="B2090" s="39" t="n">
        <v>41254</v>
      </c>
      <c r="C2090" s="4" t="n">
        <v>41244</v>
      </c>
      <c r="D2090" s="5">
        <f>YEAR(C2090)</f>
        <v/>
      </c>
      <c r="E2090" s="5">
        <f>MONTH(C2090)</f>
        <v/>
      </c>
      <c r="F2090" s="38" t="inlineStr">
        <is>
          <t>NFV  :TENDA ATACADO LTDA</t>
        </is>
      </c>
      <c r="G2090" s="38" t="inlineStr">
        <is>
          <t>MARIO FRUGIS (01.04.01)</t>
        </is>
      </c>
      <c r="H2090" s="38" t="inlineStr">
        <is>
          <t>NFV</t>
        </is>
      </c>
      <c r="I2090" s="40" t="n">
        <v>8.6</v>
      </c>
      <c r="J2090" s="40" t="n">
        <v>0</v>
      </c>
      <c r="K2090" s="6">
        <f>I2090-J2090</f>
        <v/>
      </c>
      <c r="L2090" s="6">
        <f>IF(H2090="DISTRATO",0,I2090)</f>
        <v/>
      </c>
    </row>
    <row r="2091">
      <c r="A2091" s="38" t="inlineStr">
        <is>
          <t>Conta corrente FRUGIS5.XLS</t>
        </is>
      </c>
      <c r="B2091" s="39" t="n">
        <v>41254</v>
      </c>
      <c r="C2091" s="4" t="n">
        <v>41244</v>
      </c>
      <c r="D2091" s="5">
        <f>YEAR(C2091)</f>
        <v/>
      </c>
      <c r="E2091" s="5">
        <f>MONTH(C2091)</f>
        <v/>
      </c>
      <c r="F2091" s="38" t="inlineStr">
        <is>
          <t>NFV  :TENDA ATACADO LTDA</t>
        </is>
      </c>
      <c r="G2091" s="38" t="inlineStr">
        <is>
          <t>MARIO FRUGIS (01.04.01)</t>
        </is>
      </c>
      <c r="H2091" s="38" t="inlineStr">
        <is>
          <t>NFV</t>
        </is>
      </c>
      <c r="I2091" s="40" t="n">
        <v>81.41</v>
      </c>
      <c r="J2091" s="40" t="n">
        <v>0</v>
      </c>
      <c r="K2091" s="6">
        <f>I2091-J2091</f>
        <v/>
      </c>
      <c r="L2091" s="6">
        <f>IF(H2091="DISTRATO",0,I2091)</f>
        <v/>
      </c>
    </row>
    <row r="2092">
      <c r="A2092" s="38" t="inlineStr">
        <is>
          <t>Conta corrente FRUGIS5.XLS</t>
        </is>
      </c>
      <c r="B2092" s="39" t="n">
        <v>41254</v>
      </c>
      <c r="C2092" s="4" t="n">
        <v>41244</v>
      </c>
      <c r="D2092" s="5">
        <f>YEAR(C2092)</f>
        <v/>
      </c>
      <c r="E2092" s="5">
        <f>MONTH(C2092)</f>
        <v/>
      </c>
      <c r="F2092" s="38" t="inlineStr">
        <is>
          <t>NFV  :TENDA ATACADO LTDA</t>
        </is>
      </c>
      <c r="G2092" s="38" t="inlineStr">
        <is>
          <t>MARIO FRUGIS (01.04.01)</t>
        </is>
      </c>
      <c r="H2092" s="38" t="inlineStr">
        <is>
          <t>NFV</t>
        </is>
      </c>
      <c r="I2092" s="40" t="n">
        <v>46.41</v>
      </c>
      <c r="J2092" s="40" t="n">
        <v>0</v>
      </c>
      <c r="K2092" s="6">
        <f>I2092-J2092</f>
        <v/>
      </c>
      <c r="L2092" s="6">
        <f>IF(H2092="DISTRATO",0,I2092)</f>
        <v/>
      </c>
    </row>
    <row r="2093">
      <c r="A2093" s="38" t="inlineStr">
        <is>
          <t>Conta corrente FRUGIS5.XLS</t>
        </is>
      </c>
      <c r="B2093" s="39" t="n">
        <v>41254</v>
      </c>
      <c r="C2093" s="4" t="n">
        <v>41244</v>
      </c>
      <c r="D2093" s="5">
        <f>YEAR(C2093)</f>
        <v/>
      </c>
      <c r="E2093" s="5">
        <f>MONTH(C2093)</f>
        <v/>
      </c>
      <c r="F2093" s="38" t="inlineStr">
        <is>
          <t>NFV  :TENDA ATACADO LTDA</t>
        </is>
      </c>
      <c r="G2093" s="38" t="inlineStr">
        <is>
          <t>MARIO FRUGIS (01.04.01)</t>
        </is>
      </c>
      <c r="H2093" s="38" t="inlineStr">
        <is>
          <t>NFV</t>
        </is>
      </c>
      <c r="I2093" s="40" t="n">
        <v>8.289999999999999</v>
      </c>
      <c r="J2093" s="40" t="n">
        <v>0</v>
      </c>
      <c r="K2093" s="6">
        <f>I2093-J2093</f>
        <v/>
      </c>
      <c r="L2093" s="6">
        <f>IF(H2093="DISTRATO",0,I2093)</f>
        <v/>
      </c>
    </row>
    <row r="2094">
      <c r="A2094" s="38" t="inlineStr">
        <is>
          <t>Conta corrente FRUGIS5.XLS</t>
        </is>
      </c>
      <c r="B2094" s="39" t="n">
        <v>41254</v>
      </c>
      <c r="C2094" s="4" t="n">
        <v>41244</v>
      </c>
      <c r="D2094" s="5">
        <f>YEAR(C2094)</f>
        <v/>
      </c>
      <c r="E2094" s="5">
        <f>MONTH(C2094)</f>
        <v/>
      </c>
      <c r="F2094" s="38" t="inlineStr">
        <is>
          <t>NFV  :TENDA ATACADO LTDA</t>
        </is>
      </c>
      <c r="G2094" s="38" t="inlineStr">
        <is>
          <t>MARIO FRUGIS (01.04.01)</t>
        </is>
      </c>
      <c r="H2094" s="38" t="inlineStr">
        <is>
          <t>NFV</t>
        </is>
      </c>
      <c r="I2094" s="40" t="n">
        <v>8.6</v>
      </c>
      <c r="J2094" s="40" t="n">
        <v>0</v>
      </c>
      <c r="K2094" s="6">
        <f>I2094-J2094</f>
        <v/>
      </c>
      <c r="L2094" s="6">
        <f>IF(H2094="DISTRATO",0,I2094)</f>
        <v/>
      </c>
    </row>
    <row r="2095">
      <c r="A2095" s="38" t="inlineStr">
        <is>
          <t>Conta corrente FRUGIS5.XLS</t>
        </is>
      </c>
      <c r="B2095" s="39" t="n">
        <v>41254</v>
      </c>
      <c r="C2095" s="4" t="n">
        <v>41244</v>
      </c>
      <c r="D2095" s="5">
        <f>YEAR(C2095)</f>
        <v/>
      </c>
      <c r="E2095" s="5">
        <f>MONTH(C2095)</f>
        <v/>
      </c>
      <c r="F2095" s="38" t="inlineStr">
        <is>
          <t>NFV  :TENDA ATACADO LTDA</t>
        </is>
      </c>
      <c r="G2095" s="38" t="inlineStr">
        <is>
          <t>MARIO FRUGIS (01.04.01)</t>
        </is>
      </c>
      <c r="H2095" s="38" t="inlineStr">
        <is>
          <t>NFV</t>
        </is>
      </c>
      <c r="I2095" s="40" t="n">
        <v>196.31</v>
      </c>
      <c r="J2095" s="40" t="n">
        <v>0</v>
      </c>
      <c r="K2095" s="6">
        <f>I2095-J2095</f>
        <v/>
      </c>
      <c r="L2095" s="6">
        <f>IF(H2095="DISTRATO",0,I2095)</f>
        <v/>
      </c>
    </row>
    <row r="2096">
      <c r="A2096" s="38" t="inlineStr">
        <is>
          <t>Conta corrente FRUGIS5.XLS</t>
        </is>
      </c>
      <c r="B2096" s="39" t="n">
        <v>41255</v>
      </c>
      <c r="C2096" s="4" t="n">
        <v>41244</v>
      </c>
      <c r="D2096" s="5">
        <f>YEAR(C2096)</f>
        <v/>
      </c>
      <c r="E2096" s="5">
        <f>MONTH(C2096)</f>
        <v/>
      </c>
      <c r="F2096" s="38" t="inlineStr">
        <is>
          <t>NFV  :TENDA ATACADO LTDA</t>
        </is>
      </c>
      <c r="G2096" s="38" t="inlineStr">
        <is>
          <t>MARIO FRUGIS (01.04.01)</t>
        </is>
      </c>
      <c r="H2096" s="38" t="inlineStr">
        <is>
          <t>NFV</t>
        </is>
      </c>
      <c r="I2096" s="40" t="n">
        <v>9.83</v>
      </c>
      <c r="J2096" s="40" t="n">
        <v>0</v>
      </c>
      <c r="K2096" s="6">
        <f>I2096-J2096</f>
        <v/>
      </c>
      <c r="L2096" s="6">
        <f>IF(H2096="DISTRATO",0,I2096)</f>
        <v/>
      </c>
    </row>
    <row r="2097">
      <c r="A2097" s="38" t="inlineStr">
        <is>
          <t>Conta corrente FRUGIS5.XLS</t>
        </is>
      </c>
      <c r="B2097" s="39" t="n">
        <v>41255</v>
      </c>
      <c r="C2097" s="4" t="n">
        <v>41244</v>
      </c>
      <c r="D2097" s="5">
        <f>YEAR(C2097)</f>
        <v/>
      </c>
      <c r="E2097" s="5">
        <f>MONTH(C2097)</f>
        <v/>
      </c>
      <c r="F2097" s="38" t="inlineStr">
        <is>
          <t>NFV  :TENDA ATACADO LTDA</t>
        </is>
      </c>
      <c r="G2097" s="38" t="inlineStr">
        <is>
          <t>MARIO FRUGIS (01.04.01)</t>
        </is>
      </c>
      <c r="H2097" s="38" t="inlineStr">
        <is>
          <t>NFV</t>
        </is>
      </c>
      <c r="I2097" s="40" t="n">
        <v>8.6</v>
      </c>
      <c r="J2097" s="40" t="n">
        <v>0</v>
      </c>
      <c r="K2097" s="6">
        <f>I2097-J2097</f>
        <v/>
      </c>
      <c r="L2097" s="6">
        <f>IF(H2097="DISTRATO",0,I2097)</f>
        <v/>
      </c>
    </row>
    <row r="2098">
      <c r="A2098" s="38" t="inlineStr">
        <is>
          <t>Conta corrente FRUGIS5.XLS</t>
        </is>
      </c>
      <c r="B2098" s="39" t="n">
        <v>41256</v>
      </c>
      <c r="C2098" s="4" t="n">
        <v>41244</v>
      </c>
      <c r="D2098" s="5">
        <f>YEAR(C2098)</f>
        <v/>
      </c>
      <c r="E2098" s="5">
        <f>MONTH(C2098)</f>
        <v/>
      </c>
      <c r="F2098" s="38" t="inlineStr">
        <is>
          <t>BONIF:TENDA ATACADO LTDA</t>
        </is>
      </c>
      <c r="G2098" s="38" t="inlineStr">
        <is>
          <t>MARIO FRUGIS (01.04.01)</t>
        </is>
      </c>
      <c r="H2098" s="38" t="inlineStr">
        <is>
          <t>BONIFICACAO</t>
        </is>
      </c>
      <c r="I2098" s="40" t="n">
        <v>-7.02</v>
      </c>
      <c r="J2098" s="40" t="n">
        <v>0</v>
      </c>
      <c r="K2098" s="6">
        <f>I2098-J2098</f>
        <v/>
      </c>
      <c r="L2098" s="6">
        <f>IF(H2098="DISTRATO",0,I2098)</f>
        <v/>
      </c>
    </row>
    <row r="2099">
      <c r="A2099" s="38" t="inlineStr">
        <is>
          <t>Conta corrente FRUGIS5.XLS</t>
        </is>
      </c>
      <c r="B2099" s="39" t="n">
        <v>41256</v>
      </c>
      <c r="C2099" s="4" t="n">
        <v>41244</v>
      </c>
      <c r="D2099" s="5">
        <f>YEAR(C2099)</f>
        <v/>
      </c>
      <c r="E2099" s="5">
        <f>MONTH(C2099)</f>
        <v/>
      </c>
      <c r="F2099" s="38" t="inlineStr">
        <is>
          <t>BONIF:TENDA ATACADO LTDA</t>
        </is>
      </c>
      <c r="G2099" s="38" t="inlineStr">
        <is>
          <t>MARIO FRUGIS (01.04.01)</t>
        </is>
      </c>
      <c r="H2099" s="38" t="inlineStr">
        <is>
          <t>BONIFICACAO</t>
        </is>
      </c>
      <c r="I2099" s="40" t="n">
        <v>-9.359999999999999</v>
      </c>
      <c r="J2099" s="40" t="n">
        <v>0</v>
      </c>
      <c r="K2099" s="6">
        <f>I2099-J2099</f>
        <v/>
      </c>
      <c r="L2099" s="6">
        <f>IF(H2099="DISTRATO",0,I2099)</f>
        <v/>
      </c>
    </row>
    <row r="2100">
      <c r="A2100" s="38" t="inlineStr">
        <is>
          <t>Conta corrente FRUGIS5.XLS</t>
        </is>
      </c>
      <c r="B2100" s="39" t="n">
        <v>41256</v>
      </c>
      <c r="C2100" s="4" t="n">
        <v>41244</v>
      </c>
      <c r="D2100" s="5">
        <f>YEAR(C2100)</f>
        <v/>
      </c>
      <c r="E2100" s="5">
        <f>MONTH(C2100)</f>
        <v/>
      </c>
      <c r="F2100" s="38" t="inlineStr">
        <is>
          <t>BONIF:TENDA ATACADO LTDA</t>
        </is>
      </c>
      <c r="G2100" s="38" t="inlineStr">
        <is>
          <t>MARIO FRUGIS (01.04.01)</t>
        </is>
      </c>
      <c r="H2100" s="38" t="inlineStr">
        <is>
          <t>BONIFICACAO</t>
        </is>
      </c>
      <c r="I2100" s="40" t="n">
        <v>-7.02</v>
      </c>
      <c r="J2100" s="40" t="n">
        <v>0</v>
      </c>
      <c r="K2100" s="6">
        <f>I2100-J2100</f>
        <v/>
      </c>
      <c r="L2100" s="6">
        <f>IF(H2100="DISTRATO",0,I2100)</f>
        <v/>
      </c>
    </row>
    <row r="2101">
      <c r="A2101" s="38" t="inlineStr">
        <is>
          <t>Conta corrente FRUGIS5.XLS</t>
        </is>
      </c>
      <c r="B2101" s="39" t="n">
        <v>41256</v>
      </c>
      <c r="C2101" s="4" t="n">
        <v>41244</v>
      </c>
      <c r="D2101" s="5">
        <f>YEAR(C2101)</f>
        <v/>
      </c>
      <c r="E2101" s="5">
        <f>MONTH(C2101)</f>
        <v/>
      </c>
      <c r="F2101" s="38" t="inlineStr">
        <is>
          <t>NFV  :TENDA ATACADO LTDA</t>
        </is>
      </c>
      <c r="G2101" s="38" t="inlineStr">
        <is>
          <t>MARIO FRUGIS (01.04.01)</t>
        </is>
      </c>
      <c r="H2101" s="38" t="inlineStr">
        <is>
          <t>NFV</t>
        </is>
      </c>
      <c r="I2101" s="40" t="n">
        <v>145.99</v>
      </c>
      <c r="J2101" s="40" t="n">
        <v>0</v>
      </c>
      <c r="K2101" s="6">
        <f>I2101-J2101</f>
        <v/>
      </c>
      <c r="L2101" s="6">
        <f>IF(H2101="DISTRATO",0,I2101)</f>
        <v/>
      </c>
    </row>
    <row r="2102">
      <c r="A2102" s="38" t="inlineStr">
        <is>
          <t>Conta corrente FRUGIS5.XLS</t>
        </is>
      </c>
      <c r="B2102" s="39" t="n">
        <v>41256</v>
      </c>
      <c r="C2102" s="4" t="n">
        <v>41244</v>
      </c>
      <c r="D2102" s="5">
        <f>YEAR(C2102)</f>
        <v/>
      </c>
      <c r="E2102" s="5">
        <f>MONTH(C2102)</f>
        <v/>
      </c>
      <c r="F2102" s="38" t="inlineStr">
        <is>
          <t>NFV  :TENDA ATACADO LTDA</t>
        </is>
      </c>
      <c r="G2102" s="38" t="inlineStr">
        <is>
          <t>MARIO FRUGIS (01.04.01)</t>
        </is>
      </c>
      <c r="H2102" s="38" t="inlineStr">
        <is>
          <t>NFV</t>
        </is>
      </c>
      <c r="I2102" s="40" t="n">
        <v>41.3</v>
      </c>
      <c r="J2102" s="40" t="n">
        <v>0</v>
      </c>
      <c r="K2102" s="6">
        <f>I2102-J2102</f>
        <v/>
      </c>
      <c r="L2102" s="6">
        <f>IF(H2102="DISTRATO",0,I2102)</f>
        <v/>
      </c>
    </row>
    <row r="2103">
      <c r="A2103" s="38" t="inlineStr">
        <is>
          <t>Conta corrente FRUGIS5.XLS</t>
        </is>
      </c>
      <c r="B2103" s="39" t="n">
        <v>41256</v>
      </c>
      <c r="C2103" s="4" t="n">
        <v>41244</v>
      </c>
      <c r="D2103" s="5">
        <f>YEAR(C2103)</f>
        <v/>
      </c>
      <c r="E2103" s="5">
        <f>MONTH(C2103)</f>
        <v/>
      </c>
      <c r="F2103" s="38" t="inlineStr">
        <is>
          <t>NFV  :TENDA ATACADO LTDA</t>
        </is>
      </c>
      <c r="G2103" s="38" t="inlineStr">
        <is>
          <t>MARIO FRUGIS (01.04.01)</t>
        </is>
      </c>
      <c r="H2103" s="38" t="inlineStr">
        <is>
          <t>NFV</t>
        </is>
      </c>
      <c r="I2103" s="40" t="n">
        <v>34.91</v>
      </c>
      <c r="J2103" s="40" t="n">
        <v>0</v>
      </c>
      <c r="K2103" s="6">
        <f>I2103-J2103</f>
        <v/>
      </c>
      <c r="L2103" s="6">
        <f>IF(H2103="DISTRATO",0,I2103)</f>
        <v/>
      </c>
    </row>
    <row r="2104">
      <c r="A2104" s="38" t="inlineStr">
        <is>
          <t>Conta corrente FRUGIS5.XLS</t>
        </is>
      </c>
      <c r="B2104" s="39" t="n">
        <v>41256</v>
      </c>
      <c r="C2104" s="4" t="n">
        <v>41244</v>
      </c>
      <c r="D2104" s="5">
        <f>YEAR(C2104)</f>
        <v/>
      </c>
      <c r="E2104" s="5">
        <f>MONTH(C2104)</f>
        <v/>
      </c>
      <c r="F2104" s="38" t="inlineStr">
        <is>
          <t>NFV  :TENDA ATACADO LTDA</t>
        </is>
      </c>
      <c r="G2104" s="38" t="inlineStr">
        <is>
          <t>MARIO FRUGIS (01.04.01)</t>
        </is>
      </c>
      <c r="H2104" s="38" t="inlineStr">
        <is>
          <t>NFV</t>
        </is>
      </c>
      <c r="I2104" s="40" t="n">
        <v>53.21</v>
      </c>
      <c r="J2104" s="40" t="n">
        <v>0</v>
      </c>
      <c r="K2104" s="6">
        <f>I2104-J2104</f>
        <v/>
      </c>
      <c r="L2104" s="6">
        <f>IF(H2104="DISTRATO",0,I2104)</f>
        <v/>
      </c>
    </row>
    <row r="2105">
      <c r="A2105" s="38" t="inlineStr">
        <is>
          <t>Conta corrente FRUGIS5.XLS</t>
        </is>
      </c>
      <c r="B2105" s="39" t="n">
        <v>41256</v>
      </c>
      <c r="C2105" s="4" t="n">
        <v>41244</v>
      </c>
      <c r="D2105" s="5">
        <f>YEAR(C2105)</f>
        <v/>
      </c>
      <c r="E2105" s="5">
        <f>MONTH(C2105)</f>
        <v/>
      </c>
      <c r="F2105" s="38" t="inlineStr">
        <is>
          <t>NFV  :TENDA ATACADO LTDA</t>
        </is>
      </c>
      <c r="G2105" s="38" t="inlineStr">
        <is>
          <t>MARIO FRUGIS (01.04.01)</t>
        </is>
      </c>
      <c r="H2105" s="38" t="inlineStr">
        <is>
          <t>NFV</t>
        </is>
      </c>
      <c r="I2105" s="40" t="n">
        <v>167.34</v>
      </c>
      <c r="J2105" s="40" t="n">
        <v>0</v>
      </c>
      <c r="K2105" s="6">
        <f>I2105-J2105</f>
        <v/>
      </c>
      <c r="L2105" s="6">
        <f>IF(H2105="DISTRATO",0,I2105)</f>
        <v/>
      </c>
    </row>
    <row r="2106">
      <c r="A2106" s="38" t="inlineStr">
        <is>
          <t>Conta corrente FRUGIS5.XLS</t>
        </is>
      </c>
      <c r="B2106" s="39" t="n">
        <v>41256</v>
      </c>
      <c r="C2106" s="4" t="n">
        <v>41244</v>
      </c>
      <c r="D2106" s="5">
        <f>YEAR(C2106)</f>
        <v/>
      </c>
      <c r="E2106" s="5">
        <f>MONTH(C2106)</f>
        <v/>
      </c>
      <c r="F2106" s="38" t="inlineStr">
        <is>
          <t>NFV  :TENDA ATACADO LTDA</t>
        </is>
      </c>
      <c r="G2106" s="38" t="inlineStr">
        <is>
          <t>MARIO FRUGIS (01.04.01)</t>
        </is>
      </c>
      <c r="H2106" s="38" t="inlineStr">
        <is>
          <t>NFV</t>
        </is>
      </c>
      <c r="I2106" s="40" t="n">
        <v>85.52</v>
      </c>
      <c r="J2106" s="40" t="n">
        <v>0</v>
      </c>
      <c r="K2106" s="6">
        <f>I2106-J2106</f>
        <v/>
      </c>
      <c r="L2106" s="6">
        <f>IF(H2106="DISTRATO",0,I2106)</f>
        <v/>
      </c>
    </row>
    <row r="2107">
      <c r="A2107" s="38" t="inlineStr">
        <is>
          <t>Conta corrente FRUGIS5.XLS</t>
        </is>
      </c>
      <c r="B2107" s="39" t="n">
        <v>41257</v>
      </c>
      <c r="C2107" s="4" t="n">
        <v>41244</v>
      </c>
      <c r="D2107" s="5">
        <f>YEAR(C2107)</f>
        <v/>
      </c>
      <c r="E2107" s="5">
        <f>MONTH(C2107)</f>
        <v/>
      </c>
      <c r="F2107" s="38" t="inlineStr">
        <is>
          <t>BONIF:TENDA ATACADO LTDA</t>
        </is>
      </c>
      <c r="G2107" s="38" t="inlineStr">
        <is>
          <t>MARIO FRUGIS (01.04.01)</t>
        </is>
      </c>
      <c r="H2107" s="38" t="inlineStr">
        <is>
          <t>BONIFICACAO</t>
        </is>
      </c>
      <c r="I2107" s="40" t="n">
        <v>-7.02</v>
      </c>
      <c r="J2107" s="40" t="n">
        <v>0</v>
      </c>
      <c r="K2107" s="6">
        <f>I2107-J2107</f>
        <v/>
      </c>
      <c r="L2107" s="6">
        <f>IF(H2107="DISTRATO",0,I2107)</f>
        <v/>
      </c>
    </row>
    <row r="2108">
      <c r="A2108" s="38" t="inlineStr">
        <is>
          <t>Conta corrente FRUGIS5.XLS</t>
        </is>
      </c>
      <c r="B2108" s="39" t="n">
        <v>41257</v>
      </c>
      <c r="C2108" s="4" t="n">
        <v>41244</v>
      </c>
      <c r="D2108" s="5">
        <f>YEAR(C2108)</f>
        <v/>
      </c>
      <c r="E2108" s="5">
        <f>MONTH(C2108)</f>
        <v/>
      </c>
      <c r="F2108" s="38" t="inlineStr">
        <is>
          <t>NFV  :TENDA ATACADO LTDA</t>
        </is>
      </c>
      <c r="G2108" s="38" t="inlineStr">
        <is>
          <t>MARIO FRUGIS (01.04.01)</t>
        </is>
      </c>
      <c r="H2108" s="38" t="inlineStr">
        <is>
          <t>NFV</t>
        </is>
      </c>
      <c r="I2108" s="40" t="n">
        <v>12.11</v>
      </c>
      <c r="J2108" s="40" t="n">
        <v>0</v>
      </c>
      <c r="K2108" s="6">
        <f>I2108-J2108</f>
        <v/>
      </c>
      <c r="L2108" s="6">
        <f>IF(H2108="DISTRATO",0,I2108)</f>
        <v/>
      </c>
    </row>
    <row r="2109">
      <c r="A2109" s="38" t="inlineStr">
        <is>
          <t>Conta corrente FRUGIS5.XLS</t>
        </is>
      </c>
      <c r="B2109" s="39" t="n">
        <v>41257</v>
      </c>
      <c r="C2109" s="4" t="n">
        <v>41244</v>
      </c>
      <c r="D2109" s="5">
        <f>YEAR(C2109)</f>
        <v/>
      </c>
      <c r="E2109" s="5">
        <f>MONTH(C2109)</f>
        <v/>
      </c>
      <c r="F2109" s="38" t="inlineStr">
        <is>
          <t>NFV  :TENDA ATACADO LTDA</t>
        </is>
      </c>
      <c r="G2109" s="38" t="inlineStr">
        <is>
          <t>MARIO FRUGIS (01.04.01)</t>
        </is>
      </c>
      <c r="H2109" s="38" t="inlineStr">
        <is>
          <t>NFV</t>
        </is>
      </c>
      <c r="I2109" s="40" t="n">
        <v>72.64</v>
      </c>
      <c r="J2109" s="40" t="n">
        <v>0</v>
      </c>
      <c r="K2109" s="6">
        <f>I2109-J2109</f>
        <v/>
      </c>
      <c r="L2109" s="6">
        <f>IF(H2109="DISTRATO",0,I2109)</f>
        <v/>
      </c>
    </row>
    <row r="2110">
      <c r="A2110" s="38" t="inlineStr">
        <is>
          <t>Conta corrente FRUGIS5.XLS</t>
        </is>
      </c>
      <c r="B2110" s="39" t="n">
        <v>41257</v>
      </c>
      <c r="C2110" s="4" t="n">
        <v>41244</v>
      </c>
      <c r="D2110" s="5">
        <f>YEAR(C2110)</f>
        <v/>
      </c>
      <c r="E2110" s="5">
        <f>MONTH(C2110)</f>
        <v/>
      </c>
      <c r="F2110" s="38" t="inlineStr">
        <is>
          <t>NFV  :TENDA ATACADO LTDA</t>
        </is>
      </c>
      <c r="G2110" s="38" t="inlineStr">
        <is>
          <t>MARIO FRUGIS (01.04.01)</t>
        </is>
      </c>
      <c r="H2110" s="38" t="inlineStr">
        <is>
          <t>NFV</t>
        </is>
      </c>
      <c r="I2110" s="40" t="n">
        <v>13.2</v>
      </c>
      <c r="J2110" s="40" t="n">
        <v>0</v>
      </c>
      <c r="K2110" s="6">
        <f>I2110-J2110</f>
        <v/>
      </c>
      <c r="L2110" s="6">
        <f>IF(H2110="DISTRATO",0,I2110)</f>
        <v/>
      </c>
    </row>
    <row r="2111">
      <c r="A2111" s="38" t="inlineStr">
        <is>
          <t>Conta corrente FRUGIS5.XLS</t>
        </is>
      </c>
      <c r="B2111" s="39" t="n">
        <v>41257</v>
      </c>
      <c r="C2111" s="4" t="n">
        <v>41244</v>
      </c>
      <c r="D2111" s="5">
        <f>YEAR(C2111)</f>
        <v/>
      </c>
      <c r="E2111" s="5">
        <f>MONTH(C2111)</f>
        <v/>
      </c>
      <c r="F2111" s="38" t="inlineStr">
        <is>
          <t>NFV  :TENDA ATACADO LTDA</t>
        </is>
      </c>
      <c r="G2111" s="38" t="inlineStr">
        <is>
          <t>MARIO FRUGIS (01.04.01)</t>
        </is>
      </c>
      <c r="H2111" s="38" t="inlineStr">
        <is>
          <t>NFV</t>
        </is>
      </c>
      <c r="I2111" s="40" t="n">
        <v>54.86</v>
      </c>
      <c r="J2111" s="40" t="n">
        <v>0</v>
      </c>
      <c r="K2111" s="6">
        <f>I2111-J2111</f>
        <v/>
      </c>
      <c r="L2111" s="6">
        <f>IF(H2111="DISTRATO",0,I2111)</f>
        <v/>
      </c>
    </row>
    <row r="2112">
      <c r="A2112" s="38" t="inlineStr">
        <is>
          <t>Conta corrente FRUGIS5.XLS</t>
        </is>
      </c>
      <c r="B2112" s="39" t="n">
        <v>41259</v>
      </c>
      <c r="C2112" s="4" t="n">
        <v>41244</v>
      </c>
      <c r="D2112" s="5">
        <f>YEAR(C2112)</f>
        <v/>
      </c>
      <c r="E2112" s="5">
        <f>MONTH(C2112)</f>
        <v/>
      </c>
      <c r="F2112" s="38" t="inlineStr">
        <is>
          <t>NFV  :TENDA ATACADO LTDA</t>
        </is>
      </c>
      <c r="G2112" s="38" t="inlineStr">
        <is>
          <t>MARIO FRUGIS (01.04.01)</t>
        </is>
      </c>
      <c r="H2112" s="38" t="inlineStr">
        <is>
          <t>NFV</t>
        </is>
      </c>
      <c r="I2112" s="40" t="n">
        <v>12.11</v>
      </c>
      <c r="J2112" s="40" t="n">
        <v>0</v>
      </c>
      <c r="K2112" s="6">
        <f>I2112-J2112</f>
        <v/>
      </c>
      <c r="L2112" s="6">
        <f>IF(H2112="DISTRATO",0,I2112)</f>
        <v/>
      </c>
    </row>
    <row r="2113">
      <c r="A2113" s="38" t="inlineStr">
        <is>
          <t>Conta corrente FRUGIS5.XLS</t>
        </is>
      </c>
      <c r="B2113" s="39" t="n">
        <v>41259</v>
      </c>
      <c r="C2113" s="4" t="n">
        <v>41244</v>
      </c>
      <c r="D2113" s="5">
        <f>YEAR(C2113)</f>
        <v/>
      </c>
      <c r="E2113" s="5">
        <f>MONTH(C2113)</f>
        <v/>
      </c>
      <c r="F2113" s="38" t="inlineStr">
        <is>
          <t>NFV  :TENDA ATACADO LTDA</t>
        </is>
      </c>
      <c r="G2113" s="38" t="inlineStr">
        <is>
          <t>MARIO FRUGIS (01.04.01)</t>
        </is>
      </c>
      <c r="H2113" s="38" t="inlineStr">
        <is>
          <t>NFV</t>
        </is>
      </c>
      <c r="I2113" s="40" t="n">
        <v>12.11</v>
      </c>
      <c r="J2113" s="40" t="n">
        <v>0</v>
      </c>
      <c r="K2113" s="6">
        <f>I2113-J2113</f>
        <v/>
      </c>
      <c r="L2113" s="6">
        <f>IF(H2113="DISTRATO",0,I2113)</f>
        <v/>
      </c>
    </row>
    <row r="2114">
      <c r="A2114" s="38" t="inlineStr">
        <is>
          <t>Conta corrente FRUGIS5.XLS</t>
        </is>
      </c>
      <c r="B2114" s="39" t="n">
        <v>41259</v>
      </c>
      <c r="C2114" s="4" t="n">
        <v>41244</v>
      </c>
      <c r="D2114" s="5">
        <f>YEAR(C2114)</f>
        <v/>
      </c>
      <c r="E2114" s="5">
        <f>MONTH(C2114)</f>
        <v/>
      </c>
      <c r="F2114" s="38" t="inlineStr">
        <is>
          <t>NFV  :TENDA ATACADO LTDA</t>
        </is>
      </c>
      <c r="G2114" s="38" t="inlineStr">
        <is>
          <t>MARIO FRUGIS (01.04.01)</t>
        </is>
      </c>
      <c r="H2114" s="38" t="inlineStr">
        <is>
          <t>NFV</t>
        </is>
      </c>
      <c r="I2114" s="40" t="n">
        <v>12.11</v>
      </c>
      <c r="J2114" s="40" t="n">
        <v>0</v>
      </c>
      <c r="K2114" s="6">
        <f>I2114-J2114</f>
        <v/>
      </c>
      <c r="L2114" s="6">
        <f>IF(H2114="DISTRATO",0,I2114)</f>
        <v/>
      </c>
    </row>
    <row r="2115">
      <c r="A2115" s="38" t="inlineStr">
        <is>
          <t>Conta corrente FRUGIS5.XLS</t>
        </is>
      </c>
      <c r="B2115" s="39" t="n">
        <v>41260</v>
      </c>
      <c r="C2115" s="4" t="n">
        <v>41244</v>
      </c>
      <c r="D2115" s="5">
        <f>YEAR(C2115)</f>
        <v/>
      </c>
      <c r="E2115" s="5">
        <f>MONTH(C2115)</f>
        <v/>
      </c>
      <c r="F2115" s="38" t="inlineStr">
        <is>
          <t>NFV  :TENDA ATACADO LTDA</t>
        </is>
      </c>
      <c r="G2115" s="38" t="inlineStr">
        <is>
          <t>MARIO FRUGIS (01.04.01)</t>
        </is>
      </c>
      <c r="H2115" s="38" t="inlineStr">
        <is>
          <t>NFV</t>
        </is>
      </c>
      <c r="I2115" s="40" t="n">
        <v>134.81</v>
      </c>
      <c r="J2115" s="40" t="n">
        <v>0</v>
      </c>
      <c r="K2115" s="6">
        <f>I2115-J2115</f>
        <v/>
      </c>
      <c r="L2115" s="6">
        <f>IF(H2115="DISTRATO",0,I2115)</f>
        <v/>
      </c>
    </row>
    <row r="2116">
      <c r="A2116" s="38" t="inlineStr">
        <is>
          <t>Conta corrente FRUGIS5.XLS</t>
        </is>
      </c>
      <c r="B2116" s="39" t="n">
        <v>41260</v>
      </c>
      <c r="C2116" s="4" t="n">
        <v>41244</v>
      </c>
      <c r="D2116" s="5">
        <f>YEAR(C2116)</f>
        <v/>
      </c>
      <c r="E2116" s="5">
        <f>MONTH(C2116)</f>
        <v/>
      </c>
      <c r="F2116" s="38" t="inlineStr">
        <is>
          <t>NFV  :TENDA ATACADO LTDA</t>
        </is>
      </c>
      <c r="G2116" s="38" t="inlineStr">
        <is>
          <t>MARIO FRUGIS (01.04.01)</t>
        </is>
      </c>
      <c r="H2116" s="38" t="inlineStr">
        <is>
          <t>NFV</t>
        </is>
      </c>
      <c r="I2116" s="40" t="n">
        <v>12.11</v>
      </c>
      <c r="J2116" s="40" t="n">
        <v>0</v>
      </c>
      <c r="K2116" s="6">
        <f>I2116-J2116</f>
        <v/>
      </c>
      <c r="L2116" s="6">
        <f>IF(H2116="DISTRATO",0,I2116)</f>
        <v/>
      </c>
    </row>
    <row r="2117">
      <c r="A2117" s="38" t="inlineStr">
        <is>
          <t>Conta corrente FRUGIS5.XLS</t>
        </is>
      </c>
      <c r="B2117" s="39" t="n">
        <v>41260</v>
      </c>
      <c r="C2117" s="4" t="n">
        <v>41244</v>
      </c>
      <c r="D2117" s="5">
        <f>YEAR(C2117)</f>
        <v/>
      </c>
      <c r="E2117" s="5">
        <f>MONTH(C2117)</f>
        <v/>
      </c>
      <c r="F2117" s="38" t="inlineStr">
        <is>
          <t>NFV  :TENDA ATACADO LTDA</t>
        </is>
      </c>
      <c r="G2117" s="38" t="inlineStr">
        <is>
          <t>MARIO FRUGIS (01.04.01)</t>
        </is>
      </c>
      <c r="H2117" s="38" t="inlineStr">
        <is>
          <t>NFV</t>
        </is>
      </c>
      <c r="I2117" s="40" t="n">
        <v>154.46</v>
      </c>
      <c r="J2117" s="40" t="n">
        <v>0</v>
      </c>
      <c r="K2117" s="6">
        <f>I2117-J2117</f>
        <v/>
      </c>
      <c r="L2117" s="6">
        <f>IF(H2117="DISTRATO",0,I2117)</f>
        <v/>
      </c>
    </row>
    <row r="2118">
      <c r="A2118" s="38" t="inlineStr">
        <is>
          <t>Conta corrente FRUGIS5.XLS</t>
        </is>
      </c>
      <c r="B2118" s="39" t="n">
        <v>41260</v>
      </c>
      <c r="C2118" s="4" t="n">
        <v>41244</v>
      </c>
      <c r="D2118" s="5">
        <f>YEAR(C2118)</f>
        <v/>
      </c>
      <c r="E2118" s="5">
        <f>MONTH(C2118)</f>
        <v/>
      </c>
      <c r="F2118" s="38" t="inlineStr">
        <is>
          <t>NFV  :TENDA ATACADO LTDA</t>
        </is>
      </c>
      <c r="G2118" s="38" t="inlineStr">
        <is>
          <t>MARIO FRUGIS (01.04.01)</t>
        </is>
      </c>
      <c r="H2118" s="38" t="inlineStr">
        <is>
          <t>NFV</t>
        </is>
      </c>
      <c r="I2118" s="40" t="n">
        <v>12.11</v>
      </c>
      <c r="J2118" s="40" t="n">
        <v>0</v>
      </c>
      <c r="K2118" s="6">
        <f>I2118-J2118</f>
        <v/>
      </c>
      <c r="L2118" s="6">
        <f>IF(H2118="DISTRATO",0,I2118)</f>
        <v/>
      </c>
    </row>
    <row r="2119">
      <c r="A2119" s="38" t="inlineStr">
        <is>
          <t>Conta corrente FRUGIS5.XLS</t>
        </is>
      </c>
      <c r="B2119" s="39" t="n">
        <v>41260</v>
      </c>
      <c r="C2119" s="4" t="n">
        <v>41244</v>
      </c>
      <c r="D2119" s="5">
        <f>YEAR(C2119)</f>
        <v/>
      </c>
      <c r="E2119" s="5">
        <f>MONTH(C2119)</f>
        <v/>
      </c>
      <c r="F2119" s="38" t="inlineStr">
        <is>
          <t>NFV  :TENDA ATACADO LTDA</t>
        </is>
      </c>
      <c r="G2119" s="38" t="inlineStr">
        <is>
          <t>MARIO FRUGIS (01.04.01)</t>
        </is>
      </c>
      <c r="H2119" s="38" t="inlineStr">
        <is>
          <t>NFV</t>
        </is>
      </c>
      <c r="I2119" s="40" t="n">
        <v>82.81</v>
      </c>
      <c r="J2119" s="40" t="n">
        <v>0</v>
      </c>
      <c r="K2119" s="6">
        <f>I2119-J2119</f>
        <v/>
      </c>
      <c r="L2119" s="6">
        <f>IF(H2119="DISTRATO",0,I2119)</f>
        <v/>
      </c>
    </row>
    <row r="2120">
      <c r="A2120" s="38" t="inlineStr">
        <is>
          <t>Conta corrente FRUGIS5.XLS</t>
        </is>
      </c>
      <c r="B2120" s="39" t="n">
        <v>41260</v>
      </c>
      <c r="C2120" s="4" t="n">
        <v>41244</v>
      </c>
      <c r="D2120" s="5">
        <f>YEAR(C2120)</f>
        <v/>
      </c>
      <c r="E2120" s="5">
        <f>MONTH(C2120)</f>
        <v/>
      </c>
      <c r="F2120" s="38" t="inlineStr">
        <is>
          <t>NFV  :TENDA ATACADO LTDA</t>
        </is>
      </c>
      <c r="G2120" s="38" t="inlineStr">
        <is>
          <t>MARIO FRUGIS (01.04.01)</t>
        </is>
      </c>
      <c r="H2120" s="38" t="inlineStr">
        <is>
          <t>NFV</t>
        </is>
      </c>
      <c r="I2120" s="40" t="n">
        <v>8.07</v>
      </c>
      <c r="J2120" s="40" t="n">
        <v>0</v>
      </c>
      <c r="K2120" s="6">
        <f>I2120-J2120</f>
        <v/>
      </c>
      <c r="L2120" s="6">
        <f>IF(H2120="DISTRATO",0,I2120)</f>
        <v/>
      </c>
    </row>
    <row r="2121">
      <c r="A2121" s="38" t="inlineStr">
        <is>
          <t>Conta corrente FRUGIS5.XLS</t>
        </is>
      </c>
      <c r="B2121" s="39" t="n">
        <v>41260</v>
      </c>
      <c r="C2121" s="4" t="n">
        <v>41244</v>
      </c>
      <c r="D2121" s="5">
        <f>YEAR(C2121)</f>
        <v/>
      </c>
      <c r="E2121" s="5">
        <f>MONTH(C2121)</f>
        <v/>
      </c>
      <c r="F2121" s="38" t="inlineStr">
        <is>
          <t>NFV  :TENDA ATACADO LTDA</t>
        </is>
      </c>
      <c r="G2121" s="38" t="inlineStr">
        <is>
          <t>MARIO FRUGIS (01.04.01)</t>
        </is>
      </c>
      <c r="H2121" s="38" t="inlineStr">
        <is>
          <t>NFV</t>
        </is>
      </c>
      <c r="I2121" s="40" t="n">
        <v>15.15</v>
      </c>
      <c r="J2121" s="40" t="n">
        <v>0</v>
      </c>
      <c r="K2121" s="6">
        <f>I2121-J2121</f>
        <v/>
      </c>
      <c r="L2121" s="6">
        <f>IF(H2121="DISTRATO",0,I2121)</f>
        <v/>
      </c>
    </row>
    <row r="2122">
      <c r="A2122" s="38" t="inlineStr">
        <is>
          <t>Conta corrente FRUGIS5.XLS</t>
        </is>
      </c>
      <c r="B2122" s="39" t="n">
        <v>41260</v>
      </c>
      <c r="C2122" s="4" t="n">
        <v>41244</v>
      </c>
      <c r="D2122" s="5">
        <f>YEAR(C2122)</f>
        <v/>
      </c>
      <c r="E2122" s="5">
        <f>MONTH(C2122)</f>
        <v/>
      </c>
      <c r="F2122" s="38" t="inlineStr">
        <is>
          <t>NFV  :TENDA ATACADO LTDA</t>
        </is>
      </c>
      <c r="G2122" s="38" t="inlineStr">
        <is>
          <t>MARIO FRUGIS (01.04.01)</t>
        </is>
      </c>
      <c r="H2122" s="38" t="inlineStr">
        <is>
          <t>NFV</t>
        </is>
      </c>
      <c r="I2122" s="40" t="n">
        <v>179.16</v>
      </c>
      <c r="J2122" s="40" t="n">
        <v>0</v>
      </c>
      <c r="K2122" s="6">
        <f>I2122-J2122</f>
        <v/>
      </c>
      <c r="L2122" s="6">
        <f>IF(H2122="DISTRATO",0,I2122)</f>
        <v/>
      </c>
    </row>
    <row r="2123">
      <c r="A2123" s="38" t="inlineStr">
        <is>
          <t>Conta corrente FRUGIS5.XLS</t>
        </is>
      </c>
      <c r="B2123" s="39" t="n">
        <v>41260</v>
      </c>
      <c r="C2123" s="4" t="n">
        <v>41244</v>
      </c>
      <c r="D2123" s="5">
        <f>YEAR(C2123)</f>
        <v/>
      </c>
      <c r="E2123" s="5">
        <f>MONTH(C2123)</f>
        <v/>
      </c>
      <c r="F2123" s="38" t="inlineStr">
        <is>
          <t>NFV  :TENDA ATACADO LTDA</t>
        </is>
      </c>
      <c r="G2123" s="38" t="inlineStr">
        <is>
          <t>MARIO FRUGIS (01.04.01)</t>
        </is>
      </c>
      <c r="H2123" s="38" t="inlineStr">
        <is>
          <t>NFV</t>
        </is>
      </c>
      <c r="I2123" s="40" t="n">
        <v>12.11</v>
      </c>
      <c r="J2123" s="40" t="n">
        <v>0</v>
      </c>
      <c r="K2123" s="6">
        <f>I2123-J2123</f>
        <v/>
      </c>
      <c r="L2123" s="6">
        <f>IF(H2123="DISTRATO",0,I2123)</f>
        <v/>
      </c>
    </row>
    <row r="2124">
      <c r="A2124" s="38" t="inlineStr">
        <is>
          <t>Conta corrente FRUGIS5.XLS</t>
        </is>
      </c>
      <c r="B2124" s="39" t="n">
        <v>41261</v>
      </c>
      <c r="C2124" s="4" t="n">
        <v>41244</v>
      </c>
      <c r="D2124" s="5">
        <f>YEAR(C2124)</f>
        <v/>
      </c>
      <c r="E2124" s="5">
        <f>MONTH(C2124)</f>
        <v/>
      </c>
      <c r="F2124" s="38" t="inlineStr">
        <is>
          <t>NFV  :TENDA ATACADO LTDA</t>
        </is>
      </c>
      <c r="G2124" s="38" t="inlineStr">
        <is>
          <t>MARIO FRUGIS (01.04.01)</t>
        </is>
      </c>
      <c r="H2124" s="38" t="inlineStr">
        <is>
          <t>NFV</t>
        </is>
      </c>
      <c r="I2124" s="40" t="n">
        <v>131.24</v>
      </c>
      <c r="J2124" s="40" t="n">
        <v>0</v>
      </c>
      <c r="K2124" s="6">
        <f>I2124-J2124</f>
        <v/>
      </c>
      <c r="L2124" s="6">
        <f>IF(H2124="DISTRATO",0,I2124)</f>
        <v/>
      </c>
    </row>
    <row r="2125">
      <c r="A2125" s="38" t="inlineStr">
        <is>
          <t>Conta corrente FRUGIS5.XLS</t>
        </is>
      </c>
      <c r="B2125" s="39" t="n">
        <v>41261</v>
      </c>
      <c r="C2125" s="4" t="n">
        <v>41244</v>
      </c>
      <c r="D2125" s="5">
        <f>YEAR(C2125)</f>
        <v/>
      </c>
      <c r="E2125" s="5">
        <f>MONTH(C2125)</f>
        <v/>
      </c>
      <c r="F2125" s="38" t="inlineStr">
        <is>
          <t>NFV  :TENDA ATACADO LTDA</t>
        </is>
      </c>
      <c r="G2125" s="38" t="inlineStr">
        <is>
          <t>MARIO FRUGIS (01.04.01)</t>
        </is>
      </c>
      <c r="H2125" s="38" t="inlineStr">
        <is>
          <t>NFV</t>
        </is>
      </c>
      <c r="I2125" s="40" t="n">
        <v>12.11</v>
      </c>
      <c r="J2125" s="40" t="n">
        <v>0</v>
      </c>
      <c r="K2125" s="6">
        <f>I2125-J2125</f>
        <v/>
      </c>
      <c r="L2125" s="6">
        <f>IF(H2125="DISTRATO",0,I2125)</f>
        <v/>
      </c>
    </row>
    <row r="2126">
      <c r="A2126" s="38" t="inlineStr">
        <is>
          <t>Conta corrente FRUGIS5.XLS</t>
        </is>
      </c>
      <c r="B2126" s="39" t="n">
        <v>41261</v>
      </c>
      <c r="C2126" s="4" t="n">
        <v>41244</v>
      </c>
      <c r="D2126" s="5">
        <f>YEAR(C2126)</f>
        <v/>
      </c>
      <c r="E2126" s="5">
        <f>MONTH(C2126)</f>
        <v/>
      </c>
      <c r="F2126" s="38" t="inlineStr">
        <is>
          <t>NFV  :TENDA ATACADO LTDA</t>
        </is>
      </c>
      <c r="G2126" s="38" t="inlineStr">
        <is>
          <t>MARIO FRUGIS (01.04.01)</t>
        </is>
      </c>
      <c r="H2126" s="38" t="inlineStr">
        <is>
          <t>NFV</t>
        </is>
      </c>
      <c r="I2126" s="40" t="n">
        <v>71.84999999999999</v>
      </c>
      <c r="J2126" s="40" t="n">
        <v>0</v>
      </c>
      <c r="K2126" s="6">
        <f>I2126-J2126</f>
        <v/>
      </c>
      <c r="L2126" s="6">
        <f>IF(H2126="DISTRATO",0,I2126)</f>
        <v/>
      </c>
    </row>
    <row r="2127">
      <c r="A2127" s="38" t="inlineStr">
        <is>
          <t>Conta corrente FRUGIS5.XLS</t>
        </is>
      </c>
      <c r="B2127" s="39" t="n">
        <v>41261</v>
      </c>
      <c r="C2127" s="4" t="n">
        <v>41244</v>
      </c>
      <c r="D2127" s="5">
        <f>YEAR(C2127)</f>
        <v/>
      </c>
      <c r="E2127" s="5">
        <f>MONTH(C2127)</f>
        <v/>
      </c>
      <c r="F2127" s="38" t="inlineStr">
        <is>
          <t>NFV  :TENDA ATACADO LTDA</t>
        </is>
      </c>
      <c r="G2127" s="38" t="inlineStr">
        <is>
          <t>MARIO FRUGIS (01.04.01)</t>
        </is>
      </c>
      <c r="H2127" s="38" t="inlineStr">
        <is>
          <t>NFV</t>
        </is>
      </c>
      <c r="I2127" s="40" t="n">
        <v>13.2</v>
      </c>
      <c r="J2127" s="40" t="n">
        <v>0</v>
      </c>
      <c r="K2127" s="6">
        <f>I2127-J2127</f>
        <v/>
      </c>
      <c r="L2127" s="6">
        <f>IF(H2127="DISTRATO",0,I2127)</f>
        <v/>
      </c>
    </row>
    <row r="2128">
      <c r="A2128" s="38" t="inlineStr">
        <is>
          <t>Conta corrente FRUGIS5.XLS</t>
        </is>
      </c>
      <c r="B2128" s="39" t="n">
        <v>41261</v>
      </c>
      <c r="C2128" s="4" t="n">
        <v>41244</v>
      </c>
      <c r="D2128" s="5">
        <f>YEAR(C2128)</f>
        <v/>
      </c>
      <c r="E2128" s="5">
        <f>MONTH(C2128)</f>
        <v/>
      </c>
      <c r="F2128" s="38" t="inlineStr">
        <is>
          <t>NFV  :TENDA ATACADO LTDA</t>
        </is>
      </c>
      <c r="G2128" s="38" t="inlineStr">
        <is>
          <t>MARIO FRUGIS (01.04.01)</t>
        </is>
      </c>
      <c r="H2128" s="38" t="inlineStr">
        <is>
          <t>NFV</t>
        </is>
      </c>
      <c r="I2128" s="40" t="n">
        <v>8.800000000000001</v>
      </c>
      <c r="J2128" s="40" t="n">
        <v>0</v>
      </c>
      <c r="K2128" s="6">
        <f>I2128-J2128</f>
        <v/>
      </c>
      <c r="L2128" s="6">
        <f>IF(H2128="DISTRATO",0,I2128)</f>
        <v/>
      </c>
    </row>
    <row r="2129">
      <c r="A2129" s="38" t="inlineStr">
        <is>
          <t>Conta corrente FRUGIS5.XLS</t>
        </is>
      </c>
      <c r="B2129" s="39" t="n">
        <v>41261</v>
      </c>
      <c r="C2129" s="4" t="n">
        <v>41244</v>
      </c>
      <c r="D2129" s="5">
        <f>YEAR(C2129)</f>
        <v/>
      </c>
      <c r="E2129" s="5">
        <f>MONTH(C2129)</f>
        <v/>
      </c>
      <c r="F2129" s="38" t="inlineStr">
        <is>
          <t>NFV  :TENDA ATACADO LTDA</t>
        </is>
      </c>
      <c r="G2129" s="38" t="inlineStr">
        <is>
          <t>MARIO FRUGIS (01.04.01)</t>
        </is>
      </c>
      <c r="H2129" s="38" t="inlineStr">
        <is>
          <t>NFV</t>
        </is>
      </c>
      <c r="I2129" s="40" t="n">
        <v>99.98999999999999</v>
      </c>
      <c r="J2129" s="40" t="n">
        <v>0</v>
      </c>
      <c r="K2129" s="6">
        <f>I2129-J2129</f>
        <v/>
      </c>
      <c r="L2129" s="6">
        <f>IF(H2129="DISTRATO",0,I2129)</f>
        <v/>
      </c>
    </row>
    <row r="2130">
      <c r="A2130" s="38" t="inlineStr">
        <is>
          <t>Conta corrente FRUGIS5.XLS</t>
        </is>
      </c>
      <c r="B2130" s="39" t="n">
        <v>41261</v>
      </c>
      <c r="C2130" s="4" t="n">
        <v>41244</v>
      </c>
      <c r="D2130" s="5">
        <f>YEAR(C2130)</f>
        <v/>
      </c>
      <c r="E2130" s="5">
        <f>MONTH(C2130)</f>
        <v/>
      </c>
      <c r="F2130" s="38" t="inlineStr">
        <is>
          <t>NFV  :TENDA ATACADO LTDA</t>
        </is>
      </c>
      <c r="G2130" s="38" t="inlineStr">
        <is>
          <t>MARIO FRUGIS (01.04.01)</t>
        </is>
      </c>
      <c r="H2130" s="38" t="inlineStr">
        <is>
          <t>NFV</t>
        </is>
      </c>
      <c r="I2130" s="40" t="n">
        <v>15.15</v>
      </c>
      <c r="J2130" s="40" t="n">
        <v>0</v>
      </c>
      <c r="K2130" s="6">
        <f>I2130-J2130</f>
        <v/>
      </c>
      <c r="L2130" s="6">
        <f>IF(H2130="DISTRATO",0,I2130)</f>
        <v/>
      </c>
    </row>
    <row r="2131">
      <c r="A2131" s="38" t="inlineStr">
        <is>
          <t>Conta corrente FRUGIS5.XLS</t>
        </is>
      </c>
      <c r="B2131" s="39" t="n">
        <v>41261</v>
      </c>
      <c r="C2131" s="4" t="n">
        <v>41244</v>
      </c>
      <c r="D2131" s="5">
        <f>YEAR(C2131)</f>
        <v/>
      </c>
      <c r="E2131" s="5">
        <f>MONTH(C2131)</f>
        <v/>
      </c>
      <c r="F2131" s="38" t="inlineStr">
        <is>
          <t>NFV  :TENDA ATACADO LTDA</t>
        </is>
      </c>
      <c r="G2131" s="38" t="inlineStr">
        <is>
          <t>MARIO FRUGIS (01.04.01)</t>
        </is>
      </c>
      <c r="H2131" s="38" t="inlineStr">
        <is>
          <t>NFV</t>
        </is>
      </c>
      <c r="I2131" s="40" t="n">
        <v>166.54</v>
      </c>
      <c r="J2131" s="40" t="n">
        <v>0</v>
      </c>
      <c r="K2131" s="6">
        <f>I2131-J2131</f>
        <v/>
      </c>
      <c r="L2131" s="6">
        <f>IF(H2131="DISTRATO",0,I2131)</f>
        <v/>
      </c>
    </row>
    <row r="2132">
      <c r="A2132" s="38" t="inlineStr">
        <is>
          <t>Conta corrente FRUGIS5.XLS</t>
        </is>
      </c>
      <c r="B2132" s="39" t="n">
        <v>41261</v>
      </c>
      <c r="C2132" s="4" t="n">
        <v>41244</v>
      </c>
      <c r="D2132" s="5">
        <f>YEAR(C2132)</f>
        <v/>
      </c>
      <c r="E2132" s="5">
        <f>MONTH(C2132)</f>
        <v/>
      </c>
      <c r="F2132" s="38" t="inlineStr">
        <is>
          <t>NFV  :TENDA ATACADO LTDA</t>
        </is>
      </c>
      <c r="G2132" s="38" t="inlineStr">
        <is>
          <t>MARIO FRUGIS (01.04.01)</t>
        </is>
      </c>
      <c r="H2132" s="38" t="inlineStr">
        <is>
          <t>NFV</t>
        </is>
      </c>
      <c r="I2132" s="40" t="n">
        <v>80.25</v>
      </c>
      <c r="J2132" s="40" t="n">
        <v>0</v>
      </c>
      <c r="K2132" s="6">
        <f>I2132-J2132</f>
        <v/>
      </c>
      <c r="L2132" s="6">
        <f>IF(H2132="DISTRATO",0,I2132)</f>
        <v/>
      </c>
    </row>
    <row r="2133">
      <c r="A2133" s="38" t="inlineStr">
        <is>
          <t>Conta corrente FRUGIS5.XLS</t>
        </is>
      </c>
      <c r="B2133" s="39" t="n">
        <v>41261</v>
      </c>
      <c r="C2133" s="4" t="n">
        <v>41244</v>
      </c>
      <c r="D2133" s="5">
        <f>YEAR(C2133)</f>
        <v/>
      </c>
      <c r="E2133" s="5">
        <f>MONTH(C2133)</f>
        <v/>
      </c>
      <c r="F2133" s="38" t="inlineStr">
        <is>
          <t>NFV  :TENDA ATACADO LTDA</t>
        </is>
      </c>
      <c r="G2133" s="38" t="inlineStr">
        <is>
          <t>MARIO FRUGIS (01.04.01)</t>
        </is>
      </c>
      <c r="H2133" s="38" t="inlineStr">
        <is>
          <t>NFV</t>
        </is>
      </c>
      <c r="I2133" s="40" t="n">
        <v>13.2</v>
      </c>
      <c r="J2133" s="40" t="n">
        <v>0</v>
      </c>
      <c r="K2133" s="6">
        <f>I2133-J2133</f>
        <v/>
      </c>
      <c r="L2133" s="6">
        <f>IF(H2133="DISTRATO",0,I2133)</f>
        <v/>
      </c>
    </row>
    <row r="2134">
      <c r="A2134" s="38" t="inlineStr">
        <is>
          <t>Conta corrente FRUGIS5.XLS</t>
        </is>
      </c>
      <c r="B2134" s="39" t="n">
        <v>41261</v>
      </c>
      <c r="C2134" s="4" t="n">
        <v>41244</v>
      </c>
      <c r="D2134" s="5">
        <f>YEAR(C2134)</f>
        <v/>
      </c>
      <c r="E2134" s="5">
        <f>MONTH(C2134)</f>
        <v/>
      </c>
      <c r="F2134" s="38" t="inlineStr">
        <is>
          <t>NFV  :TENDA ATACADO LTDA</t>
        </is>
      </c>
      <c r="G2134" s="38" t="inlineStr">
        <is>
          <t>MARIO FRUGIS (01.04.01)</t>
        </is>
      </c>
      <c r="H2134" s="38" t="inlineStr">
        <is>
          <t>NFV</t>
        </is>
      </c>
      <c r="I2134" s="40" t="n">
        <v>125.01</v>
      </c>
      <c r="J2134" s="40" t="n">
        <v>0</v>
      </c>
      <c r="K2134" s="6">
        <f>I2134-J2134</f>
        <v/>
      </c>
      <c r="L2134" s="6">
        <f>IF(H2134="DISTRATO",0,I2134)</f>
        <v/>
      </c>
    </row>
    <row r="2135">
      <c r="A2135" s="38" t="inlineStr">
        <is>
          <t>Conta corrente FRUGIS5.XLS</t>
        </is>
      </c>
      <c r="B2135" s="39" t="n">
        <v>41261</v>
      </c>
      <c r="C2135" s="4" t="n">
        <v>41244</v>
      </c>
      <c r="D2135" s="5">
        <f>YEAR(C2135)</f>
        <v/>
      </c>
      <c r="E2135" s="5">
        <f>MONTH(C2135)</f>
        <v/>
      </c>
      <c r="F2135" s="38" t="inlineStr">
        <is>
          <t>NFV  :TENDA ATACADO LTDA</t>
        </is>
      </c>
      <c r="G2135" s="38" t="inlineStr">
        <is>
          <t>MARIO FRUGIS (01.04.01)</t>
        </is>
      </c>
      <c r="H2135" s="38" t="inlineStr">
        <is>
          <t>NFV</t>
        </is>
      </c>
      <c r="I2135" s="40" t="n">
        <v>86.20999999999999</v>
      </c>
      <c r="J2135" s="40" t="n">
        <v>0</v>
      </c>
      <c r="K2135" s="6">
        <f>I2135-J2135</f>
        <v/>
      </c>
      <c r="L2135" s="6">
        <f>IF(H2135="DISTRATO",0,I2135)</f>
        <v/>
      </c>
    </row>
    <row r="2136">
      <c r="A2136" s="38" t="inlineStr">
        <is>
          <t>Conta corrente FRUGIS5.XLS</t>
        </is>
      </c>
      <c r="B2136" s="39" t="n">
        <v>41261</v>
      </c>
      <c r="C2136" s="4" t="n">
        <v>41244</v>
      </c>
      <c r="D2136" s="5">
        <f>YEAR(C2136)</f>
        <v/>
      </c>
      <c r="E2136" s="5">
        <f>MONTH(C2136)</f>
        <v/>
      </c>
      <c r="F2136" s="38" t="inlineStr">
        <is>
          <t>NFV  :TENDA ATACADO LTDA</t>
        </is>
      </c>
      <c r="G2136" s="38" t="inlineStr">
        <is>
          <t>MARIO FRUGIS (01.04.01)</t>
        </is>
      </c>
      <c r="H2136" s="38" t="inlineStr">
        <is>
          <t>NFV</t>
        </is>
      </c>
      <c r="I2136" s="40" t="n">
        <v>90.61</v>
      </c>
      <c r="J2136" s="40" t="n">
        <v>0</v>
      </c>
      <c r="K2136" s="6">
        <f>I2136-J2136</f>
        <v/>
      </c>
      <c r="L2136" s="6">
        <f>IF(H2136="DISTRATO",0,I2136)</f>
        <v/>
      </c>
    </row>
    <row r="2137">
      <c r="A2137" s="38" t="inlineStr">
        <is>
          <t>Conta corrente FRUGIS5.XLS</t>
        </is>
      </c>
      <c r="B2137" s="39" t="n">
        <v>41261</v>
      </c>
      <c r="C2137" s="4" t="n">
        <v>41244</v>
      </c>
      <c r="D2137" s="5">
        <f>YEAR(C2137)</f>
        <v/>
      </c>
      <c r="E2137" s="5">
        <f>MONTH(C2137)</f>
        <v/>
      </c>
      <c r="F2137" s="38" t="inlineStr">
        <is>
          <t>NFV  :TENDA ATACADO LTDA</t>
        </is>
      </c>
      <c r="G2137" s="38" t="inlineStr">
        <is>
          <t>MARIO FRUGIS (01.04.01)</t>
        </is>
      </c>
      <c r="H2137" s="38" t="inlineStr">
        <is>
          <t>NFV</t>
        </is>
      </c>
      <c r="I2137" s="40" t="n">
        <v>146.44</v>
      </c>
      <c r="J2137" s="40" t="n">
        <v>0</v>
      </c>
      <c r="K2137" s="6">
        <f>I2137-J2137</f>
        <v/>
      </c>
      <c r="L2137" s="6">
        <f>IF(H2137="DISTRATO",0,I2137)</f>
        <v/>
      </c>
    </row>
    <row r="2138">
      <c r="A2138" s="38" t="inlineStr">
        <is>
          <t>Conta corrente FRUGIS5.XLS</t>
        </is>
      </c>
      <c r="B2138" s="39" t="n">
        <v>41261</v>
      </c>
      <c r="C2138" s="4" t="n">
        <v>41244</v>
      </c>
      <c r="D2138" s="5">
        <f>YEAR(C2138)</f>
        <v/>
      </c>
      <c r="E2138" s="5">
        <f>MONTH(C2138)</f>
        <v/>
      </c>
      <c r="F2138" s="38" t="inlineStr">
        <is>
          <t>NFV  :TENDA ATACADO LTDA</t>
        </is>
      </c>
      <c r="G2138" s="38" t="inlineStr">
        <is>
          <t>MARIO FRUGIS (01.04.01)</t>
        </is>
      </c>
      <c r="H2138" s="38" t="inlineStr">
        <is>
          <t>NFV</t>
        </is>
      </c>
      <c r="I2138" s="40" t="n">
        <v>114.8</v>
      </c>
      <c r="J2138" s="40" t="n">
        <v>0</v>
      </c>
      <c r="K2138" s="6">
        <f>I2138-J2138</f>
        <v/>
      </c>
      <c r="L2138" s="6">
        <f>IF(H2138="DISTRATO",0,I2138)</f>
        <v/>
      </c>
    </row>
    <row r="2139">
      <c r="A2139" s="38" t="inlineStr">
        <is>
          <t>Conta corrente FRUGIS5.XLS</t>
        </is>
      </c>
      <c r="B2139" s="39" t="n">
        <v>41261</v>
      </c>
      <c r="C2139" s="4" t="n">
        <v>41244</v>
      </c>
      <c r="D2139" s="5">
        <f>YEAR(C2139)</f>
        <v/>
      </c>
      <c r="E2139" s="5">
        <f>MONTH(C2139)</f>
        <v/>
      </c>
      <c r="F2139" s="38" t="inlineStr">
        <is>
          <t>NFV  :TENDA ATACADO LTDA</t>
        </is>
      </c>
      <c r="G2139" s="38" t="inlineStr">
        <is>
          <t>MARIO FRUGIS (01.04.01)</t>
        </is>
      </c>
      <c r="H2139" s="38" t="inlineStr">
        <is>
          <t>NFV</t>
        </is>
      </c>
      <c r="I2139" s="40" t="n">
        <v>100.58</v>
      </c>
      <c r="J2139" s="40" t="n">
        <v>0</v>
      </c>
      <c r="K2139" s="6">
        <f>I2139-J2139</f>
        <v/>
      </c>
      <c r="L2139" s="6">
        <f>IF(H2139="DISTRATO",0,I2139)</f>
        <v/>
      </c>
    </row>
    <row r="2140">
      <c r="A2140" s="38" t="inlineStr">
        <is>
          <t>Conta corrente FRUGIS5.XLS</t>
        </is>
      </c>
      <c r="B2140" s="39" t="n">
        <v>41262</v>
      </c>
      <c r="C2140" s="4" t="n">
        <v>41244</v>
      </c>
      <c r="D2140" s="5">
        <f>YEAR(C2140)</f>
        <v/>
      </c>
      <c r="E2140" s="5">
        <f>MONTH(C2140)</f>
        <v/>
      </c>
      <c r="F2140" s="38" t="inlineStr">
        <is>
          <t>NFV  :TENDA ATACADO LTDA</t>
        </is>
      </c>
      <c r="G2140" s="38" t="inlineStr">
        <is>
          <t>MARIO FRUGIS (01.04.01)</t>
        </is>
      </c>
      <c r="H2140" s="38" t="inlineStr">
        <is>
          <t>NFV</t>
        </is>
      </c>
      <c r="I2140" s="40" t="n">
        <v>33.16</v>
      </c>
      <c r="J2140" s="40" t="n">
        <v>0</v>
      </c>
      <c r="K2140" s="6">
        <f>I2140-J2140</f>
        <v/>
      </c>
      <c r="L2140" s="6">
        <f>IF(H2140="DISTRATO",0,I2140)</f>
        <v/>
      </c>
    </row>
    <row r="2141">
      <c r="A2141" s="38" t="inlineStr">
        <is>
          <t>Conta corrente FRUGIS5.XLS</t>
        </is>
      </c>
      <c r="B2141" s="39" t="n">
        <v>41262</v>
      </c>
      <c r="C2141" s="4" t="n">
        <v>41244</v>
      </c>
      <c r="D2141" s="5">
        <f>YEAR(C2141)</f>
        <v/>
      </c>
      <c r="E2141" s="5">
        <f>MONTH(C2141)</f>
        <v/>
      </c>
      <c r="F2141" s="38" t="inlineStr">
        <is>
          <t>NFV  :TENDA ATACADO LTDA</t>
        </is>
      </c>
      <c r="G2141" s="38" t="inlineStr">
        <is>
          <t>MARIO FRUGIS (01.04.01)</t>
        </is>
      </c>
      <c r="H2141" s="38" t="inlineStr">
        <is>
          <t>NFV</t>
        </is>
      </c>
      <c r="I2141" s="40" t="n">
        <v>41</v>
      </c>
      <c r="J2141" s="40" t="n">
        <v>0</v>
      </c>
      <c r="K2141" s="6">
        <f>I2141-J2141</f>
        <v/>
      </c>
      <c r="L2141" s="6">
        <f>IF(H2141="DISTRATO",0,I2141)</f>
        <v/>
      </c>
    </row>
    <row r="2142">
      <c r="A2142" s="38" t="inlineStr">
        <is>
          <t>Conta corrente FRUGIS5.XLS</t>
        </is>
      </c>
      <c r="B2142" s="39" t="n">
        <v>41262</v>
      </c>
      <c r="C2142" s="4" t="n">
        <v>41244</v>
      </c>
      <c r="D2142" s="5">
        <f>YEAR(C2142)</f>
        <v/>
      </c>
      <c r="E2142" s="5">
        <f>MONTH(C2142)</f>
        <v/>
      </c>
      <c r="F2142" s="38" t="inlineStr">
        <is>
          <t>NFV  :TENDA ATACADO LTDA</t>
        </is>
      </c>
      <c r="G2142" s="38" t="inlineStr">
        <is>
          <t>MARIO FRUGIS (01.04.01)</t>
        </is>
      </c>
      <c r="H2142" s="38" t="inlineStr">
        <is>
          <t>NFV</t>
        </is>
      </c>
      <c r="I2142" s="40" t="n">
        <v>93.47</v>
      </c>
      <c r="J2142" s="40" t="n">
        <v>0</v>
      </c>
      <c r="K2142" s="6">
        <f>I2142-J2142</f>
        <v/>
      </c>
      <c r="L2142" s="6">
        <f>IF(H2142="DISTRATO",0,I2142)</f>
        <v/>
      </c>
    </row>
    <row r="2143">
      <c r="A2143" s="38" t="inlineStr">
        <is>
          <t>Conta corrente FRUGIS5.XLS</t>
        </is>
      </c>
      <c r="B2143" s="39" t="n">
        <v>41271</v>
      </c>
      <c r="C2143" s="4" t="n">
        <v>41244</v>
      </c>
      <c r="D2143" s="5">
        <f>YEAR(C2143)</f>
        <v/>
      </c>
      <c r="E2143" s="5">
        <f>MONTH(C2143)</f>
        <v/>
      </c>
      <c r="F2143" s="38" t="inlineStr">
        <is>
          <t>NFV  :TENDA ATACADO LTDA</t>
        </is>
      </c>
      <c r="G2143" s="38" t="inlineStr">
        <is>
          <t>MARIO FRUGIS (01.04.01)</t>
        </is>
      </c>
      <c r="H2143" s="38" t="inlineStr">
        <is>
          <t>NFV</t>
        </is>
      </c>
      <c r="I2143" s="40" t="n">
        <v>12.87</v>
      </c>
      <c r="J2143" s="40" t="n">
        <v>0</v>
      </c>
      <c r="K2143" s="6">
        <f>I2143-J2143</f>
        <v/>
      </c>
      <c r="L2143" s="6">
        <f>IF(H2143="DISTRATO",0,I2143)</f>
        <v/>
      </c>
    </row>
    <row r="2144">
      <c r="A2144" s="38" t="inlineStr">
        <is>
          <t>Conta corrente FRUGIS5.XLS</t>
        </is>
      </c>
      <c r="B2144" s="39" t="n">
        <v>41271</v>
      </c>
      <c r="C2144" s="4" t="n">
        <v>41244</v>
      </c>
      <c r="D2144" s="5">
        <f>YEAR(C2144)</f>
        <v/>
      </c>
      <c r="E2144" s="5">
        <f>MONTH(C2144)</f>
        <v/>
      </c>
      <c r="F2144" s="38" t="inlineStr">
        <is>
          <t>NFV  :TENDA ATACADO LTDA</t>
        </is>
      </c>
      <c r="G2144" s="38" t="inlineStr">
        <is>
          <t>MARIO FRUGIS (01.04.01)</t>
        </is>
      </c>
      <c r="H2144" s="38" t="inlineStr">
        <is>
          <t>NFV</t>
        </is>
      </c>
      <c r="I2144" s="40" t="n">
        <v>8.640000000000001</v>
      </c>
      <c r="J2144" s="40" t="n">
        <v>0</v>
      </c>
      <c r="K2144" s="6">
        <f>I2144-J2144</f>
        <v/>
      </c>
      <c r="L2144" s="6">
        <f>IF(H2144="DISTRATO",0,I2144)</f>
        <v/>
      </c>
    </row>
    <row r="2145">
      <c r="A2145" s="38" t="inlineStr">
        <is>
          <t>Conta corrente FRUGIS5.XLS</t>
        </is>
      </c>
      <c r="B2145" s="39" t="n">
        <v>41271</v>
      </c>
      <c r="C2145" s="4" t="n">
        <v>41244</v>
      </c>
      <c r="D2145" s="5">
        <f>YEAR(C2145)</f>
        <v/>
      </c>
      <c r="E2145" s="5">
        <f>MONTH(C2145)</f>
        <v/>
      </c>
      <c r="F2145" s="38" t="inlineStr">
        <is>
          <t>NFV  :TENDA ATACADO LTDA</t>
        </is>
      </c>
      <c r="G2145" s="38" t="inlineStr">
        <is>
          <t>MARIO FRUGIS (01.04.01)</t>
        </is>
      </c>
      <c r="H2145" s="38" t="inlineStr">
        <is>
          <t>NFV</t>
        </is>
      </c>
      <c r="I2145" s="40" t="n">
        <v>92.13</v>
      </c>
      <c r="J2145" s="40" t="n">
        <v>0</v>
      </c>
      <c r="K2145" s="6">
        <f>I2145-J2145</f>
        <v/>
      </c>
      <c r="L2145" s="6">
        <f>IF(H2145="DISTRATO",0,I2145)</f>
        <v/>
      </c>
    </row>
    <row r="2146">
      <c r="A2146" s="38" t="inlineStr">
        <is>
          <t>Conta corrente FRUGIS5.XLS</t>
        </is>
      </c>
      <c r="B2146" s="39" t="n">
        <v>41271</v>
      </c>
      <c r="C2146" s="4" t="n">
        <v>41244</v>
      </c>
      <c r="D2146" s="5">
        <f>YEAR(C2146)</f>
        <v/>
      </c>
      <c r="E2146" s="5">
        <f>MONTH(C2146)</f>
        <v/>
      </c>
      <c r="F2146" s="38" t="inlineStr">
        <is>
          <t>NFV  :TENDA ATACADO LTDA</t>
        </is>
      </c>
      <c r="G2146" s="38" t="inlineStr">
        <is>
          <t>MARIO FRUGIS (01.04.01)</t>
        </is>
      </c>
      <c r="H2146" s="38" t="inlineStr">
        <is>
          <t>NFV</t>
        </is>
      </c>
      <c r="I2146" s="40" t="n">
        <v>140.89</v>
      </c>
      <c r="J2146" s="40" t="n">
        <v>0</v>
      </c>
      <c r="K2146" s="6">
        <f>I2146-J2146</f>
        <v/>
      </c>
      <c r="L2146" s="6">
        <f>IF(H2146="DISTRATO",0,I2146)</f>
        <v/>
      </c>
    </row>
    <row r="2147">
      <c r="A2147" s="38" t="inlineStr">
        <is>
          <t>Conta corrente FRUGIS5.XLS</t>
        </is>
      </c>
      <c r="B2147" s="39" t="n">
        <v>41271</v>
      </c>
      <c r="C2147" s="4" t="n">
        <v>41244</v>
      </c>
      <c r="D2147" s="5">
        <f>YEAR(C2147)</f>
        <v/>
      </c>
      <c r="E2147" s="5">
        <f>MONTH(C2147)</f>
        <v/>
      </c>
      <c r="F2147" s="38" t="inlineStr">
        <is>
          <t>NFV  :TENDA ATACADO LTDA</t>
        </is>
      </c>
      <c r="G2147" s="38" t="inlineStr">
        <is>
          <t>MARIO FRUGIS (01.04.01)</t>
        </is>
      </c>
      <c r="H2147" s="38" t="inlineStr">
        <is>
          <t>NFV</t>
        </is>
      </c>
      <c r="I2147" s="40" t="n">
        <v>5.91</v>
      </c>
      <c r="J2147" s="40" t="n">
        <v>0</v>
      </c>
      <c r="K2147" s="6">
        <f>I2147-J2147</f>
        <v/>
      </c>
      <c r="L2147" s="6">
        <f>IF(H2147="DISTRATO",0,I2147)</f>
        <v/>
      </c>
    </row>
    <row r="2148">
      <c r="A2148" s="38" t="inlineStr">
        <is>
          <t>Conta corrente FRUGIS5.XLS</t>
        </is>
      </c>
      <c r="B2148" s="39" t="n">
        <v>41271</v>
      </c>
      <c r="C2148" s="4" t="n">
        <v>41244</v>
      </c>
      <c r="D2148" s="5">
        <f>YEAR(C2148)</f>
        <v/>
      </c>
      <c r="E2148" s="5">
        <f>MONTH(C2148)</f>
        <v/>
      </c>
      <c r="F2148" s="38" t="inlineStr">
        <is>
          <t>NFV  :TENDA ATACADO LTDA</t>
        </is>
      </c>
      <c r="G2148" s="38" t="inlineStr">
        <is>
          <t>MARIO FRUGIS (01.04.01)</t>
        </is>
      </c>
      <c r="H2148" s="38" t="inlineStr">
        <is>
          <t>NFV</t>
        </is>
      </c>
      <c r="I2148" s="40" t="n">
        <v>48.8</v>
      </c>
      <c r="J2148" s="40" t="n">
        <v>0</v>
      </c>
      <c r="K2148" s="6">
        <f>I2148-J2148</f>
        <v/>
      </c>
      <c r="L2148" s="6">
        <f>IF(H2148="DISTRATO",0,I2148)</f>
        <v/>
      </c>
    </row>
    <row r="2149">
      <c r="A2149" s="38" t="inlineStr">
        <is>
          <t>Conta corrente FRUGIS5.XLS</t>
        </is>
      </c>
      <c r="B2149" s="39" t="n">
        <v>41271</v>
      </c>
      <c r="C2149" s="4" t="n">
        <v>41244</v>
      </c>
      <c r="D2149" s="5">
        <f>YEAR(C2149)</f>
        <v/>
      </c>
      <c r="E2149" s="5">
        <f>MONTH(C2149)</f>
        <v/>
      </c>
      <c r="F2149" s="38" t="inlineStr">
        <is>
          <t>NFV  :TENDA ATACADO LTDA</t>
        </is>
      </c>
      <c r="G2149" s="38" t="inlineStr">
        <is>
          <t>MARIO FRUGIS (01.04.01)</t>
        </is>
      </c>
      <c r="H2149" s="38" t="inlineStr">
        <is>
          <t>NFV</t>
        </is>
      </c>
      <c r="I2149" s="40" t="n">
        <v>25.85</v>
      </c>
      <c r="J2149" s="40" t="n">
        <v>0</v>
      </c>
      <c r="K2149" s="6">
        <f>I2149-J2149</f>
        <v/>
      </c>
      <c r="L2149" s="6">
        <f>IF(H2149="DISTRATO",0,I2149)</f>
        <v/>
      </c>
    </row>
    <row r="2150">
      <c r="A2150" s="38" t="inlineStr">
        <is>
          <t>Conta corrente FRUGIS5.XLS</t>
        </is>
      </c>
      <c r="B2150" s="39" t="n">
        <v>41271</v>
      </c>
      <c r="C2150" s="4" t="n">
        <v>41244</v>
      </c>
      <c r="D2150" s="5">
        <f>YEAR(C2150)</f>
        <v/>
      </c>
      <c r="E2150" s="5">
        <f>MONTH(C2150)</f>
        <v/>
      </c>
      <c r="F2150" s="38" t="inlineStr">
        <is>
          <t>NFV  :TENDA ATACADO LTDA</t>
        </is>
      </c>
      <c r="G2150" s="38" t="inlineStr">
        <is>
          <t>MARIO FRUGIS (01.04.01)</t>
        </is>
      </c>
      <c r="H2150" s="38" t="inlineStr">
        <is>
          <t>NFV</t>
        </is>
      </c>
      <c r="I2150" s="40" t="n">
        <v>24.13</v>
      </c>
      <c r="J2150" s="40" t="n">
        <v>0</v>
      </c>
      <c r="K2150" s="6">
        <f>I2150-J2150</f>
        <v/>
      </c>
      <c r="L2150" s="6">
        <f>IF(H2150="DISTRATO",0,I2150)</f>
        <v/>
      </c>
    </row>
    <row r="2151">
      <c r="A2151" s="38" t="inlineStr">
        <is>
          <t>Conta corrente FRUGIS5.XLS</t>
        </is>
      </c>
      <c r="B2151" s="39" t="n">
        <v>41271</v>
      </c>
      <c r="C2151" s="4" t="n">
        <v>41244</v>
      </c>
      <c r="D2151" s="5">
        <f>YEAR(C2151)</f>
        <v/>
      </c>
      <c r="E2151" s="5">
        <f>MONTH(C2151)</f>
        <v/>
      </c>
      <c r="F2151" s="38" t="inlineStr">
        <is>
          <t>NFV  :TENDA ATACADO LTDA</t>
        </is>
      </c>
      <c r="G2151" s="38" t="inlineStr">
        <is>
          <t>MARIO FRUGIS (01.04.01)</t>
        </is>
      </c>
      <c r="H2151" s="38" t="inlineStr">
        <is>
          <t>NFV</t>
        </is>
      </c>
      <c r="I2151" s="40" t="n">
        <v>89.42</v>
      </c>
      <c r="J2151" s="40" t="n">
        <v>0</v>
      </c>
      <c r="K2151" s="6">
        <f>I2151-J2151</f>
        <v/>
      </c>
      <c r="L2151" s="6">
        <f>IF(H2151="DISTRATO",0,I2151)</f>
        <v/>
      </c>
    </row>
    <row r="2152">
      <c r="A2152" s="38" t="inlineStr">
        <is>
          <t>Conta corrente FRUGIS5.XLS</t>
        </is>
      </c>
      <c r="B2152" s="39" t="n">
        <v>41271</v>
      </c>
      <c r="C2152" s="4" t="n">
        <v>41244</v>
      </c>
      <c r="D2152" s="5">
        <f>YEAR(C2152)</f>
        <v/>
      </c>
      <c r="E2152" s="5">
        <f>MONTH(C2152)</f>
        <v/>
      </c>
      <c r="F2152" s="38" t="inlineStr">
        <is>
          <t>NFV  :TENDA ATACADO LTDA</t>
        </is>
      </c>
      <c r="G2152" s="38" t="inlineStr">
        <is>
          <t>MARIO FRUGIS (01.04.01)</t>
        </is>
      </c>
      <c r="H2152" s="38" t="inlineStr">
        <is>
          <t>NFV</t>
        </is>
      </c>
      <c r="I2152" s="40" t="n">
        <v>108.02</v>
      </c>
      <c r="J2152" s="40" t="n">
        <v>0</v>
      </c>
      <c r="K2152" s="6">
        <f>I2152-J2152</f>
        <v/>
      </c>
      <c r="L2152" s="6">
        <f>IF(H2152="DISTRATO",0,I2152)</f>
        <v/>
      </c>
    </row>
    <row r="2153">
      <c r="A2153" s="38" t="inlineStr">
        <is>
          <t>Conta corrente FRUGIS5.XLS</t>
        </is>
      </c>
      <c r="B2153" s="39" t="n">
        <v>41271</v>
      </c>
      <c r="C2153" s="4" t="n">
        <v>41244</v>
      </c>
      <c r="D2153" s="5">
        <f>YEAR(C2153)</f>
        <v/>
      </c>
      <c r="E2153" s="5">
        <f>MONTH(C2153)</f>
        <v/>
      </c>
      <c r="F2153" s="38" t="inlineStr">
        <is>
          <t>NFV  :TENDA ATACADO LTDA</t>
        </is>
      </c>
      <c r="G2153" s="38" t="inlineStr">
        <is>
          <t>MARIO FRUGIS (01.04.01)</t>
        </is>
      </c>
      <c r="H2153" s="38" t="inlineStr">
        <is>
          <t>NFV</t>
        </is>
      </c>
      <c r="I2153" s="40" t="n">
        <v>105.97</v>
      </c>
      <c r="J2153" s="40" t="n">
        <v>0</v>
      </c>
      <c r="K2153" s="6">
        <f>I2153-J2153</f>
        <v/>
      </c>
      <c r="L2153" s="6">
        <f>IF(H2153="DISTRATO",0,I2153)</f>
        <v/>
      </c>
    </row>
    <row r="2154">
      <c r="A2154" s="38" t="inlineStr">
        <is>
          <t>Conta corrente FRUGIS5.XLS</t>
        </is>
      </c>
      <c r="B2154" s="39" t="n">
        <v>41271</v>
      </c>
      <c r="C2154" s="4" t="n">
        <v>41244</v>
      </c>
      <c r="D2154" s="5">
        <f>YEAR(C2154)</f>
        <v/>
      </c>
      <c r="E2154" s="5">
        <f>MONTH(C2154)</f>
        <v/>
      </c>
      <c r="F2154" s="38" t="inlineStr">
        <is>
          <t>NFV  :TENDA ATACADO LTDA</t>
        </is>
      </c>
      <c r="G2154" s="38" t="inlineStr">
        <is>
          <t>MARIO FRUGIS (01.04.01)</t>
        </is>
      </c>
      <c r="H2154" s="38" t="inlineStr">
        <is>
          <t>NFV</t>
        </is>
      </c>
      <c r="I2154" s="40" t="n">
        <v>143.72</v>
      </c>
      <c r="J2154" s="40" t="n">
        <v>0</v>
      </c>
      <c r="K2154" s="6">
        <f>I2154-J2154</f>
        <v/>
      </c>
      <c r="L2154" s="6">
        <f>IF(H2154="DISTRATO",0,I2154)</f>
        <v/>
      </c>
    </row>
    <row r="2155">
      <c r="A2155" s="38" t="inlineStr">
        <is>
          <t>Conta corrente FRUGIS5.XLS</t>
        </is>
      </c>
      <c r="B2155" s="39" t="n">
        <v>41271</v>
      </c>
      <c r="C2155" s="4" t="n">
        <v>41244</v>
      </c>
      <c r="D2155" s="5">
        <f>YEAR(C2155)</f>
        <v/>
      </c>
      <c r="E2155" s="5">
        <f>MONTH(C2155)</f>
        <v/>
      </c>
      <c r="F2155" s="38" t="inlineStr">
        <is>
          <t>NFV  :TENDA ATACADO LTDA</t>
        </is>
      </c>
      <c r="G2155" s="38" t="inlineStr">
        <is>
          <t>MARIO FRUGIS (01.04.01)</t>
        </is>
      </c>
      <c r="H2155" s="38" t="inlineStr">
        <is>
          <t>NFV</t>
        </is>
      </c>
      <c r="I2155" s="40" t="n">
        <v>67.76000000000001</v>
      </c>
      <c r="J2155" s="40" t="n">
        <v>0</v>
      </c>
      <c r="K2155" s="6">
        <f>I2155-J2155</f>
        <v/>
      </c>
      <c r="L2155" s="6">
        <f>IF(H2155="DISTRATO",0,I2155)</f>
        <v/>
      </c>
    </row>
    <row r="2156">
      <c r="A2156" s="38" t="inlineStr">
        <is>
          <t>Conta corrente FRUGIS5.XLS</t>
        </is>
      </c>
      <c r="B2156" s="39" t="n">
        <v>41271</v>
      </c>
      <c r="C2156" s="4" t="n">
        <v>41244</v>
      </c>
      <c r="D2156" s="5">
        <f>YEAR(C2156)</f>
        <v/>
      </c>
      <c r="E2156" s="5">
        <f>MONTH(C2156)</f>
        <v/>
      </c>
      <c r="F2156" s="38" t="inlineStr">
        <is>
          <t>NFV  :TENDA ATACADO LTDA</t>
        </is>
      </c>
      <c r="G2156" s="38" t="inlineStr">
        <is>
          <t>MARIO FRUGIS (01.04.01)</t>
        </is>
      </c>
      <c r="H2156" s="38" t="inlineStr">
        <is>
          <t>NFV</t>
        </is>
      </c>
      <c r="I2156" s="40" t="n">
        <v>160.89</v>
      </c>
      <c r="J2156" s="40" t="n">
        <v>0</v>
      </c>
      <c r="K2156" s="6">
        <f>I2156-J2156</f>
        <v/>
      </c>
      <c r="L2156" s="6">
        <f>IF(H2156="DISTRATO",0,I2156)</f>
        <v/>
      </c>
    </row>
    <row r="2157">
      <c r="A2157" s="38" t="inlineStr">
        <is>
          <t>Conta corrente FRUGIS5.XLS</t>
        </is>
      </c>
      <c r="B2157" s="39" t="n">
        <v>41271</v>
      </c>
      <c r="C2157" s="4" t="n">
        <v>41244</v>
      </c>
      <c r="D2157" s="5">
        <f>YEAR(C2157)</f>
        <v/>
      </c>
      <c r="E2157" s="5">
        <f>MONTH(C2157)</f>
        <v/>
      </c>
      <c r="F2157" s="38" t="inlineStr">
        <is>
          <t>NFV  :TENDA ATACADO LTDA</t>
        </is>
      </c>
      <c r="G2157" s="38" t="inlineStr">
        <is>
          <t>MARIO FRUGIS (01.04.01)</t>
        </is>
      </c>
      <c r="H2157" s="38" t="inlineStr">
        <is>
          <t>NFV</t>
        </is>
      </c>
      <c r="I2157" s="40" t="n">
        <v>102.37</v>
      </c>
      <c r="J2157" s="40" t="n">
        <v>0</v>
      </c>
      <c r="K2157" s="6">
        <f>I2157-J2157</f>
        <v/>
      </c>
      <c r="L2157" s="6">
        <f>IF(H2157="DISTRATO",0,I2157)</f>
        <v/>
      </c>
    </row>
    <row r="2158">
      <c r="A2158" s="38" t="inlineStr">
        <is>
          <t>Conta corrente FRUGIS5.XLS</t>
        </is>
      </c>
      <c r="B2158" s="39" t="n">
        <v>41271</v>
      </c>
      <c r="C2158" s="4" t="n">
        <v>41244</v>
      </c>
      <c r="D2158" s="5">
        <f>YEAR(C2158)</f>
        <v/>
      </c>
      <c r="E2158" s="5">
        <f>MONTH(C2158)</f>
        <v/>
      </c>
      <c r="F2158" s="38" t="inlineStr">
        <is>
          <t>NFV  :TENDA ATACADO LTDA</t>
        </is>
      </c>
      <c r="G2158" s="38" t="inlineStr">
        <is>
          <t>MARIO FRUGIS (01.04.01)</t>
        </is>
      </c>
      <c r="H2158" s="38" t="inlineStr">
        <is>
          <t>NFV</t>
        </is>
      </c>
      <c r="I2158" s="40" t="n">
        <v>263.93</v>
      </c>
      <c r="J2158" s="40" t="n">
        <v>0</v>
      </c>
      <c r="K2158" s="6">
        <f>I2158-J2158</f>
        <v/>
      </c>
      <c r="L2158" s="6">
        <f>IF(H2158="DISTRATO",0,I2158)</f>
        <v/>
      </c>
    </row>
    <row r="2159">
      <c r="A2159" s="38" t="inlineStr">
        <is>
          <t>Conta corrente FRUGIS5.XLS</t>
        </is>
      </c>
      <c r="B2159" s="39" t="n">
        <v>41271</v>
      </c>
      <c r="C2159" s="4" t="n">
        <v>41244</v>
      </c>
      <c r="D2159" s="5">
        <f>YEAR(C2159)</f>
        <v/>
      </c>
      <c r="E2159" s="5">
        <f>MONTH(C2159)</f>
        <v/>
      </c>
      <c r="F2159" s="38" t="inlineStr">
        <is>
          <t>NFV  :TENDA ATACADO LTDA</t>
        </is>
      </c>
      <c r="G2159" s="38" t="inlineStr">
        <is>
          <t>MARIO FRUGIS (01.04.01)</t>
        </is>
      </c>
      <c r="H2159" s="38" t="inlineStr">
        <is>
          <t>NFV</t>
        </is>
      </c>
      <c r="I2159" s="40" t="n">
        <v>151.65</v>
      </c>
      <c r="J2159" s="40" t="n">
        <v>0</v>
      </c>
      <c r="K2159" s="6">
        <f>I2159-J2159</f>
        <v/>
      </c>
      <c r="L2159" s="6">
        <f>IF(H2159="DISTRATO",0,I2159)</f>
        <v/>
      </c>
    </row>
    <row r="2160">
      <c r="A2160" s="38" t="inlineStr">
        <is>
          <t>Conta corrente FRUGIS5.XLS</t>
        </is>
      </c>
      <c r="B2160" s="39" t="n">
        <v>41271</v>
      </c>
      <c r="C2160" s="4" t="n">
        <v>41244</v>
      </c>
      <c r="D2160" s="5">
        <f>YEAR(C2160)</f>
        <v/>
      </c>
      <c r="E2160" s="5">
        <f>MONTH(C2160)</f>
        <v/>
      </c>
      <c r="F2160" s="38" t="inlineStr">
        <is>
          <t>NFV  :TENDA ATACADO LTDA</t>
        </is>
      </c>
      <c r="G2160" s="38" t="inlineStr">
        <is>
          <t>MARIO FRUGIS (01.04.01)</t>
        </is>
      </c>
      <c r="H2160" s="38" t="inlineStr">
        <is>
          <t>NFV</t>
        </is>
      </c>
      <c r="I2160" s="40" t="n">
        <v>48.3</v>
      </c>
      <c r="J2160" s="40" t="n">
        <v>0</v>
      </c>
      <c r="K2160" s="6">
        <f>I2160-J2160</f>
        <v/>
      </c>
      <c r="L2160" s="6">
        <f>IF(H2160="DISTRATO",0,I2160)</f>
        <v/>
      </c>
    </row>
    <row r="2161">
      <c r="A2161" s="38" t="inlineStr">
        <is>
          <t>Conta corrente FRUGIS5.XLS</t>
        </is>
      </c>
      <c r="B2161" s="39" t="n">
        <v>41271</v>
      </c>
      <c r="C2161" s="4" t="n">
        <v>41244</v>
      </c>
      <c r="D2161" s="5">
        <f>YEAR(C2161)</f>
        <v/>
      </c>
      <c r="E2161" s="5">
        <f>MONTH(C2161)</f>
        <v/>
      </c>
      <c r="F2161" s="38" t="inlineStr">
        <is>
          <t>NFV  :TENDA ATACADO LTDA</t>
        </is>
      </c>
      <c r="G2161" s="38" t="inlineStr">
        <is>
          <t>MARIO FRUGIS (01.04.01)</t>
        </is>
      </c>
      <c r="H2161" s="38" t="inlineStr">
        <is>
          <t>NFV</t>
        </is>
      </c>
      <c r="I2161" s="40" t="n">
        <v>29.31</v>
      </c>
      <c r="J2161" s="40" t="n">
        <v>0</v>
      </c>
      <c r="K2161" s="6">
        <f>I2161-J2161</f>
        <v/>
      </c>
      <c r="L2161" s="6">
        <f>IF(H2161="DISTRATO",0,I2161)</f>
        <v/>
      </c>
    </row>
    <row r="2162">
      <c r="A2162" s="38" t="inlineStr">
        <is>
          <t>Conta corrente FRUGIS5.XLS</t>
        </is>
      </c>
      <c r="B2162" s="39" t="n">
        <v>41271</v>
      </c>
      <c r="C2162" s="4" t="n">
        <v>41244</v>
      </c>
      <c r="D2162" s="5">
        <f>YEAR(C2162)</f>
        <v/>
      </c>
      <c r="E2162" s="5">
        <f>MONTH(C2162)</f>
        <v/>
      </c>
      <c r="F2162" s="38" t="inlineStr">
        <is>
          <t>NFV  :TENDA ATACADO LTDA</t>
        </is>
      </c>
      <c r="G2162" s="38" t="inlineStr">
        <is>
          <t>MARIO FRUGIS (01.04.01)</t>
        </is>
      </c>
      <c r="H2162" s="38" t="inlineStr">
        <is>
          <t>NFV</t>
        </is>
      </c>
      <c r="I2162" s="40" t="n">
        <v>31.44</v>
      </c>
      <c r="J2162" s="40" t="n">
        <v>0</v>
      </c>
      <c r="K2162" s="6">
        <f>I2162-J2162</f>
        <v/>
      </c>
      <c r="L2162" s="6">
        <f>IF(H2162="DISTRATO",0,I2162)</f>
        <v/>
      </c>
    </row>
    <row r="2163">
      <c r="A2163" s="38" t="inlineStr">
        <is>
          <t>Conta corrente FRUGIS5.XLS</t>
        </is>
      </c>
      <c r="B2163" s="39" t="n">
        <v>41271</v>
      </c>
      <c r="C2163" s="4" t="n">
        <v>41244</v>
      </c>
      <c r="D2163" s="5">
        <f>YEAR(C2163)</f>
        <v/>
      </c>
      <c r="E2163" s="5">
        <f>MONTH(C2163)</f>
        <v/>
      </c>
      <c r="F2163" s="38" t="inlineStr">
        <is>
          <t>NFV  :TENDA ATACADO LTDA</t>
        </is>
      </c>
      <c r="G2163" s="38" t="inlineStr">
        <is>
          <t>MARIO FRUGIS (01.04.01)</t>
        </is>
      </c>
      <c r="H2163" s="38" t="inlineStr">
        <is>
          <t>NFV</t>
        </is>
      </c>
      <c r="I2163" s="40" t="n">
        <v>8.109999999999999</v>
      </c>
      <c r="J2163" s="40" t="n">
        <v>0</v>
      </c>
      <c r="K2163" s="6">
        <f>I2163-J2163</f>
        <v/>
      </c>
      <c r="L2163" s="6">
        <f>IF(H2163="DISTRATO",0,I2163)</f>
        <v/>
      </c>
    </row>
    <row r="2164">
      <c r="A2164" s="38" t="inlineStr">
        <is>
          <t>Conta corrente FRUGIS5.XLS</t>
        </is>
      </c>
      <c r="B2164" s="39" t="n">
        <v>41271</v>
      </c>
      <c r="C2164" s="4" t="n">
        <v>41244</v>
      </c>
      <c r="D2164" s="5">
        <f>YEAR(C2164)</f>
        <v/>
      </c>
      <c r="E2164" s="5">
        <f>MONTH(C2164)</f>
        <v/>
      </c>
      <c r="F2164" s="38" t="inlineStr">
        <is>
          <t>NFV  :TENDA ATACADO LTDA</t>
        </is>
      </c>
      <c r="G2164" s="38" t="inlineStr">
        <is>
          <t>MARIO FRUGIS (01.04.01)</t>
        </is>
      </c>
      <c r="H2164" s="38" t="inlineStr">
        <is>
          <t>NFV</t>
        </is>
      </c>
      <c r="I2164" s="40" t="n">
        <v>20.58</v>
      </c>
      <c r="J2164" s="40" t="n">
        <v>0</v>
      </c>
      <c r="K2164" s="6">
        <f>I2164-J2164</f>
        <v/>
      </c>
      <c r="L2164" s="6">
        <f>IF(H2164="DISTRATO",0,I2164)</f>
        <v/>
      </c>
    </row>
    <row r="2165">
      <c r="A2165" s="38" t="inlineStr">
        <is>
          <t>Conta corrente FRUGIS5.XLS</t>
        </is>
      </c>
      <c r="B2165" s="39" t="n">
        <v>41271</v>
      </c>
      <c r="C2165" s="4" t="n">
        <v>41244</v>
      </c>
      <c r="D2165" s="5">
        <f>YEAR(C2165)</f>
        <v/>
      </c>
      <c r="E2165" s="5">
        <f>MONTH(C2165)</f>
        <v/>
      </c>
      <c r="F2165" s="38" t="inlineStr">
        <is>
          <t>NFV  :TENDA ATACADO LTDA</t>
        </is>
      </c>
      <c r="G2165" s="38" t="inlineStr">
        <is>
          <t>MARIO FRUGIS (01.04.01)</t>
        </is>
      </c>
      <c r="H2165" s="38" t="inlineStr">
        <is>
          <t>NFV</t>
        </is>
      </c>
      <c r="I2165" s="40" t="n">
        <v>28.31</v>
      </c>
      <c r="J2165" s="40" t="n">
        <v>0</v>
      </c>
      <c r="K2165" s="6">
        <f>I2165-J2165</f>
        <v/>
      </c>
      <c r="L2165" s="6">
        <f>IF(H2165="DISTRATO",0,I2165)</f>
        <v/>
      </c>
    </row>
    <row r="2166">
      <c r="A2166" s="38" t="inlineStr">
        <is>
          <t>Conta corrente FRUGIS5.XLS</t>
        </is>
      </c>
      <c r="B2166" s="39" t="n">
        <v>41271</v>
      </c>
      <c r="C2166" s="4" t="n">
        <v>41244</v>
      </c>
      <c r="D2166" s="5">
        <f>YEAR(C2166)</f>
        <v/>
      </c>
      <c r="E2166" s="5">
        <f>MONTH(C2166)</f>
        <v/>
      </c>
      <c r="F2166" s="38" t="inlineStr">
        <is>
          <t>NFV  :TENDA ATACADO LTDA</t>
        </is>
      </c>
      <c r="G2166" s="38" t="inlineStr">
        <is>
          <t>MARIO FRUGIS (01.04.01)</t>
        </is>
      </c>
      <c r="H2166" s="38" t="inlineStr">
        <is>
          <t>NFV</t>
        </is>
      </c>
      <c r="I2166" s="40" t="n">
        <v>87.73</v>
      </c>
      <c r="J2166" s="40" t="n">
        <v>0</v>
      </c>
      <c r="K2166" s="6">
        <f>I2166-J2166</f>
        <v/>
      </c>
      <c r="L2166" s="6">
        <f>IF(H2166="DISTRATO",0,I2166)</f>
        <v/>
      </c>
    </row>
    <row r="2167">
      <c r="A2167" s="38" t="inlineStr">
        <is>
          <t>Conta corrente FRUGIS5.XLS</t>
        </is>
      </c>
      <c r="B2167" s="39" t="n">
        <v>41271</v>
      </c>
      <c r="C2167" s="4" t="n">
        <v>41244</v>
      </c>
      <c r="D2167" s="5">
        <f>YEAR(C2167)</f>
        <v/>
      </c>
      <c r="E2167" s="5">
        <f>MONTH(C2167)</f>
        <v/>
      </c>
      <c r="F2167" s="38" t="inlineStr">
        <is>
          <t>NFV  :TENDA ATACADO LTDA</t>
        </is>
      </c>
      <c r="G2167" s="38" t="inlineStr">
        <is>
          <t>MARIO FRUGIS (01.04.01)</t>
        </is>
      </c>
      <c r="H2167" s="38" t="inlineStr">
        <is>
          <t>NFV</t>
        </is>
      </c>
      <c r="I2167" s="40" t="n">
        <v>136.89</v>
      </c>
      <c r="J2167" s="40" t="n">
        <v>0</v>
      </c>
      <c r="K2167" s="6">
        <f>I2167-J2167</f>
        <v/>
      </c>
      <c r="L2167" s="6">
        <f>IF(H2167="DISTRATO",0,I2167)</f>
        <v/>
      </c>
    </row>
    <row r="2168">
      <c r="A2168" s="38" t="inlineStr">
        <is>
          <t>Conta corrente FRUGIS5.XLS</t>
        </is>
      </c>
      <c r="B2168" s="39" t="n">
        <v>41271</v>
      </c>
      <c r="C2168" s="4" t="n">
        <v>41244</v>
      </c>
      <c r="D2168" s="5">
        <f>YEAR(C2168)</f>
        <v/>
      </c>
      <c r="E2168" s="5">
        <f>MONTH(C2168)</f>
        <v/>
      </c>
      <c r="F2168" s="38" t="inlineStr">
        <is>
          <t>NFV  :TENDA ATACADO LTDA</t>
        </is>
      </c>
      <c r="G2168" s="38" t="inlineStr">
        <is>
          <t>MARIO FRUGIS (01.04.01)</t>
        </is>
      </c>
      <c r="H2168" s="38" t="inlineStr">
        <is>
          <t>NFV</t>
        </is>
      </c>
      <c r="I2168" s="40" t="n">
        <v>151.92</v>
      </c>
      <c r="J2168" s="40" t="n">
        <v>0</v>
      </c>
      <c r="K2168" s="6">
        <f>I2168-J2168</f>
        <v/>
      </c>
      <c r="L2168" s="6">
        <f>IF(H2168="DISTRATO",0,I2168)</f>
        <v/>
      </c>
    </row>
    <row r="2169">
      <c r="A2169" s="38" t="inlineStr">
        <is>
          <t>Conta corrente FRUGIS5.XLS</t>
        </is>
      </c>
      <c r="B2169" s="39" t="n">
        <v>41271</v>
      </c>
      <c r="C2169" s="4" t="n">
        <v>41244</v>
      </c>
      <c r="D2169" s="5">
        <f>YEAR(C2169)</f>
        <v/>
      </c>
      <c r="E2169" s="5">
        <f>MONTH(C2169)</f>
        <v/>
      </c>
      <c r="F2169" s="38" t="inlineStr">
        <is>
          <t>NFV  :TENDA ATACADO LTDA</t>
        </is>
      </c>
      <c r="G2169" s="38" t="inlineStr">
        <is>
          <t>MARIO FRUGIS (01.04.01)</t>
        </is>
      </c>
      <c r="H2169" s="38" t="inlineStr">
        <is>
          <t>NFV</t>
        </is>
      </c>
      <c r="I2169" s="40" t="n">
        <v>38.45</v>
      </c>
      <c r="J2169" s="40" t="n">
        <v>0</v>
      </c>
      <c r="K2169" s="6">
        <f>I2169-J2169</f>
        <v/>
      </c>
      <c r="L2169" s="6">
        <f>IF(H2169="DISTRATO",0,I2169)</f>
        <v/>
      </c>
    </row>
    <row r="2170">
      <c r="A2170" s="38" t="inlineStr">
        <is>
          <t>Conta corrente FRUGIS5.XLS</t>
        </is>
      </c>
      <c r="B2170" s="39" t="n">
        <v>41271</v>
      </c>
      <c r="C2170" s="4" t="n">
        <v>41244</v>
      </c>
      <c r="D2170" s="5">
        <f>YEAR(C2170)</f>
        <v/>
      </c>
      <c r="E2170" s="5">
        <f>MONTH(C2170)</f>
        <v/>
      </c>
      <c r="F2170" s="38" t="inlineStr">
        <is>
          <t>NFV  :TENDA ATACADO LTDA</t>
        </is>
      </c>
      <c r="G2170" s="38" t="inlineStr">
        <is>
          <t>MARIO FRUGIS (01.04.01)</t>
        </is>
      </c>
      <c r="H2170" s="38" t="inlineStr">
        <is>
          <t>NFV</t>
        </is>
      </c>
      <c r="I2170" s="40" t="n">
        <v>19.46</v>
      </c>
      <c r="J2170" s="40" t="n">
        <v>0</v>
      </c>
      <c r="K2170" s="6">
        <f>I2170-J2170</f>
        <v/>
      </c>
      <c r="L2170" s="6">
        <f>IF(H2170="DISTRATO",0,I2170)</f>
        <v/>
      </c>
    </row>
    <row r="2171">
      <c r="A2171" s="38" t="inlineStr">
        <is>
          <t>Conta corrente FRUGIS5.XLS</t>
        </is>
      </c>
      <c r="B2171" s="39" t="n">
        <v>41271</v>
      </c>
      <c r="C2171" s="4" t="n">
        <v>41244</v>
      </c>
      <c r="D2171" s="5">
        <f>YEAR(C2171)</f>
        <v/>
      </c>
      <c r="E2171" s="5">
        <f>MONTH(C2171)</f>
        <v/>
      </c>
      <c r="F2171" s="38" t="inlineStr">
        <is>
          <t>NFV  :TENDA ATACADO LTDA</t>
        </is>
      </c>
      <c r="G2171" s="38" t="inlineStr">
        <is>
          <t>MARIO FRUGIS (01.04.01)</t>
        </is>
      </c>
      <c r="H2171" s="38" t="inlineStr">
        <is>
          <t>NFV</t>
        </is>
      </c>
      <c r="I2171" s="40" t="n">
        <v>132.8</v>
      </c>
      <c r="J2171" s="40" t="n">
        <v>0</v>
      </c>
      <c r="K2171" s="6">
        <f>I2171-J2171</f>
        <v/>
      </c>
      <c r="L2171" s="6">
        <f>IF(H2171="DISTRATO",0,I2171)</f>
        <v/>
      </c>
    </row>
    <row r="2172">
      <c r="A2172" s="38" t="inlineStr">
        <is>
          <t>Conta corrente FRUGIS5.XLS</t>
        </is>
      </c>
      <c r="B2172" s="39" t="n">
        <v>41271</v>
      </c>
      <c r="C2172" s="4" t="n">
        <v>41244</v>
      </c>
      <c r="D2172" s="5">
        <f>YEAR(C2172)</f>
        <v/>
      </c>
      <c r="E2172" s="5">
        <f>MONTH(C2172)</f>
        <v/>
      </c>
      <c r="F2172" s="38" t="inlineStr">
        <is>
          <t>NFV  :TENDA ATACADO LTDA</t>
        </is>
      </c>
      <c r="G2172" s="38" t="inlineStr">
        <is>
          <t>MARIO FRUGIS (01.04.01)</t>
        </is>
      </c>
      <c r="H2172" s="38" t="inlineStr">
        <is>
          <t>NFV</t>
        </is>
      </c>
      <c r="I2172" s="40" t="n">
        <v>177.31</v>
      </c>
      <c r="J2172" s="40" t="n">
        <v>0</v>
      </c>
      <c r="K2172" s="6">
        <f>I2172-J2172</f>
        <v/>
      </c>
      <c r="L2172" s="6">
        <f>IF(H2172="DISTRATO",0,I2172)</f>
        <v/>
      </c>
    </row>
    <row r="2173">
      <c r="A2173" s="38" t="inlineStr">
        <is>
          <t>Conta corrente FRUGIS5.XLS</t>
        </is>
      </c>
      <c r="B2173" s="39" t="n">
        <v>41271</v>
      </c>
      <c r="C2173" s="4" t="n">
        <v>41244</v>
      </c>
      <c r="D2173" s="5">
        <f>YEAR(C2173)</f>
        <v/>
      </c>
      <c r="E2173" s="5">
        <f>MONTH(C2173)</f>
        <v/>
      </c>
      <c r="F2173" s="38" t="inlineStr">
        <is>
          <t>NFV  :TENDA ATACADO LTDA</t>
        </is>
      </c>
      <c r="G2173" s="38" t="inlineStr">
        <is>
          <t>MARIO FRUGIS (01.04.01)</t>
        </is>
      </c>
      <c r="H2173" s="38" t="inlineStr">
        <is>
          <t>NFV</t>
        </is>
      </c>
      <c r="I2173" s="40" t="n">
        <v>152.74</v>
      </c>
      <c r="J2173" s="40" t="n">
        <v>0</v>
      </c>
      <c r="K2173" s="6">
        <f>I2173-J2173</f>
        <v/>
      </c>
      <c r="L2173" s="6">
        <f>IF(H2173="DISTRATO",0,I2173)</f>
        <v/>
      </c>
    </row>
    <row r="2174">
      <c r="A2174" s="38" t="inlineStr">
        <is>
          <t>Conta corrente FRUGIS5.XLS</t>
        </is>
      </c>
      <c r="B2174" s="39" t="n">
        <v>41271</v>
      </c>
      <c r="C2174" s="4" t="n">
        <v>41244</v>
      </c>
      <c r="D2174" s="5">
        <f>YEAR(C2174)</f>
        <v/>
      </c>
      <c r="E2174" s="5">
        <f>MONTH(C2174)</f>
        <v/>
      </c>
      <c r="F2174" s="38" t="inlineStr">
        <is>
          <t>NFV  :TENDA ATACADO LTDA</t>
        </is>
      </c>
      <c r="G2174" s="38" t="inlineStr">
        <is>
          <t>MARIO FRUGIS (01.04.01)</t>
        </is>
      </c>
      <c r="H2174" s="38" t="inlineStr">
        <is>
          <t>NFV</t>
        </is>
      </c>
      <c r="I2174" s="40" t="n">
        <v>144.14</v>
      </c>
      <c r="J2174" s="40" t="n">
        <v>0</v>
      </c>
      <c r="K2174" s="6">
        <f>I2174-J2174</f>
        <v/>
      </c>
      <c r="L2174" s="6">
        <f>IF(H2174="DISTRATO",0,I2174)</f>
        <v/>
      </c>
    </row>
    <row r="2175">
      <c r="A2175" s="38" t="inlineStr">
        <is>
          <t>Conta corrente FRUGIS5.XLS</t>
        </is>
      </c>
      <c r="B2175" s="39" t="n">
        <v>41271</v>
      </c>
      <c r="C2175" s="4" t="n">
        <v>41244</v>
      </c>
      <c r="D2175" s="5">
        <f>YEAR(C2175)</f>
        <v/>
      </c>
      <c r="E2175" s="5">
        <f>MONTH(C2175)</f>
        <v/>
      </c>
      <c r="F2175" s="38" t="inlineStr">
        <is>
          <t>NFV  :TENDA ATACADO LTDA</t>
        </is>
      </c>
      <c r="G2175" s="38" t="inlineStr">
        <is>
          <t>MARIO FRUGIS (01.04.01)</t>
        </is>
      </c>
      <c r="H2175" s="38" t="inlineStr">
        <is>
          <t>NFV</t>
        </is>
      </c>
      <c r="I2175" s="40" t="n">
        <v>23.58</v>
      </c>
      <c r="J2175" s="40" t="n">
        <v>0</v>
      </c>
      <c r="K2175" s="6">
        <f>I2175-J2175</f>
        <v/>
      </c>
      <c r="L2175" s="6">
        <f>IF(H2175="DISTRATO",0,I2175)</f>
        <v/>
      </c>
    </row>
    <row r="2176">
      <c r="A2176" s="38" t="inlineStr">
        <is>
          <t>Conta corrente FRUGIS5.XLS</t>
        </is>
      </c>
      <c r="B2176" s="39" t="n">
        <v>41271</v>
      </c>
      <c r="C2176" s="4" t="n">
        <v>41244</v>
      </c>
      <c r="D2176" s="5">
        <f>YEAR(C2176)</f>
        <v/>
      </c>
      <c r="E2176" s="5">
        <f>MONTH(C2176)</f>
        <v/>
      </c>
      <c r="F2176" s="38" t="inlineStr">
        <is>
          <t>NFV  :TENDA ATACADO LTDA</t>
        </is>
      </c>
      <c r="G2176" s="38" t="inlineStr">
        <is>
          <t>MARIO FRUGIS (01.04.01)</t>
        </is>
      </c>
      <c r="H2176" s="38" t="inlineStr">
        <is>
          <t>NFV</t>
        </is>
      </c>
      <c r="I2176" s="40" t="n">
        <v>21.82</v>
      </c>
      <c r="J2176" s="40" t="n">
        <v>0</v>
      </c>
      <c r="K2176" s="6">
        <f>I2176-J2176</f>
        <v/>
      </c>
      <c r="L2176" s="6">
        <f>IF(H2176="DISTRATO",0,I2176)</f>
        <v/>
      </c>
    </row>
    <row r="2177">
      <c r="A2177" s="38" t="inlineStr">
        <is>
          <t>Conta corrente FRUGIS5.XLS</t>
        </is>
      </c>
      <c r="B2177" s="39" t="n">
        <v>41271</v>
      </c>
      <c r="C2177" s="4" t="n">
        <v>41244</v>
      </c>
      <c r="D2177" s="5">
        <f>YEAR(C2177)</f>
        <v/>
      </c>
      <c r="E2177" s="5">
        <f>MONTH(C2177)</f>
        <v/>
      </c>
      <c r="F2177" s="38" t="inlineStr">
        <is>
          <t>NFV  :TENDA ATACADO LTDA</t>
        </is>
      </c>
      <c r="G2177" s="38" t="inlineStr">
        <is>
          <t>MARIO FRUGIS (01.04.01)</t>
        </is>
      </c>
      <c r="H2177" s="38" t="inlineStr">
        <is>
          <t>NFV</t>
        </is>
      </c>
      <c r="I2177" s="40" t="n">
        <v>14.5</v>
      </c>
      <c r="J2177" s="40" t="n">
        <v>0</v>
      </c>
      <c r="K2177" s="6">
        <f>I2177-J2177</f>
        <v/>
      </c>
      <c r="L2177" s="6">
        <f>IF(H2177="DISTRATO",0,I2177)</f>
        <v/>
      </c>
    </row>
    <row r="2178">
      <c r="A2178" s="38" t="inlineStr">
        <is>
          <t>Conta corrente FRUGIS5.XLS</t>
        </is>
      </c>
      <c r="B2178" s="39" t="n">
        <v>41289</v>
      </c>
      <c r="C2178" s="4" t="n">
        <v>41275</v>
      </c>
      <c r="D2178" s="5">
        <f>YEAR(C2178)</f>
        <v/>
      </c>
      <c r="E2178" s="5">
        <f>MONTH(C2178)</f>
        <v/>
      </c>
      <c r="F2178" s="38" t="inlineStr">
        <is>
          <t>NFV  :TENDA ATACADO LTDA</t>
        </is>
      </c>
      <c r="G2178" s="38" t="inlineStr">
        <is>
          <t>MARIO FRUGIS (01.04.01)</t>
        </is>
      </c>
      <c r="H2178" s="38" t="inlineStr">
        <is>
          <t>NFV</t>
        </is>
      </c>
      <c r="I2178" s="40" t="n">
        <v>67.72</v>
      </c>
      <c r="J2178" s="40" t="n">
        <v>0</v>
      </c>
      <c r="K2178" s="6">
        <f>I2178-J2178</f>
        <v/>
      </c>
      <c r="L2178" s="6">
        <f>IF(H2178="DISTRATO",0,I2178)</f>
        <v/>
      </c>
    </row>
    <row r="2179">
      <c r="A2179" s="38" t="inlineStr">
        <is>
          <t>Conta corrente FRUGIS5.XLS</t>
        </is>
      </c>
      <c r="B2179" s="39" t="n">
        <v>41289</v>
      </c>
      <c r="C2179" s="4" t="n">
        <v>41275</v>
      </c>
      <c r="D2179" s="5">
        <f>YEAR(C2179)</f>
        <v/>
      </c>
      <c r="E2179" s="5">
        <f>MONTH(C2179)</f>
        <v/>
      </c>
      <c r="F2179" s="38" t="inlineStr">
        <is>
          <t>NFV  :TENDA ATACADO LTDA</t>
        </is>
      </c>
      <c r="G2179" s="38" t="inlineStr">
        <is>
          <t>MARIO FRUGIS (01.04.01)</t>
        </is>
      </c>
      <c r="H2179" s="38" t="inlineStr">
        <is>
          <t>NFV</t>
        </is>
      </c>
      <c r="I2179" s="40" t="n">
        <v>115.57</v>
      </c>
      <c r="J2179" s="40" t="n">
        <v>0</v>
      </c>
      <c r="K2179" s="6">
        <f>I2179-J2179</f>
        <v/>
      </c>
      <c r="L2179" s="6">
        <f>IF(H2179="DISTRATO",0,I2179)</f>
        <v/>
      </c>
    </row>
    <row r="2180">
      <c r="A2180" s="38" t="inlineStr">
        <is>
          <t>Conta corrente FRUGIS5.XLS</t>
        </is>
      </c>
      <c r="B2180" s="39" t="n">
        <v>41289</v>
      </c>
      <c r="C2180" s="4" t="n">
        <v>41275</v>
      </c>
      <c r="D2180" s="5">
        <f>YEAR(C2180)</f>
        <v/>
      </c>
      <c r="E2180" s="5">
        <f>MONTH(C2180)</f>
        <v/>
      </c>
      <c r="F2180" s="38" t="inlineStr">
        <is>
          <t>NFV  :TENDA ATACADO LTDA</t>
        </is>
      </c>
      <c r="G2180" s="38" t="inlineStr">
        <is>
          <t>MARIO FRUGIS (01.04.01)</t>
        </is>
      </c>
      <c r="H2180" s="38" t="inlineStr">
        <is>
          <t>NFV</t>
        </is>
      </c>
      <c r="I2180" s="40" t="n">
        <v>60.33</v>
      </c>
      <c r="J2180" s="40" t="n">
        <v>0</v>
      </c>
      <c r="K2180" s="6">
        <f>I2180-J2180</f>
        <v/>
      </c>
      <c r="L2180" s="6">
        <f>IF(H2180="DISTRATO",0,I2180)</f>
        <v/>
      </c>
    </row>
    <row r="2181">
      <c r="A2181" s="38" t="inlineStr">
        <is>
          <t>Conta corrente FRUGIS5.XLS</t>
        </is>
      </c>
      <c r="B2181" s="39" t="n">
        <v>41289</v>
      </c>
      <c r="C2181" s="4" t="n">
        <v>41275</v>
      </c>
      <c r="D2181" s="5">
        <f>YEAR(C2181)</f>
        <v/>
      </c>
      <c r="E2181" s="5">
        <f>MONTH(C2181)</f>
        <v/>
      </c>
      <c r="F2181" s="38" t="inlineStr">
        <is>
          <t>NFV  :TENDA ATACADO LTDA</t>
        </is>
      </c>
      <c r="G2181" s="38" t="inlineStr">
        <is>
          <t>MARIO FRUGIS (01.04.01)</t>
        </is>
      </c>
      <c r="H2181" s="38" t="inlineStr">
        <is>
          <t>NFV</t>
        </is>
      </c>
      <c r="I2181" s="40" t="n">
        <v>114.32</v>
      </c>
      <c r="J2181" s="40" t="n">
        <v>0</v>
      </c>
      <c r="K2181" s="6">
        <f>I2181-J2181</f>
        <v/>
      </c>
      <c r="L2181" s="6">
        <f>IF(H2181="DISTRATO",0,I2181)</f>
        <v/>
      </c>
    </row>
    <row r="2182">
      <c r="A2182" s="38" t="inlineStr">
        <is>
          <t>Conta corrente FRUGIS5.XLS</t>
        </is>
      </c>
      <c r="B2182" s="39" t="n">
        <v>41289</v>
      </c>
      <c r="C2182" s="4" t="n">
        <v>41275</v>
      </c>
      <c r="D2182" s="5">
        <f>YEAR(C2182)</f>
        <v/>
      </c>
      <c r="E2182" s="5">
        <f>MONTH(C2182)</f>
        <v/>
      </c>
      <c r="F2182" s="38" t="inlineStr">
        <is>
          <t>NFV  :TENDA ATACADO LTDA</t>
        </is>
      </c>
      <c r="G2182" s="38" t="inlineStr">
        <is>
          <t>MARIO FRUGIS (01.04.01)</t>
        </is>
      </c>
      <c r="H2182" s="38" t="inlineStr">
        <is>
          <t>NFV</t>
        </is>
      </c>
      <c r="I2182" s="40" t="n">
        <v>139.64</v>
      </c>
      <c r="J2182" s="40" t="n">
        <v>0</v>
      </c>
      <c r="K2182" s="6">
        <f>I2182-J2182</f>
        <v/>
      </c>
      <c r="L2182" s="6">
        <f>IF(H2182="DISTRATO",0,I2182)</f>
        <v/>
      </c>
    </row>
    <row r="2183">
      <c r="A2183" s="38" t="inlineStr">
        <is>
          <t>Conta corrente FRUGIS5.XLS</t>
        </is>
      </c>
      <c r="B2183" s="39" t="n">
        <v>41290</v>
      </c>
      <c r="C2183" s="4" t="n">
        <v>41275</v>
      </c>
      <c r="D2183" s="5">
        <f>YEAR(C2183)</f>
        <v/>
      </c>
      <c r="E2183" s="5">
        <f>MONTH(C2183)</f>
        <v/>
      </c>
      <c r="F2183" s="38" t="inlineStr">
        <is>
          <t>NFV  :TENDA ATACADO LTDA</t>
        </is>
      </c>
      <c r="G2183" s="38" t="inlineStr">
        <is>
          <t>MARIO FRUGIS (01.04.01)</t>
        </is>
      </c>
      <c r="H2183" s="38" t="inlineStr">
        <is>
          <t>NFV</t>
        </is>
      </c>
      <c r="I2183" s="40" t="n">
        <v>117.74</v>
      </c>
      <c r="J2183" s="40" t="n">
        <v>0</v>
      </c>
      <c r="K2183" s="6">
        <f>I2183-J2183</f>
        <v/>
      </c>
      <c r="L2183" s="6">
        <f>IF(H2183="DISTRATO",0,I2183)</f>
        <v/>
      </c>
    </row>
    <row r="2184">
      <c r="A2184" s="38" t="inlineStr">
        <is>
          <t>Conta corrente FRUGIS5.XLS</t>
        </is>
      </c>
      <c r="B2184" s="39" t="n">
        <v>41290</v>
      </c>
      <c r="C2184" s="4" t="n">
        <v>41275</v>
      </c>
      <c r="D2184" s="5">
        <f>YEAR(C2184)</f>
        <v/>
      </c>
      <c r="E2184" s="5">
        <f>MONTH(C2184)</f>
        <v/>
      </c>
      <c r="F2184" s="38" t="inlineStr">
        <is>
          <t>NFV  :TENDA ATACADO LTDA</t>
        </is>
      </c>
      <c r="G2184" s="38" t="inlineStr">
        <is>
          <t>MARIO FRUGIS (01.04.01)</t>
        </is>
      </c>
      <c r="H2184" s="38" t="inlineStr">
        <is>
          <t>NFV</t>
        </is>
      </c>
      <c r="I2184" s="40" t="n">
        <v>80.04000000000001</v>
      </c>
      <c r="J2184" s="40" t="n">
        <v>0</v>
      </c>
      <c r="K2184" s="6">
        <f>I2184-J2184</f>
        <v/>
      </c>
      <c r="L2184" s="6">
        <f>IF(H2184="DISTRATO",0,I2184)</f>
        <v/>
      </c>
    </row>
    <row r="2185">
      <c r="A2185" s="38" t="inlineStr">
        <is>
          <t>Conta corrente FRUGIS5.XLS</t>
        </is>
      </c>
      <c r="B2185" s="39" t="n">
        <v>41290</v>
      </c>
      <c r="C2185" s="4" t="n">
        <v>41275</v>
      </c>
      <c r="D2185" s="5">
        <f>YEAR(C2185)</f>
        <v/>
      </c>
      <c r="E2185" s="5">
        <f>MONTH(C2185)</f>
        <v/>
      </c>
      <c r="F2185" s="38" t="inlineStr">
        <is>
          <t>NFV  :TENDA ATACADO LTDA</t>
        </is>
      </c>
      <c r="G2185" s="38" t="inlineStr">
        <is>
          <t>MARIO FRUGIS (01.04.01)</t>
        </is>
      </c>
      <c r="H2185" s="38" t="inlineStr">
        <is>
          <t>NFV</t>
        </is>
      </c>
      <c r="I2185" s="40" t="n">
        <v>138.88</v>
      </c>
      <c r="J2185" s="40" t="n">
        <v>0</v>
      </c>
      <c r="K2185" s="6">
        <f>I2185-J2185</f>
        <v/>
      </c>
      <c r="L2185" s="6">
        <f>IF(H2185="DISTRATO",0,I2185)</f>
        <v/>
      </c>
    </row>
    <row r="2186">
      <c r="A2186" s="38" t="inlineStr">
        <is>
          <t>Conta corrente FRUGIS5.XLS</t>
        </is>
      </c>
      <c r="B2186" s="39" t="n">
        <v>41290</v>
      </c>
      <c r="C2186" s="4" t="n">
        <v>41275</v>
      </c>
      <c r="D2186" s="5">
        <f>YEAR(C2186)</f>
        <v/>
      </c>
      <c r="E2186" s="5">
        <f>MONTH(C2186)</f>
        <v/>
      </c>
      <c r="F2186" s="38" t="inlineStr">
        <is>
          <t>NFV  :TENDA ATACADO LTDA</t>
        </is>
      </c>
      <c r="G2186" s="38" t="inlineStr">
        <is>
          <t>MARIO FRUGIS (01.04.01)</t>
        </is>
      </c>
      <c r="H2186" s="38" t="inlineStr">
        <is>
          <t>NFV</t>
        </is>
      </c>
      <c r="I2186" s="40" t="n">
        <v>105.09</v>
      </c>
      <c r="J2186" s="40" t="n">
        <v>0</v>
      </c>
      <c r="K2186" s="6">
        <f>I2186-J2186</f>
        <v/>
      </c>
      <c r="L2186" s="6">
        <f>IF(H2186="DISTRATO",0,I2186)</f>
        <v/>
      </c>
    </row>
    <row r="2187">
      <c r="A2187" s="38" t="inlineStr">
        <is>
          <t>Conta corrente FRUGIS5.XLS</t>
        </is>
      </c>
      <c r="B2187" s="39" t="n">
        <v>41290</v>
      </c>
      <c r="C2187" s="4" t="n">
        <v>41275</v>
      </c>
      <c r="D2187" s="5">
        <f>YEAR(C2187)</f>
        <v/>
      </c>
      <c r="E2187" s="5">
        <f>MONTH(C2187)</f>
        <v/>
      </c>
      <c r="F2187" s="38" t="inlineStr">
        <is>
          <t>NFV  :TENDA ATACADO LTDA</t>
        </is>
      </c>
      <c r="G2187" s="38" t="inlineStr">
        <is>
          <t>MARIO FRUGIS (01.04.01)</t>
        </is>
      </c>
      <c r="H2187" s="38" t="inlineStr">
        <is>
          <t>NFV</t>
        </is>
      </c>
      <c r="I2187" s="40" t="n">
        <v>67.31999999999999</v>
      </c>
      <c r="J2187" s="40" t="n">
        <v>0</v>
      </c>
      <c r="K2187" s="6">
        <f>I2187-J2187</f>
        <v/>
      </c>
      <c r="L2187" s="6">
        <f>IF(H2187="DISTRATO",0,I2187)</f>
        <v/>
      </c>
    </row>
    <row r="2188">
      <c r="A2188" s="38" t="inlineStr">
        <is>
          <t>Conta corrente FRUGIS5.XLS</t>
        </is>
      </c>
      <c r="B2188" s="39" t="n">
        <v>41290</v>
      </c>
      <c r="C2188" s="4" t="n">
        <v>41275</v>
      </c>
      <c r="D2188" s="5">
        <f>YEAR(C2188)</f>
        <v/>
      </c>
      <c r="E2188" s="5">
        <f>MONTH(C2188)</f>
        <v/>
      </c>
      <c r="F2188" s="38" t="inlineStr">
        <is>
          <t>NFV  :TENDA ATACADO LTDA</t>
        </is>
      </c>
      <c r="G2188" s="38" t="inlineStr">
        <is>
          <t>MARIO FRUGIS (01.04.01)</t>
        </is>
      </c>
      <c r="H2188" s="38" t="inlineStr">
        <is>
          <t>NFV</t>
        </is>
      </c>
      <c r="I2188" s="40" t="n">
        <v>214.85</v>
      </c>
      <c r="J2188" s="40" t="n">
        <v>0</v>
      </c>
      <c r="K2188" s="6">
        <f>I2188-J2188</f>
        <v/>
      </c>
      <c r="L2188" s="6">
        <f>IF(H2188="DISTRATO",0,I2188)</f>
        <v/>
      </c>
    </row>
    <row r="2189">
      <c r="A2189" s="38" t="inlineStr">
        <is>
          <t>Conta corrente FRUGIS5.XLS</t>
        </is>
      </c>
      <c r="B2189" s="39" t="n">
        <v>41290</v>
      </c>
      <c r="C2189" s="4" t="n">
        <v>41275</v>
      </c>
      <c r="D2189" s="5">
        <f>YEAR(C2189)</f>
        <v/>
      </c>
      <c r="E2189" s="5">
        <f>MONTH(C2189)</f>
        <v/>
      </c>
      <c r="F2189" s="38" t="inlineStr">
        <is>
          <t>NFV  :TENDA ATACADO LTDA</t>
        </is>
      </c>
      <c r="G2189" s="38" t="inlineStr">
        <is>
          <t>MARIO FRUGIS (01.04.01)</t>
        </is>
      </c>
      <c r="H2189" s="38" t="inlineStr">
        <is>
          <t>NFV</t>
        </is>
      </c>
      <c r="I2189" s="40" t="n">
        <v>48.97</v>
      </c>
      <c r="J2189" s="40" t="n">
        <v>0</v>
      </c>
      <c r="K2189" s="6">
        <f>I2189-J2189</f>
        <v/>
      </c>
      <c r="L2189" s="6">
        <f>IF(H2189="DISTRATO",0,I2189)</f>
        <v/>
      </c>
    </row>
    <row r="2190">
      <c r="A2190" s="38" t="inlineStr">
        <is>
          <t>Conta corrente FRUGIS5.XLS</t>
        </is>
      </c>
      <c r="B2190" s="39" t="n">
        <v>41290</v>
      </c>
      <c r="C2190" s="4" t="n">
        <v>41275</v>
      </c>
      <c r="D2190" s="5">
        <f>YEAR(C2190)</f>
        <v/>
      </c>
      <c r="E2190" s="5">
        <f>MONTH(C2190)</f>
        <v/>
      </c>
      <c r="F2190" s="38" t="inlineStr">
        <is>
          <t>NFV  :TENDA ATACADO LTDA</t>
        </is>
      </c>
      <c r="G2190" s="38" t="inlineStr">
        <is>
          <t>MARIO FRUGIS (01.04.01)</t>
        </is>
      </c>
      <c r="H2190" s="38" t="inlineStr">
        <is>
          <t>NFV</t>
        </is>
      </c>
      <c r="I2190" s="40" t="n">
        <v>135.27</v>
      </c>
      <c r="J2190" s="40" t="n">
        <v>0</v>
      </c>
      <c r="K2190" s="6">
        <f>I2190-J2190</f>
        <v/>
      </c>
      <c r="L2190" s="6">
        <f>IF(H2190="DISTRATO",0,I2190)</f>
        <v/>
      </c>
    </row>
    <row r="2191">
      <c r="A2191" s="38" t="inlineStr">
        <is>
          <t>Conta corrente FRUGIS5.XLS</t>
        </is>
      </c>
      <c r="B2191" s="39" t="n">
        <v>41290</v>
      </c>
      <c r="C2191" s="4" t="n">
        <v>41275</v>
      </c>
      <c r="D2191" s="5">
        <f>YEAR(C2191)</f>
        <v/>
      </c>
      <c r="E2191" s="5">
        <f>MONTH(C2191)</f>
        <v/>
      </c>
      <c r="F2191" s="38" t="inlineStr">
        <is>
          <t>NFV  :TENDA ATACADO LTDA</t>
        </is>
      </c>
      <c r="G2191" s="38" t="inlineStr">
        <is>
          <t>MARIO FRUGIS (01.04.01)</t>
        </is>
      </c>
      <c r="H2191" s="38" t="inlineStr">
        <is>
          <t>NFV</t>
        </is>
      </c>
      <c r="I2191" s="40" t="n">
        <v>203.53</v>
      </c>
      <c r="J2191" s="40" t="n">
        <v>0</v>
      </c>
      <c r="K2191" s="6">
        <f>I2191-J2191</f>
        <v/>
      </c>
      <c r="L2191" s="6">
        <f>IF(H2191="DISTRATO",0,I2191)</f>
        <v/>
      </c>
    </row>
    <row r="2192">
      <c r="A2192" s="38" t="inlineStr">
        <is>
          <t>Conta corrente FRUGIS5.XLS</t>
        </is>
      </c>
      <c r="B2192" s="39" t="n">
        <v>41290</v>
      </c>
      <c r="C2192" s="4" t="n">
        <v>41275</v>
      </c>
      <c r="D2192" s="5">
        <f>YEAR(C2192)</f>
        <v/>
      </c>
      <c r="E2192" s="5">
        <f>MONTH(C2192)</f>
        <v/>
      </c>
      <c r="F2192" s="38" t="inlineStr">
        <is>
          <t>NFV  :TENDA ATACADO LTDA</t>
        </is>
      </c>
      <c r="G2192" s="38" t="inlineStr">
        <is>
          <t>MARIO FRUGIS (01.04.01)</t>
        </is>
      </c>
      <c r="H2192" s="38" t="inlineStr">
        <is>
          <t>NFV</t>
        </is>
      </c>
      <c r="I2192" s="40" t="n">
        <v>45.01</v>
      </c>
      <c r="J2192" s="40" t="n">
        <v>0</v>
      </c>
      <c r="K2192" s="6">
        <f>I2192-J2192</f>
        <v/>
      </c>
      <c r="L2192" s="6">
        <f>IF(H2192="DISTRATO",0,I2192)</f>
        <v/>
      </c>
    </row>
    <row r="2193">
      <c r="A2193" s="38" t="inlineStr">
        <is>
          <t>Conta corrente FRUGIS5.XLS</t>
        </is>
      </c>
      <c r="B2193" s="39" t="n">
        <v>41290</v>
      </c>
      <c r="C2193" s="4" t="n">
        <v>41275</v>
      </c>
      <c r="D2193" s="5">
        <f>YEAR(C2193)</f>
        <v/>
      </c>
      <c r="E2193" s="5">
        <f>MONTH(C2193)</f>
        <v/>
      </c>
      <c r="F2193" s="38" t="inlineStr">
        <is>
          <t>NFV  :TENDA ATACADO LTDA</t>
        </is>
      </c>
      <c r="G2193" s="38" t="inlineStr">
        <is>
          <t>MARIO FRUGIS (01.04.01)</t>
        </is>
      </c>
      <c r="H2193" s="38" t="inlineStr">
        <is>
          <t>NFV</t>
        </is>
      </c>
      <c r="I2193" s="40" t="n">
        <v>61.52</v>
      </c>
      <c r="J2193" s="40" t="n">
        <v>0</v>
      </c>
      <c r="K2193" s="6">
        <f>I2193-J2193</f>
        <v/>
      </c>
      <c r="L2193" s="6">
        <f>IF(H2193="DISTRATO",0,I2193)</f>
        <v/>
      </c>
    </row>
    <row r="2194">
      <c r="A2194" s="38" t="inlineStr">
        <is>
          <t>Conta corrente FRUGIS5.XLS</t>
        </is>
      </c>
      <c r="B2194" s="39" t="n">
        <v>41291</v>
      </c>
      <c r="C2194" s="4" t="n">
        <v>41275</v>
      </c>
      <c r="D2194" s="5">
        <f>YEAR(C2194)</f>
        <v/>
      </c>
      <c r="E2194" s="5">
        <f>MONTH(C2194)</f>
        <v/>
      </c>
      <c r="F2194" s="38" t="inlineStr">
        <is>
          <t>NFV  :TENDA ATACADO LTDA</t>
        </is>
      </c>
      <c r="G2194" s="38" t="inlineStr">
        <is>
          <t>MARIO FRUGIS (01.04.01)</t>
        </is>
      </c>
      <c r="H2194" s="38" t="inlineStr">
        <is>
          <t>NFV</t>
        </is>
      </c>
      <c r="I2194" s="40" t="n">
        <v>96.41</v>
      </c>
      <c r="J2194" s="40" t="n">
        <v>0</v>
      </c>
      <c r="K2194" s="6">
        <f>I2194-J2194</f>
        <v/>
      </c>
      <c r="L2194" s="6">
        <f>IF(H2194="DISTRATO",0,I2194)</f>
        <v/>
      </c>
    </row>
    <row r="2195">
      <c r="A2195" s="38" t="inlineStr">
        <is>
          <t>Conta corrente FRUGIS5.XLS</t>
        </is>
      </c>
      <c r="B2195" s="39" t="n">
        <v>41291</v>
      </c>
      <c r="C2195" s="4" t="n">
        <v>41275</v>
      </c>
      <c r="D2195" s="5">
        <f>YEAR(C2195)</f>
        <v/>
      </c>
      <c r="E2195" s="5">
        <f>MONTH(C2195)</f>
        <v/>
      </c>
      <c r="F2195" s="38" t="inlineStr">
        <is>
          <t>NFV  :TENDA ATACADO LTDA</t>
        </is>
      </c>
      <c r="G2195" s="38" t="inlineStr">
        <is>
          <t>MARIO FRUGIS (01.04.01)</t>
        </is>
      </c>
      <c r="H2195" s="38" t="inlineStr">
        <is>
          <t>NFV</t>
        </is>
      </c>
      <c r="I2195" s="40" t="n">
        <v>32.79</v>
      </c>
      <c r="J2195" s="40" t="n">
        <v>0</v>
      </c>
      <c r="K2195" s="6">
        <f>I2195-J2195</f>
        <v/>
      </c>
      <c r="L2195" s="6">
        <f>IF(H2195="DISTRATO",0,I2195)</f>
        <v/>
      </c>
    </row>
    <row r="2196">
      <c r="A2196" s="38" t="inlineStr">
        <is>
          <t>Conta corrente FRUGIS5.XLS</t>
        </is>
      </c>
      <c r="B2196" s="39" t="n">
        <v>41305</v>
      </c>
      <c r="C2196" s="4" t="n">
        <v>41275</v>
      </c>
      <c r="D2196" s="5">
        <f>YEAR(C2196)</f>
        <v/>
      </c>
      <c r="E2196" s="5">
        <f>MONTH(C2196)</f>
        <v/>
      </c>
      <c r="F2196" s="38" t="inlineStr">
        <is>
          <t>NFV  :TENDA ATACADO LTDA</t>
        </is>
      </c>
      <c r="G2196" s="38" t="inlineStr">
        <is>
          <t>MARIO FRUGIS (01.04.01)</t>
        </is>
      </c>
      <c r="H2196" s="38" t="inlineStr">
        <is>
          <t>NFV</t>
        </is>
      </c>
      <c r="I2196" s="40" t="n">
        <v>28.78</v>
      </c>
      <c r="J2196" s="40" t="n">
        <v>0</v>
      </c>
      <c r="K2196" s="6">
        <f>I2196-J2196</f>
        <v/>
      </c>
      <c r="L2196" s="6">
        <f>IF(H2196="DISTRATO",0,I2196)</f>
        <v/>
      </c>
    </row>
    <row r="2197">
      <c r="A2197" s="38" t="inlineStr">
        <is>
          <t>Conta corrente FRUGIS5.XLS</t>
        </is>
      </c>
      <c r="B2197" s="39" t="n">
        <v>41305</v>
      </c>
      <c r="C2197" s="4" t="n">
        <v>41275</v>
      </c>
      <c r="D2197" s="5">
        <f>YEAR(C2197)</f>
        <v/>
      </c>
      <c r="E2197" s="5">
        <f>MONTH(C2197)</f>
        <v/>
      </c>
      <c r="F2197" s="38" t="inlineStr">
        <is>
          <t>NFV  :TENDA ATACADO LTDA</t>
        </is>
      </c>
      <c r="G2197" s="38" t="inlineStr">
        <is>
          <t>MARIO FRUGIS (01.04.01)</t>
        </is>
      </c>
      <c r="H2197" s="38" t="inlineStr">
        <is>
          <t>NFV</t>
        </is>
      </c>
      <c r="I2197" s="40" t="n">
        <v>198.17</v>
      </c>
      <c r="J2197" s="40" t="n">
        <v>0</v>
      </c>
      <c r="K2197" s="6">
        <f>I2197-J2197</f>
        <v/>
      </c>
      <c r="L2197" s="6">
        <f>IF(H2197="DISTRATO",0,I2197)</f>
        <v/>
      </c>
    </row>
    <row r="2198">
      <c r="A2198" s="38" t="inlineStr">
        <is>
          <t>Conta corrente FRUGIS5.XLS</t>
        </is>
      </c>
      <c r="B2198" s="39" t="n">
        <v>41305</v>
      </c>
      <c r="C2198" s="4" t="n">
        <v>41275</v>
      </c>
      <c r="D2198" s="5">
        <f>YEAR(C2198)</f>
        <v/>
      </c>
      <c r="E2198" s="5">
        <f>MONTH(C2198)</f>
        <v/>
      </c>
      <c r="F2198" s="38" t="inlineStr">
        <is>
          <t>NFV  :TENDA ATACADO LTDA</t>
        </is>
      </c>
      <c r="G2198" s="38" t="inlineStr">
        <is>
          <t>MARIO FRUGIS (01.04.01)</t>
        </is>
      </c>
      <c r="H2198" s="38" t="inlineStr">
        <is>
          <t>NFV</t>
        </is>
      </c>
      <c r="I2198" s="40" t="n">
        <v>109.75</v>
      </c>
      <c r="J2198" s="40" t="n">
        <v>0</v>
      </c>
      <c r="K2198" s="6">
        <f>I2198-J2198</f>
        <v/>
      </c>
      <c r="L2198" s="6">
        <f>IF(H2198="DISTRATO",0,I2198)</f>
        <v/>
      </c>
    </row>
    <row r="2199">
      <c r="A2199" s="38" t="inlineStr">
        <is>
          <t>Conta corrente FRUGIS5.XLS</t>
        </is>
      </c>
      <c r="B2199" s="39" t="n">
        <v>41305</v>
      </c>
      <c r="C2199" s="4" t="n">
        <v>41275</v>
      </c>
      <c r="D2199" s="5">
        <f>YEAR(C2199)</f>
        <v/>
      </c>
      <c r="E2199" s="5">
        <f>MONTH(C2199)</f>
        <v/>
      </c>
      <c r="F2199" s="38" t="inlineStr">
        <is>
          <t>NFV  :TENDA ATACADO LTDA</t>
        </is>
      </c>
      <c r="G2199" s="38" t="inlineStr">
        <is>
          <t>MARIO FRUGIS (01.04.01)</t>
        </is>
      </c>
      <c r="H2199" s="38" t="inlineStr">
        <is>
          <t>NFV</t>
        </is>
      </c>
      <c r="I2199" s="40" t="n">
        <v>37.48</v>
      </c>
      <c r="J2199" s="40" t="n">
        <v>0</v>
      </c>
      <c r="K2199" s="6">
        <f>I2199-J2199</f>
        <v/>
      </c>
      <c r="L2199" s="6">
        <f>IF(H2199="DISTRATO",0,I2199)</f>
        <v/>
      </c>
    </row>
    <row r="2200">
      <c r="A2200" s="38" t="inlineStr">
        <is>
          <t>Conta corrente FRUGIS5.XLS</t>
        </is>
      </c>
      <c r="B2200" s="39" t="n">
        <v>41305</v>
      </c>
      <c r="C2200" s="4" t="n">
        <v>41275</v>
      </c>
      <c r="D2200" s="5">
        <f>YEAR(C2200)</f>
        <v/>
      </c>
      <c r="E2200" s="5">
        <f>MONTH(C2200)</f>
        <v/>
      </c>
      <c r="F2200" s="38" t="inlineStr">
        <is>
          <t>NFV  :TENDA ATACADO LTDA</t>
        </is>
      </c>
      <c r="G2200" s="38" t="inlineStr">
        <is>
          <t>MARIO FRUGIS (01.04.01)</t>
        </is>
      </c>
      <c r="H2200" s="38" t="inlineStr">
        <is>
          <t>NFV</t>
        </is>
      </c>
      <c r="I2200" s="40" t="n">
        <v>10.92</v>
      </c>
      <c r="J2200" s="40" t="n">
        <v>0</v>
      </c>
      <c r="K2200" s="6">
        <f>I2200-J2200</f>
        <v/>
      </c>
      <c r="L2200" s="6">
        <f>IF(H2200="DISTRATO",0,I2200)</f>
        <v/>
      </c>
    </row>
    <row r="2201">
      <c r="A2201" s="38" t="inlineStr">
        <is>
          <t>Conta corrente FRUGIS5.XLS</t>
        </is>
      </c>
      <c r="B2201" s="39" t="n">
        <v>41305</v>
      </c>
      <c r="C2201" s="4" t="n">
        <v>41275</v>
      </c>
      <c r="D2201" s="5">
        <f>YEAR(C2201)</f>
        <v/>
      </c>
      <c r="E2201" s="5">
        <f>MONTH(C2201)</f>
        <v/>
      </c>
      <c r="F2201" s="38" t="inlineStr">
        <is>
          <t>NFV  :TENDA ATACADO LTDA</t>
        </is>
      </c>
      <c r="G2201" s="38" t="inlineStr">
        <is>
          <t>MARIO FRUGIS (01.04.01)</t>
        </is>
      </c>
      <c r="H2201" s="38" t="inlineStr">
        <is>
          <t>NFV</t>
        </is>
      </c>
      <c r="I2201" s="40" t="n">
        <v>55.44</v>
      </c>
      <c r="J2201" s="40" t="n">
        <v>0</v>
      </c>
      <c r="K2201" s="6">
        <f>I2201-J2201</f>
        <v/>
      </c>
      <c r="L2201" s="6">
        <f>IF(H2201="DISTRATO",0,I2201)</f>
        <v/>
      </c>
    </row>
    <row r="2202">
      <c r="A2202" s="38" t="inlineStr">
        <is>
          <t>Conta corrente FRUGIS5.XLS</t>
        </is>
      </c>
      <c r="B2202" s="39" t="n">
        <v>41305</v>
      </c>
      <c r="C2202" s="4" t="n">
        <v>41275</v>
      </c>
      <c r="D2202" s="5">
        <f>YEAR(C2202)</f>
        <v/>
      </c>
      <c r="E2202" s="5">
        <f>MONTH(C2202)</f>
        <v/>
      </c>
      <c r="F2202" s="38" t="inlineStr">
        <is>
          <t>NFV  :TENDA ATACADO LTDA</t>
        </is>
      </c>
      <c r="G2202" s="38" t="inlineStr">
        <is>
          <t>MARIO FRUGIS (01.04.01)</t>
        </is>
      </c>
      <c r="H2202" s="38" t="inlineStr">
        <is>
          <t>NFV</t>
        </is>
      </c>
      <c r="I2202" s="40" t="n">
        <v>85.59999999999999</v>
      </c>
      <c r="J2202" s="40" t="n">
        <v>0</v>
      </c>
      <c r="K2202" s="6">
        <f>I2202-J2202</f>
        <v/>
      </c>
      <c r="L2202" s="6">
        <f>IF(H2202="DISTRATO",0,I2202)</f>
        <v/>
      </c>
    </row>
    <row r="2203">
      <c r="A2203" s="38" t="inlineStr">
        <is>
          <t>Conta corrente FRUGIS5.XLS</t>
        </is>
      </c>
      <c r="B2203" s="39" t="n">
        <v>41305</v>
      </c>
      <c r="C2203" s="4" t="n">
        <v>41275</v>
      </c>
      <c r="D2203" s="5">
        <f>YEAR(C2203)</f>
        <v/>
      </c>
      <c r="E2203" s="5">
        <f>MONTH(C2203)</f>
        <v/>
      </c>
      <c r="F2203" s="38" t="inlineStr">
        <is>
          <t>NFV  :TENDA ATACADO LTDA</t>
        </is>
      </c>
      <c r="G2203" s="38" t="inlineStr">
        <is>
          <t>MARIO FRUGIS (01.04.01)</t>
        </is>
      </c>
      <c r="H2203" s="38" t="inlineStr">
        <is>
          <t>NFV</t>
        </is>
      </c>
      <c r="I2203" s="40" t="n">
        <v>167.63</v>
      </c>
      <c r="J2203" s="40" t="n">
        <v>0</v>
      </c>
      <c r="K2203" s="6">
        <f>I2203-J2203</f>
        <v/>
      </c>
      <c r="L2203" s="6">
        <f>IF(H2203="DISTRATO",0,I2203)</f>
        <v/>
      </c>
    </row>
    <row r="2204">
      <c r="A2204" s="38" t="inlineStr">
        <is>
          <t>Conta corrente FRUGIS5.XLS</t>
        </is>
      </c>
      <c r="B2204" s="39" t="n">
        <v>41305</v>
      </c>
      <c r="C2204" s="4" t="n">
        <v>41275</v>
      </c>
      <c r="D2204" s="5">
        <f>YEAR(C2204)</f>
        <v/>
      </c>
      <c r="E2204" s="5">
        <f>MONTH(C2204)</f>
        <v/>
      </c>
      <c r="F2204" s="38" t="inlineStr">
        <is>
          <t>NFV  :TENDA ATACADO LTDA</t>
        </is>
      </c>
      <c r="G2204" s="38" t="inlineStr">
        <is>
          <t>MARIO FRUGIS (01.04.01)</t>
        </is>
      </c>
      <c r="H2204" s="38" t="inlineStr">
        <is>
          <t>NFV</t>
        </is>
      </c>
      <c r="I2204" s="40" t="n">
        <v>21.38</v>
      </c>
      <c r="J2204" s="40" t="n">
        <v>0</v>
      </c>
      <c r="K2204" s="6">
        <f>I2204-J2204</f>
        <v/>
      </c>
      <c r="L2204" s="6">
        <f>IF(H2204="DISTRATO",0,I2204)</f>
        <v/>
      </c>
    </row>
    <row r="2205">
      <c r="A2205" s="38" t="inlineStr">
        <is>
          <t>Conta corrente FRUGIS5.XLS</t>
        </is>
      </c>
      <c r="B2205" s="39" t="n">
        <v>41305</v>
      </c>
      <c r="C2205" s="4" t="n">
        <v>41275</v>
      </c>
      <c r="D2205" s="5">
        <f>YEAR(C2205)</f>
        <v/>
      </c>
      <c r="E2205" s="5">
        <f>MONTH(C2205)</f>
        <v/>
      </c>
      <c r="F2205" s="38" t="inlineStr">
        <is>
          <t>NFV  :TENDA ATACADO LTDA</t>
        </is>
      </c>
      <c r="G2205" s="38" t="inlineStr">
        <is>
          <t>MARIO FRUGIS (01.04.01)</t>
        </is>
      </c>
      <c r="H2205" s="38" t="inlineStr">
        <is>
          <t>NFV</t>
        </is>
      </c>
      <c r="I2205" s="40" t="n">
        <v>40.36</v>
      </c>
      <c r="J2205" s="40" t="n">
        <v>0</v>
      </c>
      <c r="K2205" s="6">
        <f>I2205-J2205</f>
        <v/>
      </c>
      <c r="L2205" s="6">
        <f>IF(H2205="DISTRATO",0,I2205)</f>
        <v/>
      </c>
    </row>
    <row r="2206">
      <c r="A2206" s="38" t="inlineStr">
        <is>
          <t>Conta corrente FRUGIS5.XLS</t>
        </is>
      </c>
      <c r="B2206" s="39" t="n">
        <v>41305</v>
      </c>
      <c r="C2206" s="4" t="n">
        <v>41275</v>
      </c>
      <c r="D2206" s="5">
        <f>YEAR(C2206)</f>
        <v/>
      </c>
      <c r="E2206" s="5">
        <f>MONTH(C2206)</f>
        <v/>
      </c>
      <c r="F2206" s="38" t="inlineStr">
        <is>
          <t>NFV  :TENDA ATACADO LTDA</t>
        </is>
      </c>
      <c r="G2206" s="38" t="inlineStr">
        <is>
          <t>MARIO FRUGIS (01.04.01)</t>
        </is>
      </c>
      <c r="H2206" s="38" t="inlineStr">
        <is>
          <t>NFV</t>
        </is>
      </c>
      <c r="I2206" s="40" t="n">
        <v>31.6</v>
      </c>
      <c r="J2206" s="40" t="n">
        <v>0</v>
      </c>
      <c r="K2206" s="6">
        <f>I2206-J2206</f>
        <v/>
      </c>
      <c r="L2206" s="6">
        <f>IF(H2206="DISTRATO",0,I2206)</f>
        <v/>
      </c>
    </row>
    <row r="2207">
      <c r="A2207" s="38" t="inlineStr">
        <is>
          <t>Conta corrente FRUGIS5.XLS</t>
        </is>
      </c>
      <c r="B2207" s="39" t="n">
        <v>41305</v>
      </c>
      <c r="C2207" s="4" t="n">
        <v>41275</v>
      </c>
      <c r="D2207" s="5">
        <f>YEAR(C2207)</f>
        <v/>
      </c>
      <c r="E2207" s="5">
        <f>MONTH(C2207)</f>
        <v/>
      </c>
      <c r="F2207" s="38" t="inlineStr">
        <is>
          <t>NFV  :TENDA ATACADO LTDA</t>
        </is>
      </c>
      <c r="G2207" s="38" t="inlineStr">
        <is>
          <t>MARIO FRUGIS (01.04.01)</t>
        </is>
      </c>
      <c r="H2207" s="38" t="inlineStr">
        <is>
          <t>NFV</t>
        </is>
      </c>
      <c r="I2207" s="40" t="n">
        <v>165.45</v>
      </c>
      <c r="J2207" s="40" t="n">
        <v>0</v>
      </c>
      <c r="K2207" s="6">
        <f>I2207-J2207</f>
        <v/>
      </c>
      <c r="L2207" s="6">
        <f>IF(H2207="DISTRATO",0,I2207)</f>
        <v/>
      </c>
    </row>
    <row r="2208">
      <c r="A2208" s="38" t="inlineStr">
        <is>
          <t>Conta corrente FRUGIS5.XLS</t>
        </is>
      </c>
      <c r="B2208" s="39" t="n">
        <v>41305</v>
      </c>
      <c r="C2208" s="4" t="n">
        <v>41275</v>
      </c>
      <c r="D2208" s="5">
        <f>YEAR(C2208)</f>
        <v/>
      </c>
      <c r="E2208" s="5">
        <f>MONTH(C2208)</f>
        <v/>
      </c>
      <c r="F2208" s="38" t="inlineStr">
        <is>
          <t>NFV  :TENDA ATACADO LTDA</t>
        </is>
      </c>
      <c r="G2208" s="38" t="inlineStr">
        <is>
          <t>MARIO FRUGIS (01.04.01)</t>
        </is>
      </c>
      <c r="H2208" s="38" t="inlineStr">
        <is>
          <t>NFV</t>
        </is>
      </c>
      <c r="I2208" s="40" t="n">
        <v>235.59</v>
      </c>
      <c r="J2208" s="40" t="n">
        <v>0</v>
      </c>
      <c r="K2208" s="6">
        <f>I2208-J2208</f>
        <v/>
      </c>
      <c r="L2208" s="6">
        <f>IF(H2208="DISTRATO",0,I2208)</f>
        <v/>
      </c>
    </row>
    <row r="2209">
      <c r="A2209" s="38" t="inlineStr">
        <is>
          <t>Conta corrente FRUGIS5.XLS</t>
        </is>
      </c>
      <c r="B2209" s="39" t="n">
        <v>41305</v>
      </c>
      <c r="C2209" s="4" t="n">
        <v>41275</v>
      </c>
      <c r="D2209" s="5">
        <f>YEAR(C2209)</f>
        <v/>
      </c>
      <c r="E2209" s="5">
        <f>MONTH(C2209)</f>
        <v/>
      </c>
      <c r="F2209" s="38" t="inlineStr">
        <is>
          <t>NFV  :TENDA ATACADO LTDA</t>
        </is>
      </c>
      <c r="G2209" s="38" t="inlineStr">
        <is>
          <t>MARIO FRUGIS (01.04.01)</t>
        </is>
      </c>
      <c r="H2209" s="38" t="inlineStr">
        <is>
          <t>NFV</t>
        </is>
      </c>
      <c r="I2209" s="40" t="n">
        <v>24.64</v>
      </c>
      <c r="J2209" s="40" t="n">
        <v>0</v>
      </c>
      <c r="K2209" s="6">
        <f>I2209-J2209</f>
        <v/>
      </c>
      <c r="L2209" s="6">
        <f>IF(H2209="DISTRATO",0,I2209)</f>
        <v/>
      </c>
    </row>
    <row r="2210">
      <c r="A2210" s="38" t="inlineStr">
        <is>
          <t>Conta corrente FRUGIS5.XLS</t>
        </is>
      </c>
      <c r="B2210" s="39" t="n">
        <v>41305</v>
      </c>
      <c r="C2210" s="4" t="n">
        <v>41275</v>
      </c>
      <c r="D2210" s="5">
        <f>YEAR(C2210)</f>
        <v/>
      </c>
      <c r="E2210" s="5">
        <f>MONTH(C2210)</f>
        <v/>
      </c>
      <c r="F2210" s="38" t="inlineStr">
        <is>
          <t>NFV  :TENDA ATACADO LTDA</t>
        </is>
      </c>
      <c r="G2210" s="38" t="inlineStr">
        <is>
          <t>MARIO FRUGIS (01.04.01)</t>
        </is>
      </c>
      <c r="H2210" s="38" t="inlineStr">
        <is>
          <t>NFV</t>
        </is>
      </c>
      <c r="I2210" s="40" t="n">
        <v>11.7</v>
      </c>
      <c r="J2210" s="40" t="n">
        <v>0</v>
      </c>
      <c r="K2210" s="6">
        <f>I2210-J2210</f>
        <v/>
      </c>
      <c r="L2210" s="6">
        <f>IF(H2210="DISTRATO",0,I2210)</f>
        <v/>
      </c>
    </row>
    <row r="2211">
      <c r="A2211" s="38" t="inlineStr">
        <is>
          <t>Conta corrente FRUGIS5.XLS</t>
        </is>
      </c>
      <c r="B2211" s="39" t="n">
        <v>41305</v>
      </c>
      <c r="C2211" s="4" t="n">
        <v>41275</v>
      </c>
      <c r="D2211" s="5">
        <f>YEAR(C2211)</f>
        <v/>
      </c>
      <c r="E2211" s="5">
        <f>MONTH(C2211)</f>
        <v/>
      </c>
      <c r="F2211" s="38" t="inlineStr">
        <is>
          <t>NFV  :TENDA ATACADO LTDA</t>
        </is>
      </c>
      <c r="G2211" s="38" t="inlineStr">
        <is>
          <t>MARIO FRUGIS (01.04.01)</t>
        </is>
      </c>
      <c r="H2211" s="38" t="inlineStr">
        <is>
          <t>NFV</t>
        </is>
      </c>
      <c r="I2211" s="40" t="n">
        <v>37.48</v>
      </c>
      <c r="J2211" s="40" t="n">
        <v>0</v>
      </c>
      <c r="K2211" s="6">
        <f>I2211-J2211</f>
        <v/>
      </c>
      <c r="L2211" s="6">
        <f>IF(H2211="DISTRATO",0,I2211)</f>
        <v/>
      </c>
    </row>
    <row r="2212">
      <c r="A2212" s="38" t="inlineStr">
        <is>
          <t>Conta corrente FRUGIS5.XLS</t>
        </is>
      </c>
      <c r="B2212" s="39" t="n">
        <v>41305</v>
      </c>
      <c r="C2212" s="4" t="n">
        <v>41275</v>
      </c>
      <c r="D2212" s="5">
        <f>YEAR(C2212)</f>
        <v/>
      </c>
      <c r="E2212" s="5">
        <f>MONTH(C2212)</f>
        <v/>
      </c>
      <c r="F2212" s="38" t="inlineStr">
        <is>
          <t>NFV  :TENDA ATACADO LTDA</t>
        </is>
      </c>
      <c r="G2212" s="38" t="inlineStr">
        <is>
          <t>MARIO FRUGIS (01.04.01)</t>
        </is>
      </c>
      <c r="H2212" s="38" t="inlineStr">
        <is>
          <t>NFV</t>
        </is>
      </c>
      <c r="I2212" s="40" t="n">
        <v>26.32</v>
      </c>
      <c r="J2212" s="40" t="n">
        <v>0</v>
      </c>
      <c r="K2212" s="6">
        <f>I2212-J2212</f>
        <v/>
      </c>
      <c r="L2212" s="6">
        <f>IF(H2212="DISTRATO",0,I2212)</f>
        <v/>
      </c>
    </row>
    <row r="2213">
      <c r="A2213" s="38" t="inlineStr">
        <is>
          <t>Conta corrente FRUGIS5.XLS</t>
        </is>
      </c>
      <c r="B2213" s="39" t="n">
        <v>41305</v>
      </c>
      <c r="C2213" s="4" t="n">
        <v>41275</v>
      </c>
      <c r="D2213" s="5">
        <f>YEAR(C2213)</f>
        <v/>
      </c>
      <c r="E2213" s="5">
        <f>MONTH(C2213)</f>
        <v/>
      </c>
      <c r="F2213" s="38" t="inlineStr">
        <is>
          <t>NFV  :TENDA ATACADO LTDA</t>
        </is>
      </c>
      <c r="G2213" s="38" t="inlineStr">
        <is>
          <t>MARIO FRUGIS (01.04.01)</t>
        </is>
      </c>
      <c r="H2213" s="38" t="inlineStr">
        <is>
          <t>NFV</t>
        </is>
      </c>
      <c r="I2213" s="40" t="n">
        <v>40.02</v>
      </c>
      <c r="J2213" s="40" t="n">
        <v>0</v>
      </c>
      <c r="K2213" s="6">
        <f>I2213-J2213</f>
        <v/>
      </c>
      <c r="L2213" s="6">
        <f>IF(H2213="DISTRATO",0,I2213)</f>
        <v/>
      </c>
    </row>
    <row r="2214">
      <c r="A2214" s="38" t="inlineStr">
        <is>
          <t>Conta corrente FRUGIS5.XLS</t>
        </is>
      </c>
      <c r="B2214" s="39" t="n">
        <v>41305</v>
      </c>
      <c r="C2214" s="4" t="n">
        <v>41275</v>
      </c>
      <c r="D2214" s="5">
        <f>YEAR(C2214)</f>
        <v/>
      </c>
      <c r="E2214" s="5">
        <f>MONTH(C2214)</f>
        <v/>
      </c>
      <c r="F2214" s="38" t="inlineStr">
        <is>
          <t>NFV  :TENDA ATACADO LTDA</t>
        </is>
      </c>
      <c r="G2214" s="38" t="inlineStr">
        <is>
          <t>MARIO FRUGIS (01.04.01)</t>
        </is>
      </c>
      <c r="H2214" s="38" t="inlineStr">
        <is>
          <t>NFV</t>
        </is>
      </c>
      <c r="I2214" s="40" t="n">
        <v>41.24</v>
      </c>
      <c r="J2214" s="40" t="n">
        <v>0</v>
      </c>
      <c r="K2214" s="6">
        <f>I2214-J2214</f>
        <v/>
      </c>
      <c r="L2214" s="6">
        <f>IF(H2214="DISTRATO",0,I2214)</f>
        <v/>
      </c>
    </row>
    <row r="2215">
      <c r="A2215" s="38" t="inlineStr">
        <is>
          <t>Conta corrente FRUGIS5.XLS</t>
        </is>
      </c>
      <c r="B2215" s="39" t="n">
        <v>41305</v>
      </c>
      <c r="C2215" s="4" t="n">
        <v>41275</v>
      </c>
      <c r="D2215" s="5">
        <f>YEAR(C2215)</f>
        <v/>
      </c>
      <c r="E2215" s="5">
        <f>MONTH(C2215)</f>
        <v/>
      </c>
      <c r="F2215" s="38" t="inlineStr">
        <is>
          <t>NFV  :TENDA ATACADO LTDA</t>
        </is>
      </c>
      <c r="G2215" s="38" t="inlineStr">
        <is>
          <t>MARIO FRUGIS (01.04.01)</t>
        </is>
      </c>
      <c r="H2215" s="38" t="inlineStr">
        <is>
          <t>NFV</t>
        </is>
      </c>
      <c r="I2215" s="40" t="n">
        <v>241.44</v>
      </c>
      <c r="J2215" s="40" t="n">
        <v>0</v>
      </c>
      <c r="K2215" s="6">
        <f>I2215-J2215</f>
        <v/>
      </c>
      <c r="L2215" s="6">
        <f>IF(H2215="DISTRATO",0,I2215)</f>
        <v/>
      </c>
    </row>
    <row r="2216">
      <c r="A2216" s="38" t="inlineStr">
        <is>
          <t>Conta corrente FRUGIS5.XLS</t>
        </is>
      </c>
      <c r="B2216" s="39" t="n">
        <v>41305</v>
      </c>
      <c r="C2216" s="4" t="n">
        <v>41275</v>
      </c>
      <c r="D2216" s="5">
        <f>YEAR(C2216)</f>
        <v/>
      </c>
      <c r="E2216" s="5">
        <f>MONTH(C2216)</f>
        <v/>
      </c>
      <c r="F2216" s="38" t="inlineStr">
        <is>
          <t>NFV  :TENDA ATACADO LTDA</t>
        </is>
      </c>
      <c r="G2216" s="38" t="inlineStr">
        <is>
          <t>MARIO FRUGIS (01.04.01)</t>
        </is>
      </c>
      <c r="H2216" s="38" t="inlineStr">
        <is>
          <t>NFV</t>
        </is>
      </c>
      <c r="I2216" s="40" t="n">
        <v>21.45</v>
      </c>
      <c r="J2216" s="40" t="n">
        <v>0</v>
      </c>
      <c r="K2216" s="6">
        <f>I2216-J2216</f>
        <v/>
      </c>
      <c r="L2216" s="6">
        <f>IF(H2216="DISTRATO",0,I2216)</f>
        <v/>
      </c>
    </row>
    <row r="2217">
      <c r="A2217" s="38" t="inlineStr">
        <is>
          <t>Conta corrente FRUGIS5.XLS</t>
        </is>
      </c>
      <c r="B2217" s="39" t="n">
        <v>41305</v>
      </c>
      <c r="C2217" s="4" t="n">
        <v>41275</v>
      </c>
      <c r="D2217" s="5">
        <f>YEAR(C2217)</f>
        <v/>
      </c>
      <c r="E2217" s="5">
        <f>MONTH(C2217)</f>
        <v/>
      </c>
      <c r="F2217" s="38" t="inlineStr">
        <is>
          <t>NFV  :TENDA ATACADO LTDA</t>
        </is>
      </c>
      <c r="G2217" s="38" t="inlineStr">
        <is>
          <t>MARIO FRUGIS (01.04.01)</t>
        </is>
      </c>
      <c r="H2217" s="38" t="inlineStr">
        <is>
          <t>NFV</t>
        </is>
      </c>
      <c r="I2217" s="40" t="n">
        <v>147.74</v>
      </c>
      <c r="J2217" s="40" t="n">
        <v>0</v>
      </c>
      <c r="K2217" s="6">
        <f>I2217-J2217</f>
        <v/>
      </c>
      <c r="L2217" s="6">
        <f>IF(H2217="DISTRATO",0,I2217)</f>
        <v/>
      </c>
    </row>
    <row r="2218">
      <c r="A2218" s="38" t="inlineStr">
        <is>
          <t>Conta corrente FRUGIS5.XLS</t>
        </is>
      </c>
      <c r="B2218" s="39" t="n">
        <v>41305</v>
      </c>
      <c r="C2218" s="4" t="n">
        <v>41275</v>
      </c>
      <c r="D2218" s="5">
        <f>YEAR(C2218)</f>
        <v/>
      </c>
      <c r="E2218" s="5">
        <f>MONTH(C2218)</f>
        <v/>
      </c>
      <c r="F2218" s="38" t="inlineStr">
        <is>
          <t>NFV  :TENDA ATACADO LTDA</t>
        </is>
      </c>
      <c r="G2218" s="38" t="inlineStr">
        <is>
          <t>MARIO FRUGIS (01.04.01)</t>
        </is>
      </c>
      <c r="H2218" s="38" t="inlineStr">
        <is>
          <t>NFV</t>
        </is>
      </c>
      <c r="I2218" s="40" t="n">
        <v>136.07</v>
      </c>
      <c r="J2218" s="40" t="n">
        <v>0</v>
      </c>
      <c r="K2218" s="6">
        <f>I2218-J2218</f>
        <v/>
      </c>
      <c r="L2218" s="6">
        <f>IF(H2218="DISTRATO",0,I2218)</f>
        <v/>
      </c>
    </row>
    <row r="2219">
      <c r="A2219" s="38" t="inlineStr">
        <is>
          <t>Conta corrente FRUGIS5.XLS</t>
        </is>
      </c>
      <c r="B2219" s="39" t="n">
        <v>41305</v>
      </c>
      <c r="C2219" s="4" t="n">
        <v>41275</v>
      </c>
      <c r="D2219" s="5">
        <f>YEAR(C2219)</f>
        <v/>
      </c>
      <c r="E2219" s="5">
        <f>MONTH(C2219)</f>
        <v/>
      </c>
      <c r="F2219" s="38" t="inlineStr">
        <is>
          <t>NFV  :TENDA ATACADO LTDA</t>
        </is>
      </c>
      <c r="G2219" s="38" t="inlineStr">
        <is>
          <t>MARIO FRUGIS (01.04.01)</t>
        </is>
      </c>
      <c r="H2219" s="38" t="inlineStr">
        <is>
          <t>NFV</t>
        </is>
      </c>
      <c r="I2219" s="40" t="n">
        <v>130.77</v>
      </c>
      <c r="J2219" s="40" t="n">
        <v>0</v>
      </c>
      <c r="K2219" s="6">
        <f>I2219-J2219</f>
        <v/>
      </c>
      <c r="L2219" s="6">
        <f>IF(H2219="DISTRATO",0,I2219)</f>
        <v/>
      </c>
    </row>
    <row r="2220">
      <c r="A2220" s="38" t="inlineStr">
        <is>
          <t>Conta corrente FRUGIS5.XLS</t>
        </is>
      </c>
      <c r="B2220" s="39" t="n">
        <v>41305</v>
      </c>
      <c r="C2220" s="4" t="n">
        <v>41275</v>
      </c>
      <c r="D2220" s="5">
        <f>YEAR(C2220)</f>
        <v/>
      </c>
      <c r="E2220" s="5">
        <f>MONTH(C2220)</f>
        <v/>
      </c>
      <c r="F2220" s="38" t="inlineStr">
        <is>
          <t>NFV  :TENDA ATACADO LTDA</t>
        </is>
      </c>
      <c r="G2220" s="38" t="inlineStr">
        <is>
          <t>MARIO FRUGIS (01.04.01)</t>
        </is>
      </c>
      <c r="H2220" s="38" t="inlineStr">
        <is>
          <t>NFV</t>
        </is>
      </c>
      <c r="I2220" s="40" t="n">
        <v>217.59</v>
      </c>
      <c r="J2220" s="40" t="n">
        <v>0</v>
      </c>
      <c r="K2220" s="6">
        <f>I2220-J2220</f>
        <v/>
      </c>
      <c r="L2220" s="6">
        <f>IF(H2220="DISTRATO",0,I2220)</f>
        <v/>
      </c>
    </row>
    <row r="2221">
      <c r="A2221" s="38" t="inlineStr">
        <is>
          <t>Conta corrente FRUGIS5.XLS</t>
        </is>
      </c>
      <c r="B2221" s="39" t="n">
        <v>41305</v>
      </c>
      <c r="C2221" s="4" t="n">
        <v>41275</v>
      </c>
      <c r="D2221" s="5">
        <f>YEAR(C2221)</f>
        <v/>
      </c>
      <c r="E2221" s="5">
        <f>MONTH(C2221)</f>
        <v/>
      </c>
      <c r="F2221" s="38" t="inlineStr">
        <is>
          <t>NFV  :TENDA ATACADO LTDA</t>
        </is>
      </c>
      <c r="G2221" s="38" t="inlineStr">
        <is>
          <t>MARIO FRUGIS (01.04.01)</t>
        </is>
      </c>
      <c r="H2221" s="38" t="inlineStr">
        <is>
          <t>NFV</t>
        </is>
      </c>
      <c r="I2221" s="40" t="n">
        <v>110.02</v>
      </c>
      <c r="J2221" s="40" t="n">
        <v>0</v>
      </c>
      <c r="K2221" s="6">
        <f>I2221-J2221</f>
        <v/>
      </c>
      <c r="L2221" s="6">
        <f>IF(H2221="DISTRATO",0,I2221)</f>
        <v/>
      </c>
    </row>
    <row r="2222">
      <c r="A2222" s="38" t="inlineStr">
        <is>
          <t>Conta corrente FRUGIS5.XLS</t>
        </is>
      </c>
      <c r="B2222" s="39" t="n">
        <v>41305</v>
      </c>
      <c r="C2222" s="4" t="n">
        <v>41275</v>
      </c>
      <c r="D2222" s="5">
        <f>YEAR(C2222)</f>
        <v/>
      </c>
      <c r="E2222" s="5">
        <f>MONTH(C2222)</f>
        <v/>
      </c>
      <c r="F2222" s="38" t="inlineStr">
        <is>
          <t>NFV  :TENDA ATACADO LTDA</t>
        </is>
      </c>
      <c r="G2222" s="38" t="inlineStr">
        <is>
          <t>MARIO FRUGIS (01.04.01)</t>
        </is>
      </c>
      <c r="H2222" s="38" t="inlineStr">
        <is>
          <t>NFV</t>
        </is>
      </c>
      <c r="I2222" s="40" t="n">
        <v>52.43</v>
      </c>
      <c r="J2222" s="40" t="n">
        <v>0</v>
      </c>
      <c r="K2222" s="6">
        <f>I2222-J2222</f>
        <v/>
      </c>
      <c r="L2222" s="6">
        <f>IF(H2222="DISTRATO",0,I2222)</f>
        <v/>
      </c>
    </row>
    <row r="2223">
      <c r="A2223" s="38" t="inlineStr">
        <is>
          <t>Conta corrente FRUGIS5.XLS</t>
        </is>
      </c>
      <c r="B2223" s="39" t="n">
        <v>41305</v>
      </c>
      <c r="C2223" s="4" t="n">
        <v>41275</v>
      </c>
      <c r="D2223" s="5">
        <f>YEAR(C2223)</f>
        <v/>
      </c>
      <c r="E2223" s="5">
        <f>MONTH(C2223)</f>
        <v/>
      </c>
      <c r="F2223" s="38" t="inlineStr">
        <is>
          <t>NFV  :TENDA ATACADO LTDA</t>
        </is>
      </c>
      <c r="G2223" s="38" t="inlineStr">
        <is>
          <t>MARIO FRUGIS (01.04.01)</t>
        </is>
      </c>
      <c r="H2223" s="38" t="inlineStr">
        <is>
          <t>NFV</t>
        </is>
      </c>
      <c r="I2223" s="40" t="n">
        <v>61.89</v>
      </c>
      <c r="J2223" s="40" t="n">
        <v>0</v>
      </c>
      <c r="K2223" s="6">
        <f>I2223-J2223</f>
        <v/>
      </c>
      <c r="L2223" s="6">
        <f>IF(H2223="DISTRATO",0,I2223)</f>
        <v/>
      </c>
    </row>
    <row r="2224">
      <c r="A2224" s="38" t="inlineStr">
        <is>
          <t>Conta corrente FRUGIS5.XLS</t>
        </is>
      </c>
      <c r="B2224" s="39" t="n">
        <v>41305</v>
      </c>
      <c r="C2224" s="4" t="n">
        <v>41275</v>
      </c>
      <c r="D2224" s="5">
        <f>YEAR(C2224)</f>
        <v/>
      </c>
      <c r="E2224" s="5">
        <f>MONTH(C2224)</f>
        <v/>
      </c>
      <c r="F2224" s="38" t="inlineStr">
        <is>
          <t>NFV  :TENDA ATACADO LTDA</t>
        </is>
      </c>
      <c r="G2224" s="38" t="inlineStr">
        <is>
          <t>MARIO FRUGIS (01.04.01)</t>
        </is>
      </c>
      <c r="H2224" s="38" t="inlineStr">
        <is>
          <t>NFV</t>
        </is>
      </c>
      <c r="I2224" s="40" t="n">
        <v>305.33</v>
      </c>
      <c r="J2224" s="40" t="n">
        <v>0</v>
      </c>
      <c r="K2224" s="6">
        <f>I2224-J2224</f>
        <v/>
      </c>
      <c r="L2224" s="6">
        <f>IF(H2224="DISTRATO",0,I2224)</f>
        <v/>
      </c>
    </row>
    <row r="2225">
      <c r="A2225" s="38" t="inlineStr">
        <is>
          <t>Conta corrente FRUGIS5.XLS</t>
        </is>
      </c>
      <c r="B2225" s="39" t="n">
        <v>41305</v>
      </c>
      <c r="C2225" s="4" t="n">
        <v>41275</v>
      </c>
      <c r="D2225" s="5">
        <f>YEAR(C2225)</f>
        <v/>
      </c>
      <c r="E2225" s="5">
        <f>MONTH(C2225)</f>
        <v/>
      </c>
      <c r="F2225" s="38" t="inlineStr">
        <is>
          <t>NFV  :TENDA ATACADO LTDA</t>
        </is>
      </c>
      <c r="G2225" s="38" t="inlineStr">
        <is>
          <t>MARIO FRUGIS (01.04.01)</t>
        </is>
      </c>
      <c r="H2225" s="38" t="inlineStr">
        <is>
          <t>NFV</t>
        </is>
      </c>
      <c r="I2225" s="40" t="n">
        <v>48.45</v>
      </c>
      <c r="J2225" s="40" t="n">
        <v>0</v>
      </c>
      <c r="K2225" s="6">
        <f>I2225-J2225</f>
        <v/>
      </c>
      <c r="L2225" s="6">
        <f>IF(H2225="DISTRATO",0,I2225)</f>
        <v/>
      </c>
    </row>
    <row r="2226">
      <c r="A2226" s="38" t="inlineStr">
        <is>
          <t>Conta corrente FRUGIS5.XLS</t>
        </is>
      </c>
      <c r="B2226" s="39" t="n">
        <v>41305</v>
      </c>
      <c r="C2226" s="4" t="n">
        <v>41275</v>
      </c>
      <c r="D2226" s="5">
        <f>YEAR(C2226)</f>
        <v/>
      </c>
      <c r="E2226" s="5">
        <f>MONTH(C2226)</f>
        <v/>
      </c>
      <c r="F2226" s="38" t="inlineStr">
        <is>
          <t>NFV  :TENDA ATACADO LTDA</t>
        </is>
      </c>
      <c r="G2226" s="38" t="inlineStr">
        <is>
          <t>MARIO FRUGIS (01.04.01)</t>
        </is>
      </c>
      <c r="H2226" s="38" t="inlineStr">
        <is>
          <t>NFV</t>
        </is>
      </c>
      <c r="I2226" s="40" t="n">
        <v>142.83</v>
      </c>
      <c r="J2226" s="40" t="n">
        <v>0</v>
      </c>
      <c r="K2226" s="6">
        <f>I2226-J2226</f>
        <v/>
      </c>
      <c r="L2226" s="6">
        <f>IF(H2226="DISTRATO",0,I2226)</f>
        <v/>
      </c>
    </row>
    <row r="2227">
      <c r="A2227" s="38" t="inlineStr">
        <is>
          <t>Conta corrente FRUGIS5.XLS</t>
        </is>
      </c>
      <c r="B2227" s="39" t="n">
        <v>41305</v>
      </c>
      <c r="C2227" s="4" t="n">
        <v>41275</v>
      </c>
      <c r="D2227" s="5">
        <f>YEAR(C2227)</f>
        <v/>
      </c>
      <c r="E2227" s="5">
        <f>MONTH(C2227)</f>
        <v/>
      </c>
      <c r="F2227" s="38" t="inlineStr">
        <is>
          <t>NFV  :TENDA ATACADO LTDA</t>
        </is>
      </c>
      <c r="G2227" s="38" t="inlineStr">
        <is>
          <t>MARIO FRUGIS (01.04.01)</t>
        </is>
      </c>
      <c r="H2227" s="38" t="inlineStr">
        <is>
          <t>NFV</t>
        </is>
      </c>
      <c r="I2227" s="40" t="n">
        <v>53.97</v>
      </c>
      <c r="J2227" s="40" t="n">
        <v>0</v>
      </c>
      <c r="K2227" s="6">
        <f>I2227-J2227</f>
        <v/>
      </c>
      <c r="L2227" s="6">
        <f>IF(H2227="DISTRATO",0,I2227)</f>
        <v/>
      </c>
    </row>
    <row r="2228">
      <c r="A2228" s="38" t="inlineStr">
        <is>
          <t>Conta corrente FRUGIS5.XLS</t>
        </is>
      </c>
      <c r="B2228" s="39" t="n">
        <v>41305</v>
      </c>
      <c r="C2228" s="4" t="n">
        <v>41275</v>
      </c>
      <c r="D2228" s="5">
        <f>YEAR(C2228)</f>
        <v/>
      </c>
      <c r="E2228" s="5">
        <f>MONTH(C2228)</f>
        <v/>
      </c>
      <c r="F2228" s="38" t="inlineStr">
        <is>
          <t>NFV  :TENDA ATACADO LTDA</t>
        </is>
      </c>
      <c r="G2228" s="38" t="inlineStr">
        <is>
          <t>MARIO FRUGIS (01.04.01)</t>
        </is>
      </c>
      <c r="H2228" s="38" t="inlineStr">
        <is>
          <t>NFV</t>
        </is>
      </c>
      <c r="I2228" s="40" t="n">
        <v>52.51</v>
      </c>
      <c r="J2228" s="40" t="n">
        <v>0</v>
      </c>
      <c r="K2228" s="6">
        <f>I2228-J2228</f>
        <v/>
      </c>
      <c r="L2228" s="6">
        <f>IF(H2228="DISTRATO",0,I2228)</f>
        <v/>
      </c>
    </row>
    <row r="2229">
      <c r="A2229" s="38" t="inlineStr">
        <is>
          <t>Conta corrente FRUGIS5.XLS</t>
        </is>
      </c>
      <c r="B2229" s="39" t="n">
        <v>41305</v>
      </c>
      <c r="C2229" s="4" t="n">
        <v>41275</v>
      </c>
      <c r="D2229" s="5">
        <f>YEAR(C2229)</f>
        <v/>
      </c>
      <c r="E2229" s="5">
        <f>MONTH(C2229)</f>
        <v/>
      </c>
      <c r="F2229" s="38" t="inlineStr">
        <is>
          <t>NFV  :TENDA ATACADO LTDA</t>
        </is>
      </c>
      <c r="G2229" s="38" t="inlineStr">
        <is>
          <t>MARIO FRUGIS (01.04.01)</t>
        </is>
      </c>
      <c r="H2229" s="38" t="inlineStr">
        <is>
          <t>NFV</t>
        </is>
      </c>
      <c r="I2229" s="40" t="n">
        <v>33.31</v>
      </c>
      <c r="J2229" s="40" t="n">
        <v>0</v>
      </c>
      <c r="K2229" s="6">
        <f>I2229-J2229</f>
        <v/>
      </c>
      <c r="L2229" s="6">
        <f>IF(H2229="DISTRATO",0,I2229)</f>
        <v/>
      </c>
    </row>
    <row r="2230">
      <c r="A2230" s="38" t="inlineStr">
        <is>
          <t>Contas a pagar - aba Comissões</t>
        </is>
      </c>
      <c r="B2230" s="39" t="n">
        <v>42931</v>
      </c>
      <c r="C2230" s="4" t="n">
        <v>42887</v>
      </c>
      <c r="D2230" s="5">
        <f>YEAR(C2230)</f>
        <v/>
      </c>
      <c r="E2230" s="5">
        <f>MONTH(C2230)</f>
        <v/>
      </c>
      <c r="F2230" s="38" t="inlineStr">
        <is>
          <t>67</t>
        </is>
      </c>
      <c r="G2230" s="38" t="inlineStr">
        <is>
          <t>MARIO P. FRUGIS - Z. OESTE (CPF 046.309.298-86)</t>
        </is>
      </c>
      <c r="H2230" s="38" t="inlineStr">
        <is>
          <t>COMISSAO</t>
        </is>
      </c>
      <c r="I2230" s="40" t="n">
        <v>16505.24</v>
      </c>
      <c r="J2230" s="40" t="n">
        <v>152.58</v>
      </c>
      <c r="K2230" s="6">
        <f>I2230-J2230</f>
        <v/>
      </c>
      <c r="L2230" s="6">
        <f>IF(H2230="DISTRATO",0,I2230)</f>
        <v/>
      </c>
    </row>
    <row r="2231">
      <c r="A2231" s="38" t="inlineStr">
        <is>
          <t>Contas a pagar - aba Comissões</t>
        </is>
      </c>
      <c r="B2231" s="39" t="n">
        <v>42962</v>
      </c>
      <c r="C2231" s="4" t="n">
        <v>42917</v>
      </c>
      <c r="D2231" s="5">
        <f>YEAR(C2231)</f>
        <v/>
      </c>
      <c r="E2231" s="5">
        <f>MONTH(C2231)</f>
        <v/>
      </c>
      <c r="F2231" s="38" t="inlineStr">
        <is>
          <t>33</t>
        </is>
      </c>
      <c r="G2231" s="38" t="inlineStr">
        <is>
          <t>MARIO P. FRUGIS - Z. OESTE (CPF 046.309.298-86)</t>
        </is>
      </c>
      <c r="H2231" s="38" t="inlineStr">
        <is>
          <t>COMISSAO</t>
        </is>
      </c>
      <c r="I2231" s="40" t="n">
        <v>10006.34</v>
      </c>
      <c r="J2231" s="40" t="n">
        <v>302.68</v>
      </c>
      <c r="K2231" s="6">
        <f>I2231-J2231</f>
        <v/>
      </c>
      <c r="L2231" s="6">
        <f>IF(H2231="DISTRATO",0,I2231)</f>
        <v/>
      </c>
    </row>
    <row r="2232">
      <c r="A2232" s="38" t="inlineStr">
        <is>
          <t>Contas a pagar - aba Comissões</t>
        </is>
      </c>
      <c r="B2232" s="39" t="n">
        <v>42993</v>
      </c>
      <c r="C2232" s="4" t="n">
        <v>42948</v>
      </c>
      <c r="D2232" s="5">
        <f>YEAR(C2232)</f>
        <v/>
      </c>
      <c r="E2232" s="5">
        <f>MONTH(C2232)</f>
        <v/>
      </c>
      <c r="F2232" s="38" t="inlineStr">
        <is>
          <t>34</t>
        </is>
      </c>
      <c r="G2232" s="38" t="inlineStr">
        <is>
          <t>MARIO P. FRUGIS - Z. OESTE (CPF 046.309.298-86)</t>
        </is>
      </c>
      <c r="H2232" s="38" t="inlineStr">
        <is>
          <t>COMISSAO</t>
        </is>
      </c>
      <c r="I2232" s="40" t="n">
        <v>13326.76</v>
      </c>
      <c r="J2232" s="40" t="n">
        <v>352.48</v>
      </c>
      <c r="K2232" s="6">
        <f>I2232-J2232</f>
        <v/>
      </c>
      <c r="L2232" s="6">
        <f>IF(H2232="DISTRATO",0,I2232)</f>
        <v/>
      </c>
    </row>
    <row r="2233">
      <c r="A2233" s="38" t="inlineStr">
        <is>
          <t>Contas a pagar - aba Comissões</t>
        </is>
      </c>
      <c r="B2233" s="39" t="n">
        <v>43023</v>
      </c>
      <c r="C2233" s="4" t="n">
        <v>42979</v>
      </c>
      <c r="D2233" s="5">
        <f>YEAR(C2233)</f>
        <v/>
      </c>
      <c r="E2233" s="5">
        <f>MONTH(C2233)</f>
        <v/>
      </c>
      <c r="F2233" s="38" t="inlineStr">
        <is>
          <t>68</t>
        </is>
      </c>
      <c r="G2233" s="38" t="inlineStr">
        <is>
          <t>MARIO P. FRUGIS - Z. OESTE (CPF 046.309.298-86)</t>
        </is>
      </c>
      <c r="H2233" s="38" t="inlineStr">
        <is>
          <t>COMISSAO</t>
        </is>
      </c>
      <c r="I2233" s="40" t="n">
        <v>6016.75</v>
      </c>
      <c r="J2233" s="40" t="n">
        <v>152.58</v>
      </c>
      <c r="K2233" s="6">
        <f>I2233-J2233</f>
        <v/>
      </c>
      <c r="L2233" s="6">
        <f>IF(H2233="DISTRATO",0,I2233)</f>
        <v/>
      </c>
    </row>
    <row r="2234">
      <c r="A2234" s="38" t="inlineStr">
        <is>
          <t>Contas a pagar - aba Comissões</t>
        </is>
      </c>
      <c r="B2234" s="39" t="n">
        <v>43054</v>
      </c>
      <c r="C2234" s="4" t="n">
        <v>43009</v>
      </c>
      <c r="D2234" s="5">
        <f>YEAR(C2234)</f>
        <v/>
      </c>
      <c r="E2234" s="5">
        <f>MONTH(C2234)</f>
        <v/>
      </c>
      <c r="F2234" s="38" t="inlineStr">
        <is>
          <t>69</t>
        </is>
      </c>
      <c r="G2234" s="38" t="inlineStr">
        <is>
          <t>MARIO P. FRUGIS - Z. OESTE (CPF 046.309.298-86)</t>
        </is>
      </c>
      <c r="H2234" s="38" t="inlineStr">
        <is>
          <t>COMISSAO</t>
        </is>
      </c>
      <c r="I2234" s="40" t="n">
        <v>17373.63</v>
      </c>
      <c r="J2234" s="40" t="n">
        <v>152.58</v>
      </c>
      <c r="K2234" s="6">
        <f>I2234-J2234</f>
        <v/>
      </c>
      <c r="L2234" s="6">
        <f>IF(H2234="DISTRATO",0,I2234)</f>
        <v/>
      </c>
    </row>
    <row r="2235">
      <c r="A2235" s="38" t="inlineStr">
        <is>
          <t>Contas a pagar - aba Comissões</t>
        </is>
      </c>
      <c r="B2235" s="39" t="n">
        <v>43084</v>
      </c>
      <c r="C2235" s="4" t="n">
        <v>43040</v>
      </c>
      <c r="D2235" s="5">
        <f>YEAR(C2235)</f>
        <v/>
      </c>
      <c r="E2235" s="5">
        <f>MONTH(C2235)</f>
        <v/>
      </c>
      <c r="F2235" s="38" t="inlineStr">
        <is>
          <t>130</t>
        </is>
      </c>
      <c r="G2235" s="38" t="inlineStr">
        <is>
          <t>MARIO P. FRUGIS - Z. OESTE (CPF 046.309.298-86)</t>
        </is>
      </c>
      <c r="H2235" s="38" t="inlineStr">
        <is>
          <t>COMISSAO</t>
        </is>
      </c>
      <c r="I2235" s="40" t="n">
        <v>141.58</v>
      </c>
      <c r="J2235" s="40" t="n">
        <v>0</v>
      </c>
      <c r="K2235" s="6">
        <f>I2235-J2235</f>
        <v/>
      </c>
      <c r="L2235" s="6">
        <f>IF(H2235="DISTRATO",0,I2235)</f>
        <v/>
      </c>
    </row>
    <row r="2236">
      <c r="A2236" s="38" t="inlineStr">
        <is>
          <t>Contas a pagar - aba Comissões</t>
        </is>
      </c>
      <c r="B2236" s="39" t="n">
        <v>43084</v>
      </c>
      <c r="C2236" s="4" t="n">
        <v>43040</v>
      </c>
      <c r="D2236" s="5">
        <f>YEAR(C2236)</f>
        <v/>
      </c>
      <c r="E2236" s="5">
        <f>MONTH(C2236)</f>
        <v/>
      </c>
      <c r="F2236" s="38" t="inlineStr">
        <is>
          <t>70</t>
        </is>
      </c>
      <c r="G2236" s="38" t="inlineStr">
        <is>
          <t>MARIO P. FRUGIS - Z. OESTE (CPF 046.309.298-86)</t>
        </is>
      </c>
      <c r="H2236" s="38" t="inlineStr">
        <is>
          <t>COMISSAO</t>
        </is>
      </c>
      <c r="I2236" s="40" t="n">
        <v>27452.2</v>
      </c>
      <c r="J2236" s="40" t="n">
        <v>152.58</v>
      </c>
      <c r="K2236" s="6">
        <f>I2236-J2236</f>
        <v/>
      </c>
      <c r="L2236" s="6">
        <f>IF(H2236="DISTRATO",0,I2236)</f>
        <v/>
      </c>
    </row>
    <row r="2237">
      <c r="A2237" s="38" t="inlineStr">
        <is>
          <t>Contas a pagar - aba Comissões</t>
        </is>
      </c>
      <c r="B2237" s="39" t="n">
        <v>43116</v>
      </c>
      <c r="C2237" s="4" t="n">
        <v>43070</v>
      </c>
      <c r="D2237" s="5">
        <f>YEAR(C2237)</f>
        <v/>
      </c>
      <c r="E2237" s="5">
        <f>MONTH(C2237)</f>
        <v/>
      </c>
      <c r="F2237" s="38" t="inlineStr">
        <is>
          <t>71</t>
        </is>
      </c>
      <c r="G2237" s="38" t="inlineStr">
        <is>
          <t>FRUGIS REPRESENTACOES LTDA (CNPJ 11.989.186/0001-70)</t>
        </is>
      </c>
      <c r="H2237" s="38" t="inlineStr">
        <is>
          <t>COMISSAO</t>
        </is>
      </c>
      <c r="I2237" s="40" t="n">
        <v>12809.08</v>
      </c>
      <c r="J2237" s="40" t="n">
        <v>0</v>
      </c>
      <c r="K2237" s="6">
        <f>I2237-J2237</f>
        <v/>
      </c>
      <c r="L2237" s="6">
        <f>IF(H2237="DISTRATO",0,I2237)</f>
        <v/>
      </c>
    </row>
    <row r="2238">
      <c r="A2238" s="38" t="inlineStr">
        <is>
          <t>Contas a pagar - aba Comissões</t>
        </is>
      </c>
      <c r="B2238" s="39" t="n">
        <v>43146</v>
      </c>
      <c r="C2238" s="4" t="n">
        <v>43101</v>
      </c>
      <c r="D2238" s="5">
        <f>YEAR(C2238)</f>
        <v/>
      </c>
      <c r="E2238" s="5">
        <f>MONTH(C2238)</f>
        <v/>
      </c>
      <c r="F2238" s="38" t="inlineStr">
        <is>
          <t>72</t>
        </is>
      </c>
      <c r="G2238" s="38" t="inlineStr">
        <is>
          <t>FRUGIS REPRESENTACOES LTDA (CNPJ 11.989.186/0001-70)</t>
        </is>
      </c>
      <c r="H2238" s="38" t="inlineStr">
        <is>
          <t>COMISSAO</t>
        </is>
      </c>
      <c r="I2238" s="40" t="n">
        <v>15281.8</v>
      </c>
      <c r="J2238" s="40" t="n">
        <v>152.58</v>
      </c>
      <c r="K2238" s="6">
        <f>I2238-J2238</f>
        <v/>
      </c>
      <c r="L2238" s="6">
        <f>IF(H2238="DISTRATO",0,I2238)</f>
        <v/>
      </c>
    </row>
    <row r="2239">
      <c r="A2239" s="38" t="inlineStr">
        <is>
          <t>Contas a pagar - aba Comissões</t>
        </is>
      </c>
      <c r="B2239" s="39" t="n">
        <v>43178</v>
      </c>
      <c r="C2239" s="4" t="n">
        <v>43132</v>
      </c>
      <c r="D2239" s="5">
        <f>YEAR(C2239)</f>
        <v/>
      </c>
      <c r="E2239" s="5">
        <f>MONTH(C2239)</f>
        <v/>
      </c>
      <c r="F2239" s="38" t="inlineStr">
        <is>
          <t>73</t>
        </is>
      </c>
      <c r="G2239" s="38" t="inlineStr">
        <is>
          <t>FRUGIS REPRESENTACOES LTDA (CNPJ 11.989.186/0001-70)</t>
        </is>
      </c>
      <c r="H2239" s="38" t="inlineStr">
        <is>
          <t>COMISSAO</t>
        </is>
      </c>
      <c r="I2239" s="40" t="n">
        <v>13060.72</v>
      </c>
      <c r="J2239" s="40" t="n">
        <v>152.58</v>
      </c>
      <c r="K2239" s="6">
        <f>I2239-J2239</f>
        <v/>
      </c>
      <c r="L2239" s="6">
        <f>IF(H2239="DISTRATO",0,I2239)</f>
        <v/>
      </c>
    </row>
    <row r="2240">
      <c r="A2240" s="38" t="inlineStr">
        <is>
          <t>Contas a pagar - aba Comissões</t>
        </is>
      </c>
      <c r="B2240" s="39" t="n">
        <v>43205</v>
      </c>
      <c r="C2240" s="4" t="n">
        <v>43160</v>
      </c>
      <c r="D2240" s="5">
        <f>YEAR(C2240)</f>
        <v/>
      </c>
      <c r="E2240" s="5">
        <f>MONTH(C2240)</f>
        <v/>
      </c>
      <c r="F2240" s="38" t="inlineStr">
        <is>
          <t>74</t>
        </is>
      </c>
      <c r="G2240" s="38" t="inlineStr">
        <is>
          <t>FRUGIS REPRESENTACOES LTDA (CNPJ 11.989.186/0001-70)</t>
        </is>
      </c>
      <c r="H2240" s="38" t="inlineStr">
        <is>
          <t>COMISSAO</t>
        </is>
      </c>
      <c r="I2240" s="40" t="n">
        <v>14737.8</v>
      </c>
      <c r="J2240" s="40" t="n">
        <v>0</v>
      </c>
      <c r="K2240" s="6">
        <f>I2240-J2240</f>
        <v/>
      </c>
      <c r="L2240" s="6">
        <f>IF(H2240="DISTRATO",0,I2240)</f>
        <v/>
      </c>
    </row>
    <row r="2241">
      <c r="A2241" s="38" t="inlineStr">
        <is>
          <t>Contas a pagar - aba Comissões</t>
        </is>
      </c>
      <c r="B2241" s="39" t="n">
        <v>43235</v>
      </c>
      <c r="C2241" s="4" t="n">
        <v>43191</v>
      </c>
      <c r="D2241" s="5">
        <f>YEAR(C2241)</f>
        <v/>
      </c>
      <c r="E2241" s="5">
        <f>MONTH(C2241)</f>
        <v/>
      </c>
      <c r="F2241" s="38" t="inlineStr">
        <is>
          <t>75</t>
        </is>
      </c>
      <c r="G2241" s="38" t="inlineStr">
        <is>
          <t>FRUGIS REPRESENTACOES LTDA (CNPJ 11.989.186/0001-70)</t>
        </is>
      </c>
      <c r="H2241" s="38" t="inlineStr">
        <is>
          <t>COMISSAO</t>
        </is>
      </c>
      <c r="I2241" s="40" t="n">
        <v>11470.52</v>
      </c>
      <c r="J2241" s="40" t="n">
        <v>0</v>
      </c>
      <c r="K2241" s="6">
        <f>I2241-J2241</f>
        <v/>
      </c>
      <c r="L2241" s="6">
        <f>IF(H2241="DISTRATO",0,I2241)</f>
        <v/>
      </c>
    </row>
    <row r="2242">
      <c r="A2242" s="38" t="inlineStr">
        <is>
          <t>Contas a pagar - aba Comissões</t>
        </is>
      </c>
      <c r="B2242" s="39" t="n">
        <v>43266</v>
      </c>
      <c r="C2242" s="4" t="n">
        <v>43221</v>
      </c>
      <c r="D2242" s="5">
        <f>YEAR(C2242)</f>
        <v/>
      </c>
      <c r="E2242" s="5">
        <f>MONTH(C2242)</f>
        <v/>
      </c>
      <c r="F2242" s="38" t="inlineStr">
        <is>
          <t>76</t>
        </is>
      </c>
      <c r="G2242" s="38" t="inlineStr">
        <is>
          <t>FRUGIS REPRESENTACOES LTDA (CNPJ 11.989.186/0001-70)</t>
        </is>
      </c>
      <c r="H2242" s="38" t="inlineStr">
        <is>
          <t>COMISSAO</t>
        </is>
      </c>
      <c r="I2242" s="40" t="n">
        <v>10022.26</v>
      </c>
      <c r="J2242" s="40" t="n">
        <v>152.58</v>
      </c>
      <c r="K2242" s="6">
        <f>I2242-J2242</f>
        <v/>
      </c>
      <c r="L2242" s="6">
        <f>IF(H2242="DISTRATO",0,I2242)</f>
        <v/>
      </c>
    </row>
    <row r="2243">
      <c r="A2243" s="38" t="inlineStr">
        <is>
          <t>Contas a pagar - aba Comissões</t>
        </is>
      </c>
      <c r="B2243" s="39" t="n">
        <v>43296</v>
      </c>
      <c r="C2243" s="4" t="n">
        <v>43252</v>
      </c>
      <c r="D2243" s="5">
        <f>YEAR(C2243)</f>
        <v/>
      </c>
      <c r="E2243" s="5">
        <f>MONTH(C2243)</f>
        <v/>
      </c>
      <c r="F2243" s="38" t="inlineStr">
        <is>
          <t>77</t>
        </is>
      </c>
      <c r="G2243" s="38" t="inlineStr">
        <is>
          <t>FRUGIS REPRESENTACOES LTDA (CNPJ 11.989.186/0001-70)</t>
        </is>
      </c>
      <c r="H2243" s="38" t="inlineStr">
        <is>
          <t>COMISSAO</t>
        </is>
      </c>
      <c r="I2243" s="40" t="n">
        <v>24849.62</v>
      </c>
      <c r="J2243" s="40" t="n">
        <v>152.58</v>
      </c>
      <c r="K2243" s="6">
        <f>I2243-J2243</f>
        <v/>
      </c>
      <c r="L2243" s="6">
        <f>IF(H2243="DISTRATO",0,I2243)</f>
        <v/>
      </c>
    </row>
    <row r="2244">
      <c r="A2244" s="38" t="inlineStr">
        <is>
          <t>Contas a pagar - aba Comissões</t>
        </is>
      </c>
      <c r="B2244" s="39" t="n">
        <v>43327</v>
      </c>
      <c r="C2244" s="4" t="n">
        <v>43282</v>
      </c>
      <c r="D2244" s="5">
        <f>YEAR(C2244)</f>
        <v/>
      </c>
      <c r="E2244" s="5">
        <f>MONTH(C2244)</f>
        <v/>
      </c>
      <c r="F2244" s="38" t="inlineStr">
        <is>
          <t>78</t>
        </is>
      </c>
      <c r="G2244" s="38" t="inlineStr">
        <is>
          <t>FRUGIS REPRESENTACOES LTDA (CNPJ 11.989.186/0001-70)</t>
        </is>
      </c>
      <c r="H2244" s="38" t="inlineStr">
        <is>
          <t>COMISSAO</t>
        </is>
      </c>
      <c r="I2244" s="40" t="n">
        <v>28765.55</v>
      </c>
      <c r="J2244" s="40" t="n">
        <v>152.58</v>
      </c>
      <c r="K2244" s="6">
        <f>I2244-J2244</f>
        <v/>
      </c>
      <c r="L2244" s="6">
        <f>IF(H2244="DISTRATO",0,I2244)</f>
        <v/>
      </c>
    </row>
    <row r="2245">
      <c r="A2245" s="38" t="inlineStr">
        <is>
          <t>Contas a pagar - aba Comissões</t>
        </is>
      </c>
      <c r="B2245" s="39" t="n">
        <v>43358</v>
      </c>
      <c r="C2245" s="4" t="n">
        <v>43313</v>
      </c>
      <c r="D2245" s="5">
        <f>YEAR(C2245)</f>
        <v/>
      </c>
      <c r="E2245" s="5">
        <f>MONTH(C2245)</f>
        <v/>
      </c>
      <c r="F2245" s="38" t="inlineStr">
        <is>
          <t>79</t>
        </is>
      </c>
      <c r="G2245" s="38" t="inlineStr">
        <is>
          <t>FRUGIS REPRESENTACOES LTDA (CNPJ 11.989.186/0001-70)</t>
        </is>
      </c>
      <c r="H2245" s="38" t="inlineStr">
        <is>
          <t>COMISSAO</t>
        </is>
      </c>
      <c r="I2245" s="40" t="n">
        <v>10458.31</v>
      </c>
      <c r="J2245" s="40" t="n">
        <v>152.58</v>
      </c>
      <c r="K2245" s="6">
        <f>I2245-J2245</f>
        <v/>
      </c>
      <c r="L2245" s="6">
        <f>IF(H2245="DISTRATO",0,I2245)</f>
        <v/>
      </c>
    </row>
    <row r="2246">
      <c r="A2246" s="38" t="inlineStr">
        <is>
          <t>Contas a pagar - aba Comissões</t>
        </is>
      </c>
      <c r="B2246" s="39" t="n">
        <v>43388</v>
      </c>
      <c r="C2246" s="4" t="n">
        <v>43344</v>
      </c>
      <c r="D2246" s="5">
        <f>YEAR(C2246)</f>
        <v/>
      </c>
      <c r="E2246" s="5">
        <f>MONTH(C2246)</f>
        <v/>
      </c>
      <c r="F2246" s="38" t="inlineStr">
        <is>
          <t>80</t>
        </is>
      </c>
      <c r="G2246" s="38" t="inlineStr">
        <is>
          <t>FRUGIS REPRESENTACOES LTDA (CNPJ 11.989.186/0001-70)</t>
        </is>
      </c>
      <c r="H2246" s="38" t="inlineStr">
        <is>
          <t>COMISSAO</t>
        </is>
      </c>
      <c r="I2246" s="40" t="n">
        <v>27371.96</v>
      </c>
      <c r="J2246" s="40" t="n">
        <v>152.58</v>
      </c>
      <c r="K2246" s="6">
        <f>I2246-J2246</f>
        <v/>
      </c>
      <c r="L2246" s="6">
        <f>IF(H2246="DISTRATO",0,I2246)</f>
        <v/>
      </c>
    </row>
    <row r="2247">
      <c r="A2247" s="38" t="inlineStr">
        <is>
          <t>Contas a pagar - aba Comissões</t>
        </is>
      </c>
      <c r="B2247" s="39" t="n">
        <v>43390</v>
      </c>
      <c r="C2247" s="4" t="n">
        <v>43344</v>
      </c>
      <c r="D2247" s="5">
        <f>YEAR(C2247)</f>
        <v/>
      </c>
      <c r="E2247" s="5">
        <f>MONTH(C2247)</f>
        <v/>
      </c>
      <c r="F2247" s="38" t="inlineStr">
        <is>
          <t>81</t>
        </is>
      </c>
      <c r="G2247" s="38" t="inlineStr">
        <is>
          <t>FRUGIS REPRESENTACOES LTDA (CNPJ 11.989.186/0001-70)</t>
        </is>
      </c>
      <c r="H2247" s="38" t="inlineStr">
        <is>
          <t>PREMIO</t>
        </is>
      </c>
      <c r="I2247" s="40" t="n">
        <v>1000</v>
      </c>
      <c r="J2247" s="40" t="n">
        <v>0</v>
      </c>
      <c r="K2247" s="6">
        <f>I2247-J2247</f>
        <v/>
      </c>
      <c r="L2247" s="6">
        <f>IF(H2247="DISTRATO",0,I2247)</f>
        <v/>
      </c>
    </row>
    <row r="2248">
      <c r="A2248" s="38" t="inlineStr">
        <is>
          <t>Contas a pagar - aba Comissões</t>
        </is>
      </c>
      <c r="B2248" s="39" t="n">
        <v>43419</v>
      </c>
      <c r="C2248" s="4" t="n">
        <v>43374</v>
      </c>
      <c r="D2248" s="5">
        <f>YEAR(C2248)</f>
        <v/>
      </c>
      <c r="E2248" s="5">
        <f>MONTH(C2248)</f>
        <v/>
      </c>
      <c r="F2248" s="38" t="inlineStr">
        <is>
          <t>82</t>
        </is>
      </c>
      <c r="G2248" s="38" t="inlineStr">
        <is>
          <t>FRUGIS REPRESENTACOES LTDA (CNPJ 11.989.186/0001-70)</t>
        </is>
      </c>
      <c r="H2248" s="38" t="inlineStr">
        <is>
          <t>COMISSAO</t>
        </is>
      </c>
      <c r="I2248" s="40" t="n">
        <v>13833.33</v>
      </c>
      <c r="J2248" s="40" t="n">
        <v>152.58</v>
      </c>
      <c r="K2248" s="6">
        <f>I2248-J2248</f>
        <v/>
      </c>
      <c r="L2248" s="6">
        <f>IF(H2248="DISTRATO",0,I2248)</f>
        <v/>
      </c>
    </row>
    <row r="2249">
      <c r="A2249" s="38" t="inlineStr">
        <is>
          <t>Contas a pagar - aba Comissões</t>
        </is>
      </c>
      <c r="B2249" s="39" t="n">
        <v>43449</v>
      </c>
      <c r="C2249" s="4" t="n">
        <v>43405</v>
      </c>
      <c r="D2249" s="5">
        <f>YEAR(C2249)</f>
        <v/>
      </c>
      <c r="E2249" s="5">
        <f>MONTH(C2249)</f>
        <v/>
      </c>
      <c r="F2249" s="38" t="inlineStr">
        <is>
          <t>83</t>
        </is>
      </c>
      <c r="G2249" s="38" t="inlineStr">
        <is>
          <t>FRUGIS REPRESENTACOES LTDA (CNPJ 11.989.186/0001-70)</t>
        </is>
      </c>
      <c r="H2249" s="38" t="inlineStr">
        <is>
          <t>COMISSAO</t>
        </is>
      </c>
      <c r="I2249" s="40" t="n">
        <v>12272.46</v>
      </c>
      <c r="J2249" s="40" t="n">
        <v>152.58</v>
      </c>
      <c r="K2249" s="6">
        <f>I2249-J2249</f>
        <v/>
      </c>
      <c r="L2249" s="6">
        <f>IF(H2249="DISTRATO",0,I2249)</f>
        <v/>
      </c>
    </row>
    <row r="2250">
      <c r="A2250" s="38" t="inlineStr">
        <is>
          <t>Contas a pagar - aba Comissões</t>
        </is>
      </c>
      <c r="B2250" s="39" t="n">
        <v>43480</v>
      </c>
      <c r="C2250" s="4" t="n">
        <v>43435</v>
      </c>
      <c r="D2250" s="5">
        <f>YEAR(C2250)</f>
        <v/>
      </c>
      <c r="E2250" s="5">
        <f>MONTH(C2250)</f>
        <v/>
      </c>
      <c r="F2250" s="38" t="inlineStr">
        <is>
          <t>84</t>
        </is>
      </c>
      <c r="G2250" s="38" t="inlineStr">
        <is>
          <t>FRUGIS REPRESENTACOES LTDA (CNPJ 11.989.186/0001-70)</t>
        </is>
      </c>
      <c r="H2250" s="38" t="inlineStr">
        <is>
          <t>COMISSAO</t>
        </is>
      </c>
      <c r="I2250" s="40" t="n">
        <v>15459.74</v>
      </c>
      <c r="J2250" s="40" t="n">
        <v>0</v>
      </c>
      <c r="K2250" s="6">
        <f>I2250-J2250</f>
        <v/>
      </c>
      <c r="L2250" s="6">
        <f>IF(H2250="DISTRATO",0,I2250)</f>
        <v/>
      </c>
    </row>
    <row r="2251">
      <c r="A2251" s="38" t="inlineStr">
        <is>
          <t>Contas a pagar - aba Comissões</t>
        </is>
      </c>
      <c r="B2251" s="39" t="n">
        <v>43511</v>
      </c>
      <c r="C2251" s="4" t="n">
        <v>43466</v>
      </c>
      <c r="D2251" s="5">
        <f>YEAR(C2251)</f>
        <v/>
      </c>
      <c r="E2251" s="5">
        <f>MONTH(C2251)</f>
        <v/>
      </c>
      <c r="F2251" s="38" t="inlineStr">
        <is>
          <t>85</t>
        </is>
      </c>
      <c r="G2251" s="38" t="inlineStr">
        <is>
          <t>FRUGIS REPRESENTACOES LTDA (CNPJ 11.989.186/0001-70)</t>
        </is>
      </c>
      <c r="H2251" s="38" t="inlineStr">
        <is>
          <t>COMISSAO</t>
        </is>
      </c>
      <c r="I2251" s="40" t="n">
        <v>27130.27</v>
      </c>
      <c r="J2251" s="40" t="n">
        <v>152.58</v>
      </c>
      <c r="K2251" s="6">
        <f>I2251-J2251</f>
        <v/>
      </c>
      <c r="L2251" s="6">
        <f>IF(H2251="DISTRATO",0,I2251)</f>
        <v/>
      </c>
    </row>
    <row r="2252">
      <c r="A2252" s="38" t="inlineStr">
        <is>
          <t>Contas a pagar - aba Comissões</t>
        </is>
      </c>
      <c r="B2252" s="39" t="n">
        <v>43539</v>
      </c>
      <c r="C2252" s="4" t="n">
        <v>43497</v>
      </c>
      <c r="D2252" s="5">
        <f>YEAR(C2252)</f>
        <v/>
      </c>
      <c r="E2252" s="5">
        <f>MONTH(C2252)</f>
        <v/>
      </c>
      <c r="F2252" s="38" t="inlineStr">
        <is>
          <t>86</t>
        </is>
      </c>
      <c r="G2252" s="38" t="inlineStr">
        <is>
          <t>FRUGIS REPRESENTACOES LTDA (CNPJ 11.989.186/0001-70)</t>
        </is>
      </c>
      <c r="H2252" s="38" t="inlineStr">
        <is>
          <t>COMISSAO</t>
        </is>
      </c>
      <c r="I2252" s="40" t="n">
        <v>18462.31</v>
      </c>
      <c r="J2252" s="40" t="n">
        <v>152.58</v>
      </c>
      <c r="K2252" s="6">
        <f>I2252-J2252</f>
        <v/>
      </c>
      <c r="L2252" s="6">
        <f>IF(H2252="DISTRATO",0,I2252)</f>
        <v/>
      </c>
    </row>
    <row r="2253">
      <c r="A2253" s="38" t="inlineStr">
        <is>
          <t>Contas a pagar - aba Comissões</t>
        </is>
      </c>
      <c r="B2253" s="39" t="n">
        <v>43570</v>
      </c>
      <c r="C2253" s="4" t="n">
        <v>43525</v>
      </c>
      <c r="D2253" s="5">
        <f>YEAR(C2253)</f>
        <v/>
      </c>
      <c r="E2253" s="5">
        <f>MONTH(C2253)</f>
        <v/>
      </c>
      <c r="F2253" s="38" t="inlineStr">
        <is>
          <t>87</t>
        </is>
      </c>
      <c r="G2253" s="38" t="inlineStr">
        <is>
          <t>FRUGIS REPRESENTACOES LTDA (CNPJ 11.989.186/0001-70)</t>
        </is>
      </c>
      <c r="H2253" s="38" t="inlineStr">
        <is>
          <t>COMISSAO</t>
        </is>
      </c>
      <c r="I2253" s="40" t="n">
        <v>14029.01</v>
      </c>
      <c r="J2253" s="40" t="n">
        <v>152.58</v>
      </c>
      <c r="K2253" s="6">
        <f>I2253-J2253</f>
        <v/>
      </c>
      <c r="L2253" s="6">
        <f>IF(H2253="DISTRATO",0,I2253)</f>
        <v/>
      </c>
    </row>
    <row r="2254">
      <c r="A2254" s="38" t="inlineStr">
        <is>
          <t>Contas a pagar - aba Comissões</t>
        </is>
      </c>
      <c r="B2254" s="39" t="n">
        <v>43600</v>
      </c>
      <c r="C2254" s="4" t="n">
        <v>43556</v>
      </c>
      <c r="D2254" s="5">
        <f>YEAR(C2254)</f>
        <v/>
      </c>
      <c r="E2254" s="5">
        <f>MONTH(C2254)</f>
        <v/>
      </c>
      <c r="F2254" s="38" t="inlineStr">
        <is>
          <t>88</t>
        </is>
      </c>
      <c r="G2254" s="38" t="inlineStr">
        <is>
          <t>FRUGIS REPRESENTACOES LTDA (CNPJ 11.989.186/0001-70)</t>
        </is>
      </c>
      <c r="H2254" s="38" t="inlineStr">
        <is>
          <t>COMISSAO</t>
        </is>
      </c>
      <c r="I2254" s="40" t="n">
        <v>20855.78</v>
      </c>
      <c r="J2254" s="40" t="n">
        <v>152.58</v>
      </c>
      <c r="K2254" s="6">
        <f>I2254-J2254</f>
        <v/>
      </c>
      <c r="L2254" s="6">
        <f>IF(H2254="DISTRATO",0,I2254)</f>
        <v/>
      </c>
    </row>
    <row r="2255">
      <c r="A2255" s="38" t="inlineStr">
        <is>
          <t>Contas a pagar - aba Comissões</t>
        </is>
      </c>
      <c r="B2255" s="39" t="n">
        <v>43606</v>
      </c>
      <c r="C2255" s="4" t="n">
        <v>43556</v>
      </c>
      <c r="D2255" s="5">
        <f>YEAR(C2255)</f>
        <v/>
      </c>
      <c r="E2255" s="5">
        <f>MONTH(C2255)</f>
        <v/>
      </c>
      <c r="F2255" s="38" t="inlineStr">
        <is>
          <t>89</t>
        </is>
      </c>
      <c r="G2255" s="38" t="inlineStr">
        <is>
          <t>FRUGIS REPRESENTACOES LTDA (CNPJ 11.989.186/0001-70)</t>
        </is>
      </c>
      <c r="H2255" s="38" t="inlineStr">
        <is>
          <t>PREMIO</t>
        </is>
      </c>
      <c r="I2255" s="40" t="n">
        <v>378</v>
      </c>
      <c r="J2255" s="40" t="n">
        <v>0</v>
      </c>
      <c r="K2255" s="6">
        <f>I2255-J2255</f>
        <v/>
      </c>
      <c r="L2255" s="6">
        <f>IF(H2255="DISTRATO",0,I2255)</f>
        <v/>
      </c>
    </row>
    <row r="2256">
      <c r="A2256" s="38" t="inlineStr">
        <is>
          <t>Contas a pagar - aba Comissões</t>
        </is>
      </c>
      <c r="B2256" s="39" t="n">
        <v>43631</v>
      </c>
      <c r="C2256" s="4" t="n">
        <v>43586</v>
      </c>
      <c r="D2256" s="5">
        <f>YEAR(C2256)</f>
        <v/>
      </c>
      <c r="E2256" s="5">
        <f>MONTH(C2256)</f>
        <v/>
      </c>
      <c r="F2256" s="38" t="inlineStr">
        <is>
          <t>90</t>
        </is>
      </c>
      <c r="G2256" s="38" t="inlineStr">
        <is>
          <t>FRUGIS REPRESENTACOES LTDA (CNPJ 11.989.186/0001-70)</t>
        </is>
      </c>
      <c r="H2256" s="38" t="inlineStr">
        <is>
          <t>COMISSAO</t>
        </is>
      </c>
      <c r="I2256" s="40" t="n">
        <v>17526.25</v>
      </c>
      <c r="J2256" s="40" t="n">
        <v>212.36</v>
      </c>
      <c r="K2256" s="6">
        <f>I2256-J2256</f>
        <v/>
      </c>
      <c r="L2256" s="6">
        <f>IF(H2256="DISTRATO",0,I2256)</f>
        <v/>
      </c>
    </row>
    <row r="2257">
      <c r="A2257" s="38" t="inlineStr">
        <is>
          <t>Contas a pagar - aba Comissões</t>
        </is>
      </c>
      <c r="B2257" s="39" t="n">
        <v>43661</v>
      </c>
      <c r="C2257" s="4" t="n">
        <v>43617</v>
      </c>
      <c r="D2257" s="5">
        <f>YEAR(C2257)</f>
        <v/>
      </c>
      <c r="E2257" s="5">
        <f>MONTH(C2257)</f>
        <v/>
      </c>
      <c r="F2257" s="38" t="inlineStr">
        <is>
          <t>91</t>
        </is>
      </c>
      <c r="G2257" s="38" t="inlineStr">
        <is>
          <t>FRUGIS REPRESENTACOES LTDA (CNPJ 11.989.186/0001-70)</t>
        </is>
      </c>
      <c r="H2257" s="38" t="inlineStr">
        <is>
          <t>COMISSAO</t>
        </is>
      </c>
      <c r="I2257" s="40" t="n">
        <v>17259.12</v>
      </c>
      <c r="J2257" s="40" t="n">
        <v>212.36</v>
      </c>
      <c r="K2257" s="6">
        <f>I2257-J2257</f>
        <v/>
      </c>
      <c r="L2257" s="6">
        <f>IF(H2257="DISTRATO",0,I2257)</f>
        <v/>
      </c>
    </row>
    <row r="2258">
      <c r="A2258" s="38" t="inlineStr">
        <is>
          <t>Contas a pagar - aba Comissões</t>
        </is>
      </c>
      <c r="B2258" s="39" t="n">
        <v>43692</v>
      </c>
      <c r="C2258" s="4" t="n">
        <v>43647</v>
      </c>
      <c r="D2258" s="5">
        <f>YEAR(C2258)</f>
        <v/>
      </c>
      <c r="E2258" s="5">
        <f>MONTH(C2258)</f>
        <v/>
      </c>
      <c r="F2258" s="38" t="inlineStr">
        <is>
          <t>92</t>
        </is>
      </c>
      <c r="G2258" s="38" t="inlineStr">
        <is>
          <t>FRUGIS REPRESENTACOES LTDA (CNPJ 11.989.186/0001-70)</t>
        </is>
      </c>
      <c r="H2258" s="38" t="inlineStr">
        <is>
          <t>COMISSAO</t>
        </is>
      </c>
      <c r="I2258" s="40" t="n">
        <v>15429.02</v>
      </c>
      <c r="J2258" s="40" t="n">
        <v>212.36</v>
      </c>
      <c r="K2258" s="6">
        <f>I2258-J2258</f>
        <v/>
      </c>
      <c r="L2258" s="6">
        <f>IF(H2258="DISTRATO",0,I2258)</f>
        <v/>
      </c>
    </row>
    <row r="2259">
      <c r="A2259" s="38" t="inlineStr">
        <is>
          <t>Contas a pagar - aba Comissões</t>
        </is>
      </c>
      <c r="B2259" s="39" t="n">
        <v>43724</v>
      </c>
      <c r="C2259" s="4" t="n">
        <v>43678</v>
      </c>
      <c r="D2259" s="5">
        <f>YEAR(C2259)</f>
        <v/>
      </c>
      <c r="E2259" s="5">
        <f>MONTH(C2259)</f>
        <v/>
      </c>
      <c r="F2259" s="38" t="inlineStr">
        <is>
          <t>93</t>
        </is>
      </c>
      <c r="G2259" s="38" t="inlineStr">
        <is>
          <t>FRUGIS REPRESENTACOES LTDA (CNPJ 11.989.186/0001-70)</t>
        </is>
      </c>
      <c r="H2259" s="38" t="inlineStr">
        <is>
          <t>COMISSAO</t>
        </is>
      </c>
      <c r="I2259" s="40" t="n">
        <v>8014.05</v>
      </c>
      <c r="J2259" s="40" t="n">
        <v>212.36</v>
      </c>
      <c r="K2259" s="6">
        <f>I2259-J2259</f>
        <v/>
      </c>
      <c r="L2259" s="6">
        <f>IF(H2259="DISTRATO",0,I2259)</f>
        <v/>
      </c>
    </row>
    <row r="2260">
      <c r="A2260" s="38" t="inlineStr">
        <is>
          <t>Contas a pagar - aba Comissões</t>
        </is>
      </c>
      <c r="B2260" s="39" t="n">
        <v>43753</v>
      </c>
      <c r="C2260" s="4" t="n">
        <v>43709</v>
      </c>
      <c r="D2260" s="5">
        <f>YEAR(C2260)</f>
        <v/>
      </c>
      <c r="E2260" s="5">
        <f>MONTH(C2260)</f>
        <v/>
      </c>
      <c r="F2260" s="38" t="inlineStr">
        <is>
          <t>94</t>
        </is>
      </c>
      <c r="G2260" s="38" t="inlineStr">
        <is>
          <t>FRUGIS REPRESENTACOES LTDA (CNPJ 11.989.186/0001-70)</t>
        </is>
      </c>
      <c r="H2260" s="38" t="inlineStr">
        <is>
          <t>COMISSAO</t>
        </is>
      </c>
      <c r="I2260" s="40" t="n">
        <v>31375.59</v>
      </c>
      <c r="J2260" s="40" t="n">
        <v>212.36</v>
      </c>
      <c r="K2260" s="6">
        <f>I2260-J2260</f>
        <v/>
      </c>
      <c r="L2260" s="6">
        <f>IF(H2260="DISTRATO",0,I2260)</f>
        <v/>
      </c>
    </row>
    <row r="2261">
      <c r="A2261" s="38" t="inlineStr">
        <is>
          <t>Contas a pagar - aba Comissões</t>
        </is>
      </c>
      <c r="B2261" s="39" t="n">
        <v>43784</v>
      </c>
      <c r="C2261" s="4" t="n">
        <v>43739</v>
      </c>
      <c r="D2261" s="5">
        <f>YEAR(C2261)</f>
        <v/>
      </c>
      <c r="E2261" s="5">
        <f>MONTH(C2261)</f>
        <v/>
      </c>
      <c r="F2261" s="38" t="inlineStr">
        <is>
          <t>95</t>
        </is>
      </c>
      <c r="G2261" s="38" t="inlineStr">
        <is>
          <t>FRUGIS REPRESENTACOES LTDA (CNPJ 11.989.186/0001-70)</t>
        </is>
      </c>
      <c r="H2261" s="38" t="inlineStr">
        <is>
          <t>COMISSAO</t>
        </is>
      </c>
      <c r="I2261" s="40" t="n">
        <v>24170.86</v>
      </c>
      <c r="J2261" s="40" t="n">
        <v>212.36</v>
      </c>
      <c r="K2261" s="6">
        <f>I2261-J2261</f>
        <v/>
      </c>
      <c r="L2261" s="6">
        <f>IF(H2261="DISTRATO",0,I2261)</f>
        <v/>
      </c>
    </row>
    <row r="2262">
      <c r="A2262" s="38" t="inlineStr">
        <is>
          <t>Contas a pagar - aba Comissões</t>
        </is>
      </c>
      <c r="B2262" s="39" t="n">
        <v>43814</v>
      </c>
      <c r="C2262" s="4" t="n">
        <v>43770</v>
      </c>
      <c r="D2262" s="5">
        <f>YEAR(C2262)</f>
        <v/>
      </c>
      <c r="E2262" s="5">
        <f>MONTH(C2262)</f>
        <v/>
      </c>
      <c r="F2262" s="38" t="inlineStr">
        <is>
          <t>96</t>
        </is>
      </c>
      <c r="G2262" s="38" t="inlineStr">
        <is>
          <t>FRUGIS REPRESENTACOES LTDA (CNPJ 11.989.186/0001-70)</t>
        </is>
      </c>
      <c r="H2262" s="38" t="inlineStr">
        <is>
          <t>COMISSAO</t>
        </is>
      </c>
      <c r="I2262" s="40" t="n">
        <v>37474.07</v>
      </c>
      <c r="J2262" s="40" t="n">
        <v>212.36</v>
      </c>
      <c r="K2262" s="6">
        <f>I2262-J2262</f>
        <v/>
      </c>
      <c r="L2262" s="6">
        <f>IF(H2262="DISTRATO",0,I2262)</f>
        <v/>
      </c>
    </row>
    <row r="2263">
      <c r="A2263" s="38" t="inlineStr">
        <is>
          <t>Contas a pagar - aba Comissões</t>
        </is>
      </c>
      <c r="B2263" s="39" t="n">
        <v>43845</v>
      </c>
      <c r="C2263" s="4" t="n">
        <v>43800</v>
      </c>
      <c r="D2263" s="5">
        <f>YEAR(C2263)</f>
        <v/>
      </c>
      <c r="E2263" s="5">
        <f>MONTH(C2263)</f>
        <v/>
      </c>
      <c r="F2263" s="38" t="inlineStr">
        <is>
          <t>97</t>
        </is>
      </c>
      <c r="G2263" s="38" t="inlineStr">
        <is>
          <t>FRUGIS REPRESENTACOES LTDA (CNPJ 11.989.186/0001-70)</t>
        </is>
      </c>
      <c r="H2263" s="38" t="inlineStr">
        <is>
          <t>COMISSAO</t>
        </is>
      </c>
      <c r="I2263" s="40" t="n">
        <v>21231.7</v>
      </c>
      <c r="J2263" s="40" t="n">
        <v>212.36</v>
      </c>
      <c r="K2263" s="6">
        <f>I2263-J2263</f>
        <v/>
      </c>
      <c r="L2263" s="6">
        <f>IF(H2263="DISTRATO",0,I2263)</f>
        <v/>
      </c>
    </row>
    <row r="2264">
      <c r="A2264" s="38" t="inlineStr">
        <is>
          <t>Contas a pagar - aba Comissões</t>
        </is>
      </c>
      <c r="B2264" s="39" t="n">
        <v>43876</v>
      </c>
      <c r="C2264" s="4" t="n">
        <v>43831</v>
      </c>
      <c r="D2264" s="5">
        <f>YEAR(C2264)</f>
        <v/>
      </c>
      <c r="E2264" s="5">
        <f>MONTH(C2264)</f>
        <v/>
      </c>
      <c r="F2264" s="38" t="inlineStr">
        <is>
          <t>98</t>
        </is>
      </c>
      <c r="G2264" s="38" t="inlineStr">
        <is>
          <t>FRUGIS REPRESENTACOES LTDA (CNPJ 11.989.186/0001-70)</t>
        </is>
      </c>
      <c r="H2264" s="38" t="inlineStr">
        <is>
          <t>COMISSAO</t>
        </is>
      </c>
      <c r="I2264" s="40" t="n">
        <v>20788.47</v>
      </c>
      <c r="J2264" s="40" t="n">
        <v>212.36</v>
      </c>
      <c r="K2264" s="6">
        <f>I2264-J2264</f>
        <v/>
      </c>
      <c r="L2264" s="6">
        <f>IF(H2264="DISTRATO",0,I2264)</f>
        <v/>
      </c>
    </row>
    <row r="2265">
      <c r="A2265" s="38" t="inlineStr">
        <is>
          <t>Contas a pagar - aba Comissões</t>
        </is>
      </c>
      <c r="B2265" s="39" t="n">
        <v>43905</v>
      </c>
      <c r="C2265" s="4" t="n">
        <v>43862</v>
      </c>
      <c r="D2265" s="5">
        <f>YEAR(C2265)</f>
        <v/>
      </c>
      <c r="E2265" s="5">
        <f>MONTH(C2265)</f>
        <v/>
      </c>
      <c r="F2265" s="38" t="inlineStr">
        <is>
          <t>99</t>
        </is>
      </c>
      <c r="G2265" s="38" t="inlineStr">
        <is>
          <t>FRUGIS REPRESENTACOES LTDA (CNPJ 11.989.186/0001-70)</t>
        </is>
      </c>
      <c r="H2265" s="38" t="inlineStr">
        <is>
          <t>COMISSAO</t>
        </is>
      </c>
      <c r="I2265" s="40" t="n">
        <v>11132.21</v>
      </c>
      <c r="J2265" s="40" t="n">
        <v>212.36</v>
      </c>
      <c r="K2265" s="6">
        <f>I2265-J2265</f>
        <v/>
      </c>
      <c r="L2265" s="6">
        <f>IF(H2265="DISTRATO",0,I2265)</f>
        <v/>
      </c>
    </row>
    <row r="2266">
      <c r="A2266" s="38" t="inlineStr">
        <is>
          <t>Contas a pagar - aba Comissões</t>
        </is>
      </c>
      <c r="B2266" s="39" t="n">
        <v>43936</v>
      </c>
      <c r="C2266" s="4" t="n">
        <v>43891</v>
      </c>
      <c r="D2266" s="5">
        <f>YEAR(C2266)</f>
        <v/>
      </c>
      <c r="E2266" s="5">
        <f>MONTH(C2266)</f>
        <v/>
      </c>
      <c r="F2266" s="38" t="inlineStr">
        <is>
          <t>100</t>
        </is>
      </c>
      <c r="G2266" s="38" t="inlineStr">
        <is>
          <t>FRUGIS REPRESENTACOES LTDA (CNPJ 11.989.186/0001-70)</t>
        </is>
      </c>
      <c r="H2266" s="38" t="inlineStr">
        <is>
          <t>COMISSAO</t>
        </is>
      </c>
      <c r="I2266" s="40" t="n">
        <v>17055.62</v>
      </c>
      <c r="J2266" s="40" t="n">
        <v>212.36</v>
      </c>
      <c r="K2266" s="6">
        <f>I2266-J2266</f>
        <v/>
      </c>
      <c r="L2266" s="6">
        <f>IF(H2266="DISTRATO",0,I2266)</f>
        <v/>
      </c>
    </row>
    <row r="2267">
      <c r="A2267" s="38" t="inlineStr">
        <is>
          <t>Contas a pagar - aba Comissões</t>
        </is>
      </c>
      <c r="B2267" s="39" t="n">
        <v>43966</v>
      </c>
      <c r="C2267" s="4" t="n">
        <v>43922</v>
      </c>
      <c r="D2267" s="5">
        <f>YEAR(C2267)</f>
        <v/>
      </c>
      <c r="E2267" s="5">
        <f>MONTH(C2267)</f>
        <v/>
      </c>
      <c r="F2267" s="38" t="inlineStr">
        <is>
          <t>101</t>
        </is>
      </c>
      <c r="G2267" s="38" t="inlineStr">
        <is>
          <t>FRUGIS REPRESENTACOES LTDA (CNPJ 11.989.186/0001-70)</t>
        </is>
      </c>
      <c r="H2267" s="38" t="inlineStr">
        <is>
          <t>COMISSAO</t>
        </is>
      </c>
      <c r="I2267" s="40" t="n">
        <v>20717.44</v>
      </c>
      <c r="J2267" s="40" t="n">
        <v>212.36</v>
      </c>
      <c r="K2267" s="6">
        <f>I2267-J2267</f>
        <v/>
      </c>
      <c r="L2267" s="6">
        <f>IF(H2267="DISTRATO",0,I2267)</f>
        <v/>
      </c>
    </row>
    <row r="2268">
      <c r="A2268" s="38" t="inlineStr">
        <is>
          <t>Contas a pagar - aba Comissões</t>
        </is>
      </c>
      <c r="B2268" s="39" t="n">
        <v>43997</v>
      </c>
      <c r="C2268" s="4" t="n">
        <v>43952</v>
      </c>
      <c r="D2268" s="5">
        <f>YEAR(C2268)</f>
        <v/>
      </c>
      <c r="E2268" s="5">
        <f>MONTH(C2268)</f>
        <v/>
      </c>
      <c r="F2268" s="38" t="inlineStr">
        <is>
          <t>102</t>
        </is>
      </c>
      <c r="G2268" s="38" t="inlineStr">
        <is>
          <t>FRUGIS REPRESENTACOES LTDA (CNPJ 11.989.186/0001-70)</t>
        </is>
      </c>
      <c r="H2268" s="38" t="inlineStr">
        <is>
          <t>COMISSAO</t>
        </is>
      </c>
      <c r="I2268" s="40" t="n">
        <v>52534.04</v>
      </c>
      <c r="J2268" s="40" t="n">
        <v>212.36</v>
      </c>
      <c r="K2268" s="6">
        <f>I2268-J2268</f>
        <v/>
      </c>
      <c r="L2268" s="6">
        <f>IF(H2268="DISTRATO",0,I2268)</f>
        <v/>
      </c>
    </row>
    <row r="2269">
      <c r="A2269" s="38" t="inlineStr">
        <is>
          <t>Contas a pagar - aba Comissões</t>
        </is>
      </c>
      <c r="B2269" s="39" t="n">
        <v>43997</v>
      </c>
      <c r="C2269" s="4" t="n">
        <v>43952</v>
      </c>
      <c r="D2269" s="5">
        <f>YEAR(C2269)</f>
        <v/>
      </c>
      <c r="E2269" s="5">
        <f>MONTH(C2269)</f>
        <v/>
      </c>
      <c r="F2269" s="38" t="inlineStr">
        <is>
          <t>103</t>
        </is>
      </c>
      <c r="G2269" s="38" t="inlineStr">
        <is>
          <t>FRUGIS REPRESENTACOES LTDA (CNPJ 11.989.186/0001-70)</t>
        </is>
      </c>
      <c r="H2269" s="38" t="inlineStr">
        <is>
          <t>PREMIO</t>
        </is>
      </c>
      <c r="I2269" s="40" t="n">
        <v>3000</v>
      </c>
      <c r="J2269" s="40" t="n">
        <v>0</v>
      </c>
      <c r="K2269" s="6">
        <f>I2269-J2269</f>
        <v/>
      </c>
      <c r="L2269" s="6">
        <f>IF(H2269="DISTRATO",0,I2269)</f>
        <v/>
      </c>
    </row>
    <row r="2270">
      <c r="A2270" s="38" t="inlineStr">
        <is>
          <t>Contas a pagar - aba Comissões</t>
        </is>
      </c>
      <c r="B2270" s="39" t="n">
        <v>44027</v>
      </c>
      <c r="C2270" s="4" t="n">
        <v>43983</v>
      </c>
      <c r="D2270" s="5">
        <f>YEAR(C2270)</f>
        <v/>
      </c>
      <c r="E2270" s="5">
        <f>MONTH(C2270)</f>
        <v/>
      </c>
      <c r="F2270" s="38" t="inlineStr">
        <is>
          <t>104</t>
        </is>
      </c>
      <c r="G2270" s="38" t="inlineStr">
        <is>
          <t>FRUGIS REPRESENTACOES LTDA (CNPJ 11.989.186/0001-70)</t>
        </is>
      </c>
      <c r="H2270" s="38" t="inlineStr">
        <is>
          <t>COMISSAO</t>
        </is>
      </c>
      <c r="I2270" s="40" t="n">
        <v>29876.01</v>
      </c>
      <c r="J2270" s="40" t="n">
        <v>212.36</v>
      </c>
      <c r="K2270" s="6">
        <f>I2270-J2270</f>
        <v/>
      </c>
      <c r="L2270" s="6">
        <f>IF(H2270="DISTRATO",0,I2270)</f>
        <v/>
      </c>
    </row>
    <row r="2271">
      <c r="A2271" s="38" t="inlineStr">
        <is>
          <t>Contas a pagar - aba Comissões</t>
        </is>
      </c>
      <c r="B2271" s="39" t="n">
        <v>44058</v>
      </c>
      <c r="C2271" s="4" t="n">
        <v>44013</v>
      </c>
      <c r="D2271" s="5">
        <f>YEAR(C2271)</f>
        <v/>
      </c>
      <c r="E2271" s="5">
        <f>MONTH(C2271)</f>
        <v/>
      </c>
      <c r="F2271" s="38" t="inlineStr">
        <is>
          <t>105</t>
        </is>
      </c>
      <c r="G2271" s="38" t="inlineStr">
        <is>
          <t>FRUGIS REPRESENTACOES LTDA (CNPJ 11.989.186/0001-70)</t>
        </is>
      </c>
      <c r="H2271" s="38" t="inlineStr">
        <is>
          <t>COMISSAO</t>
        </is>
      </c>
      <c r="I2271" s="40" t="n">
        <v>34489.73</v>
      </c>
      <c r="J2271" s="40" t="n">
        <v>212.36</v>
      </c>
      <c r="K2271" s="6">
        <f>I2271-J2271</f>
        <v/>
      </c>
      <c r="L2271" s="6">
        <f>IF(H2271="DISTRATO",0,I2271)</f>
        <v/>
      </c>
    </row>
    <row r="2272">
      <c r="A2272" s="38" t="inlineStr">
        <is>
          <t>Contas a pagar - aba Comissões</t>
        </is>
      </c>
      <c r="B2272" s="39" t="n">
        <v>44089</v>
      </c>
      <c r="C2272" s="4" t="n">
        <v>44044</v>
      </c>
      <c r="D2272" s="5">
        <f>YEAR(C2272)</f>
        <v/>
      </c>
      <c r="E2272" s="5">
        <f>MONTH(C2272)</f>
        <v/>
      </c>
      <c r="F2272" s="38" t="inlineStr">
        <is>
          <t>107</t>
        </is>
      </c>
      <c r="G2272" s="38" t="inlineStr">
        <is>
          <t>FRUGIS REPRESENTACOES LTDA (CNPJ 11.989.186/0001-70)</t>
        </is>
      </c>
      <c r="H2272" s="38" t="inlineStr">
        <is>
          <t>COMISSAO</t>
        </is>
      </c>
      <c r="I2272" s="40" t="n">
        <v>14638.42</v>
      </c>
      <c r="J2272" s="40" t="n">
        <v>212.36</v>
      </c>
      <c r="K2272" s="6">
        <f>I2272-J2272</f>
        <v/>
      </c>
      <c r="L2272" s="6">
        <f>IF(H2272="DISTRATO",0,I2272)</f>
        <v/>
      </c>
    </row>
    <row r="2273">
      <c r="A2273" s="38" t="inlineStr">
        <is>
          <t>Contas a pagar - aba Comissões</t>
        </is>
      </c>
      <c r="B2273" s="39" t="n">
        <v>44119</v>
      </c>
      <c r="C2273" s="4" t="n">
        <v>44075</v>
      </c>
      <c r="D2273" s="5">
        <f>YEAR(C2273)</f>
        <v/>
      </c>
      <c r="E2273" s="5">
        <f>MONTH(C2273)</f>
        <v/>
      </c>
      <c r="F2273" s="38" t="inlineStr">
        <is>
          <t>108</t>
        </is>
      </c>
      <c r="G2273" s="38" t="inlineStr">
        <is>
          <t>FRUGIS REPRESENTACOES LTDA (CNPJ 11.989.186/0001-70)</t>
        </is>
      </c>
      <c r="H2273" s="38" t="inlineStr">
        <is>
          <t>COMISSAO</t>
        </is>
      </c>
      <c r="I2273" s="40" t="n">
        <v>15194.29</v>
      </c>
      <c r="J2273" s="40" t="n">
        <v>212.36</v>
      </c>
      <c r="K2273" s="6">
        <f>I2273-J2273</f>
        <v/>
      </c>
      <c r="L2273" s="6">
        <f>IF(H2273="DISTRATO",0,I2273)</f>
        <v/>
      </c>
    </row>
    <row r="2274">
      <c r="A2274" s="38" t="inlineStr">
        <is>
          <t>Contas a pagar - aba Comissões</t>
        </is>
      </c>
      <c r="B2274" s="39" t="n">
        <v>44150</v>
      </c>
      <c r="C2274" s="4" t="n">
        <v>44105</v>
      </c>
      <c r="D2274" s="5">
        <f>YEAR(C2274)</f>
        <v/>
      </c>
      <c r="E2274" s="5">
        <f>MONTH(C2274)</f>
        <v/>
      </c>
      <c r="F2274" s="38" t="inlineStr">
        <is>
          <t>110</t>
        </is>
      </c>
      <c r="G2274" s="38" t="inlineStr">
        <is>
          <t>FRUGIS REPRESENTACOES LTDA (CNPJ 11.989.186/0001-70)</t>
        </is>
      </c>
      <c r="H2274" s="38" t="inlineStr">
        <is>
          <t>COMISSAO</t>
        </is>
      </c>
      <c r="I2274" s="40" t="n">
        <v>18268.27</v>
      </c>
      <c r="J2274" s="40" t="n">
        <v>212.36</v>
      </c>
      <c r="K2274" s="6">
        <f>I2274-J2274</f>
        <v/>
      </c>
      <c r="L2274" s="6">
        <f>IF(H2274="DISTRATO",0,I2274)</f>
        <v/>
      </c>
    </row>
    <row r="2275">
      <c r="A2275" s="38" t="inlineStr">
        <is>
          <t>Contas a pagar - aba Comissões</t>
        </is>
      </c>
      <c r="B2275" s="39" t="n">
        <v>44163</v>
      </c>
      <c r="C2275" s="4" t="n">
        <v>44105</v>
      </c>
      <c r="D2275" s="5">
        <f>YEAR(C2275)</f>
        <v/>
      </c>
      <c r="E2275" s="5">
        <f>MONTH(C2275)</f>
        <v/>
      </c>
      <c r="F2275" s="38" t="inlineStr">
        <is>
          <t>2810-2</t>
        </is>
      </c>
      <c r="G2275" s="38" t="inlineStr">
        <is>
          <t>FRUGIS REPRESENTACOES LTDA (CNPJ 11.989.186/0001-70)</t>
        </is>
      </c>
      <c r="H2275" s="38" t="inlineStr">
        <is>
          <t>DISTRATO</t>
        </is>
      </c>
      <c r="I2275" s="40" t="n">
        <v>5200</v>
      </c>
      <c r="J2275" s="40" t="n">
        <v>0</v>
      </c>
      <c r="K2275" s="6">
        <f>I2275-J2275</f>
        <v/>
      </c>
      <c r="L2275" s="6">
        <f>IF(H2275="DISTRATO",0,I2275)</f>
        <v/>
      </c>
    </row>
    <row r="2276">
      <c r="A2276" s="38" t="inlineStr">
        <is>
          <t>Contas a pagar - aba Comissões</t>
        </is>
      </c>
      <c r="B2276" s="39" t="n">
        <v>44180</v>
      </c>
      <c r="C2276" s="4" t="n">
        <v>44136</v>
      </c>
      <c r="D2276" s="5">
        <f>YEAR(C2276)</f>
        <v/>
      </c>
      <c r="E2276" s="5">
        <f>MONTH(C2276)</f>
        <v/>
      </c>
      <c r="F2276" s="38" t="inlineStr">
        <is>
          <t>111</t>
        </is>
      </c>
      <c r="G2276" s="38" t="inlineStr">
        <is>
          <t>FRUGIS REPRESENTACOES LTDA (CNPJ 11.989.186/0001-70)</t>
        </is>
      </c>
      <c r="H2276" s="38" t="inlineStr">
        <is>
          <t>COMISSAO</t>
        </is>
      </c>
      <c r="I2276" s="40" t="n">
        <v>14367.29</v>
      </c>
      <c r="J2276" s="40" t="n">
        <v>212.36</v>
      </c>
      <c r="K2276" s="6">
        <f>I2276-J2276</f>
        <v/>
      </c>
      <c r="L2276" s="6">
        <f>IF(H2276="DISTRATO",0,I2276)</f>
        <v/>
      </c>
    </row>
    <row r="2277">
      <c r="A2277" s="38" t="inlineStr">
        <is>
          <t>Contas a pagar - aba Comissões</t>
        </is>
      </c>
      <c r="B2277" s="39" t="n">
        <v>44193</v>
      </c>
      <c r="C2277" s="4" t="n">
        <v>44136</v>
      </c>
      <c r="D2277" s="5">
        <f>YEAR(C2277)</f>
        <v/>
      </c>
      <c r="E2277" s="5">
        <f>MONTH(C2277)</f>
        <v/>
      </c>
      <c r="F2277" s="38" t="inlineStr">
        <is>
          <t>2810-3</t>
        </is>
      </c>
      <c r="G2277" s="38" t="inlineStr">
        <is>
          <t>FRUGIS REPRESENTACOES LTDA (CNPJ 11.989.186/0001-70)</t>
        </is>
      </c>
      <c r="H2277" s="38" t="inlineStr">
        <is>
          <t>DISTRATO</t>
        </is>
      </c>
      <c r="I2277" s="40" t="n">
        <v>5164.65</v>
      </c>
      <c r="J2277" s="40" t="n">
        <v>0</v>
      </c>
      <c r="K2277" s="6">
        <f>I2277-J2277</f>
        <v/>
      </c>
      <c r="L2277" s="6">
        <f>IF(H2277="DISTRATO",0,I2277)</f>
        <v/>
      </c>
    </row>
    <row r="2278">
      <c r="A2278" s="38" t="inlineStr">
        <is>
          <t>Contas a pagar - aba Comissões</t>
        </is>
      </c>
      <c r="B2278" s="39" t="n">
        <v>44211</v>
      </c>
      <c r="C2278" s="4" t="n">
        <v>44166</v>
      </c>
      <c r="D2278" s="5">
        <f>YEAR(C2278)</f>
        <v/>
      </c>
      <c r="E2278" s="5">
        <f>MONTH(C2278)</f>
        <v/>
      </c>
      <c r="F2278" s="38" t="inlineStr">
        <is>
          <t>112</t>
        </is>
      </c>
      <c r="G2278" s="38" t="inlineStr">
        <is>
          <t>FRUGIS REPRESENTACOES LTDA (CNPJ 11.989.186/0001-70)</t>
        </is>
      </c>
      <c r="H2278" s="38" t="inlineStr">
        <is>
          <t>COMISSAO</t>
        </is>
      </c>
      <c r="I2278" s="40" t="n">
        <v>20950.58</v>
      </c>
      <c r="J2278" s="40" t="n">
        <v>212.36</v>
      </c>
      <c r="K2278" s="6">
        <f>I2278-J2278</f>
        <v/>
      </c>
      <c r="L2278" s="6">
        <f>IF(H2278="DISTRATO",0,I2278)</f>
        <v/>
      </c>
    </row>
    <row r="2279">
      <c r="A2279" s="38" t="inlineStr">
        <is>
          <t>Contas a pagar - aba Comissões</t>
        </is>
      </c>
      <c r="B2279" s="39" t="n">
        <v>44242</v>
      </c>
      <c r="C2279" s="4" t="n">
        <v>44197</v>
      </c>
      <c r="D2279" s="5">
        <f>YEAR(C2279)</f>
        <v/>
      </c>
      <c r="E2279" s="5">
        <f>MONTH(C2279)</f>
        <v/>
      </c>
      <c r="F2279" s="38" t="inlineStr">
        <is>
          <t>113</t>
        </is>
      </c>
      <c r="G2279" s="38" t="inlineStr">
        <is>
          <t>FRUGIS REPRESENTACOES LTDA (CNPJ 11.989.186/0001-70)</t>
        </is>
      </c>
      <c r="H2279" s="38" t="inlineStr">
        <is>
          <t>COMISSAO</t>
        </is>
      </c>
      <c r="I2279" s="40" t="n">
        <v>11833.2</v>
      </c>
      <c r="J2279" s="40" t="n">
        <v>212.36</v>
      </c>
      <c r="K2279" s="6">
        <f>I2279-J2279</f>
        <v/>
      </c>
      <c r="L2279" s="6">
        <f>IF(H2279="DISTRATO",0,I2279)</f>
        <v/>
      </c>
    </row>
    <row r="2280">
      <c r="A2280" s="38" t="inlineStr">
        <is>
          <t>Contas a pagar - aba Comissões</t>
        </is>
      </c>
      <c r="B2280" s="39" t="n">
        <v>44270</v>
      </c>
      <c r="C2280" s="4" t="n">
        <v>44228</v>
      </c>
      <c r="D2280" s="5">
        <f>YEAR(C2280)</f>
        <v/>
      </c>
      <c r="E2280" s="5">
        <f>MONTH(C2280)</f>
        <v/>
      </c>
      <c r="F2280" s="38" t="inlineStr">
        <is>
          <t>114</t>
        </is>
      </c>
      <c r="G2280" s="38" t="inlineStr">
        <is>
          <t>FRUGIS REPRESENTACOES LTDA (CNPJ 11.989.186/0001-70)</t>
        </is>
      </c>
      <c r="H2280" s="38" t="inlineStr">
        <is>
          <t>COMISSAO</t>
        </is>
      </c>
      <c r="I2280" s="40" t="n">
        <v>16494.84</v>
      </c>
      <c r="J2280" s="40" t="n">
        <v>212.36</v>
      </c>
      <c r="K2280" s="6">
        <f>I2280-J2280</f>
        <v/>
      </c>
      <c r="L2280" s="6">
        <f>IF(H2280="DISTRATO",0,I2280)</f>
        <v/>
      </c>
    </row>
    <row r="2281">
      <c r="A2281" s="38" t="inlineStr">
        <is>
          <t>Contas a pagar - aba Comissões</t>
        </is>
      </c>
      <c r="B2281" s="39" t="n">
        <v>44301</v>
      </c>
      <c r="C2281" s="4" t="n">
        <v>44256</v>
      </c>
      <c r="D2281" s="5">
        <f>YEAR(C2281)</f>
        <v/>
      </c>
      <c r="E2281" s="5">
        <f>MONTH(C2281)</f>
        <v/>
      </c>
      <c r="F2281" s="38" t="inlineStr">
        <is>
          <t>115</t>
        </is>
      </c>
      <c r="G2281" s="38" t="inlineStr">
        <is>
          <t>FRUGIS REPRESENTACOES LTDA (CNPJ 11.989.186/0001-70)</t>
        </is>
      </c>
      <c r="H2281" s="38" t="inlineStr">
        <is>
          <t>COMISSAO</t>
        </is>
      </c>
      <c r="I2281" s="40" t="n">
        <v>36339.65</v>
      </c>
      <c r="J2281" s="40" t="n">
        <v>212.36</v>
      </c>
      <c r="K2281" s="6">
        <f>I2281-J2281</f>
        <v/>
      </c>
      <c r="L2281" s="6">
        <f>IF(H2281="DISTRATO",0,I2281)</f>
        <v/>
      </c>
    </row>
    <row r="2282">
      <c r="A2282" s="38" t="inlineStr">
        <is>
          <t>Contas a pagar - aba Comissões</t>
        </is>
      </c>
      <c r="B2282" s="39" t="n">
        <v>44331</v>
      </c>
      <c r="C2282" s="4" t="n">
        <v>44287</v>
      </c>
      <c r="D2282" s="5">
        <f>YEAR(C2282)</f>
        <v/>
      </c>
      <c r="E2282" s="5">
        <f>MONTH(C2282)</f>
        <v/>
      </c>
      <c r="F2282" s="38" t="inlineStr">
        <is>
          <t>116</t>
        </is>
      </c>
      <c r="G2282" s="38" t="inlineStr">
        <is>
          <t>FRUGIS REPRESENTACOES LTDA (CNPJ 11.989.186/0001-70)</t>
        </is>
      </c>
      <c r="H2282" s="38" t="inlineStr">
        <is>
          <t>COMISSAO</t>
        </is>
      </c>
      <c r="I2282" s="40" t="n">
        <v>16613.09</v>
      </c>
      <c r="J2282" s="40" t="n">
        <v>212.36</v>
      </c>
      <c r="K2282" s="6">
        <f>I2282-J2282</f>
        <v/>
      </c>
      <c r="L2282" s="6">
        <f>IF(H2282="DISTRATO",0,I2282)</f>
        <v/>
      </c>
    </row>
    <row r="2283">
      <c r="A2283" s="38" t="inlineStr">
        <is>
          <t>Contas a pagar - aba Comissões</t>
        </is>
      </c>
      <c r="B2283" s="39" t="n">
        <v>44343</v>
      </c>
      <c r="C2283" s="4" t="n">
        <v>44287</v>
      </c>
      <c r="D2283" s="5">
        <f>YEAR(C2283)</f>
        <v/>
      </c>
      <c r="E2283" s="5">
        <f>MONTH(C2283)</f>
        <v/>
      </c>
      <c r="F2283" s="38" t="inlineStr">
        <is>
          <t>2021-2</t>
        </is>
      </c>
      <c r="G2283" s="38" t="inlineStr">
        <is>
          <t>FRUGIS REPRESENTACOES LTDA (CNPJ 11.989.186/0001-70)</t>
        </is>
      </c>
      <c r="H2283" s="38" t="inlineStr">
        <is>
          <t>DISTRATO</t>
        </is>
      </c>
      <c r="I2283" s="40" t="n">
        <v>31000</v>
      </c>
      <c r="J2283" s="40" t="n">
        <v>0</v>
      </c>
      <c r="K2283" s="6">
        <f>I2283-J2283</f>
        <v/>
      </c>
      <c r="L2283" s="6">
        <f>IF(H2283="DISTRATO",0,I2283)</f>
        <v/>
      </c>
    </row>
    <row r="2284">
      <c r="A2284" s="38" t="inlineStr">
        <is>
          <t>Contas a pagar - aba Comissões</t>
        </is>
      </c>
      <c r="B2284" s="39" t="n">
        <v>44362</v>
      </c>
      <c r="C2284" s="4" t="n">
        <v>44317</v>
      </c>
      <c r="D2284" s="5">
        <f>YEAR(C2284)</f>
        <v/>
      </c>
      <c r="E2284" s="5">
        <f>MONTH(C2284)</f>
        <v/>
      </c>
      <c r="F2284" s="38" t="inlineStr">
        <is>
          <t>117</t>
        </is>
      </c>
      <c r="G2284" s="38" t="inlineStr">
        <is>
          <t>FRUGIS REPRESENTACOES LTDA (CNPJ 11.989.186/0001-70)</t>
        </is>
      </c>
      <c r="H2284" s="38" t="inlineStr">
        <is>
          <t>COMISSAO</t>
        </is>
      </c>
      <c r="I2284" s="40" t="n">
        <v>17074.19</v>
      </c>
      <c r="J2284" s="40" t="n">
        <v>212.36</v>
      </c>
      <c r="K2284" s="6">
        <f>I2284-J2284</f>
        <v/>
      </c>
      <c r="L2284" s="6">
        <f>IF(H2284="DISTRATO",0,I2284)</f>
        <v/>
      </c>
    </row>
    <row r="2285">
      <c r="A2285" s="38" t="inlineStr">
        <is>
          <t>Contas a pagar - aba Comissões</t>
        </is>
      </c>
      <c r="B2285" s="39" t="n">
        <v>44372</v>
      </c>
      <c r="C2285" s="4" t="n">
        <v>44317</v>
      </c>
      <c r="D2285" s="5">
        <f>YEAR(C2285)</f>
        <v/>
      </c>
      <c r="E2285" s="5">
        <f>MONTH(C2285)</f>
        <v/>
      </c>
      <c r="F2285" s="38" t="inlineStr">
        <is>
          <t>2021-3</t>
        </is>
      </c>
      <c r="G2285" s="38" t="inlineStr">
        <is>
          <t>FRUGIS REPRESENTACOES LTDA (CNPJ 11.989.186/0001-70)</t>
        </is>
      </c>
      <c r="H2285" s="38" t="inlineStr">
        <is>
          <t>DISTRATO</t>
        </is>
      </c>
      <c r="I2285" s="40" t="n">
        <v>31000</v>
      </c>
      <c r="J2285" s="40" t="n">
        <v>0</v>
      </c>
      <c r="K2285" s="6">
        <f>I2285-J2285</f>
        <v/>
      </c>
      <c r="L2285" s="6">
        <f>IF(H2285="DISTRATO",0,I2285)</f>
        <v/>
      </c>
    </row>
    <row r="2286">
      <c r="A2286" s="38" t="inlineStr">
        <is>
          <t>Contas a pagar - aba Comissões</t>
        </is>
      </c>
      <c r="B2286" s="39" t="n">
        <v>44392</v>
      </c>
      <c r="C2286" s="4" t="n">
        <v>44348</v>
      </c>
      <c r="D2286" s="5">
        <f>YEAR(C2286)</f>
        <v/>
      </c>
      <c r="E2286" s="5">
        <f>MONTH(C2286)</f>
        <v/>
      </c>
      <c r="F2286" s="38" t="inlineStr">
        <is>
          <t>118</t>
        </is>
      </c>
      <c r="G2286" s="38" t="inlineStr">
        <is>
          <t>FRUGIS REPRESENTACOES LTDA (CNPJ 11.989.186/0001-70)</t>
        </is>
      </c>
      <c r="H2286" s="38" t="inlineStr">
        <is>
          <t>COMISSAO</t>
        </is>
      </c>
      <c r="I2286" s="40" t="n">
        <v>21162.03</v>
      </c>
      <c r="J2286" s="40" t="n">
        <v>2153.55</v>
      </c>
      <c r="K2286" s="6">
        <f>I2286-J2286</f>
        <v/>
      </c>
      <c r="L2286" s="6">
        <f>IF(H2286="DISTRATO",0,I2286)</f>
        <v/>
      </c>
    </row>
    <row r="2287">
      <c r="A2287" s="38" t="inlineStr">
        <is>
          <t>Contas a pagar - aba Comissões</t>
        </is>
      </c>
      <c r="B2287" s="39" t="n">
        <v>44404</v>
      </c>
      <c r="C2287" s="4" t="n">
        <v>44348</v>
      </c>
      <c r="D2287" s="5">
        <f>YEAR(C2287)</f>
        <v/>
      </c>
      <c r="E2287" s="5">
        <f>MONTH(C2287)</f>
        <v/>
      </c>
      <c r="F2287" s="38" t="inlineStr">
        <is>
          <t>2021-4</t>
        </is>
      </c>
      <c r="G2287" s="38" t="inlineStr">
        <is>
          <t>FRUGIS REPRESENTACOES LTDA (CNPJ 11.989.186/0001-70)</t>
        </is>
      </c>
      <c r="H2287" s="38" t="inlineStr">
        <is>
          <t>DISTRATO</t>
        </is>
      </c>
      <c r="I2287" s="40" t="n">
        <v>31000</v>
      </c>
      <c r="J2287" s="40" t="n">
        <v>0</v>
      </c>
      <c r="K2287" s="6">
        <f>I2287-J2287</f>
        <v/>
      </c>
      <c r="L2287" s="6">
        <f>IF(H2287="DISTRATO",0,I2287)</f>
        <v/>
      </c>
    </row>
    <row r="2288">
      <c r="A2288" s="38" t="inlineStr">
        <is>
          <t>Contas a pagar - aba Comissões</t>
        </is>
      </c>
      <c r="B2288" s="39" t="n">
        <v>44423</v>
      </c>
      <c r="C2288" s="4" t="n">
        <v>44378</v>
      </c>
      <c r="D2288" s="5">
        <f>YEAR(C2288)</f>
        <v/>
      </c>
      <c r="E2288" s="5">
        <f>MONTH(C2288)</f>
        <v/>
      </c>
      <c r="F2288" s="38" t="inlineStr">
        <is>
          <t>119</t>
        </is>
      </c>
      <c r="G2288" s="38" t="inlineStr">
        <is>
          <t>FRUGIS REPRESENTACOES LTDA (CNPJ 11.989.186/0001-70)</t>
        </is>
      </c>
      <c r="H2288" s="38" t="inlineStr">
        <is>
          <t>COMISSAO</t>
        </is>
      </c>
      <c r="I2288" s="40" t="n">
        <v>12403.52</v>
      </c>
      <c r="J2288" s="40" t="n">
        <v>153.55</v>
      </c>
      <c r="K2288" s="6">
        <f>I2288-J2288</f>
        <v/>
      </c>
      <c r="L2288" s="6">
        <f>IF(H2288="DISTRATO",0,I2288)</f>
        <v/>
      </c>
    </row>
    <row r="2289">
      <c r="A2289" s="38" t="inlineStr">
        <is>
          <t>Contas a pagar - aba Comissões</t>
        </is>
      </c>
      <c r="B2289" s="39" t="n">
        <v>44454</v>
      </c>
      <c r="C2289" s="4" t="n">
        <v>44409</v>
      </c>
      <c r="D2289" s="5">
        <f>YEAR(C2289)</f>
        <v/>
      </c>
      <c r="E2289" s="5">
        <f>MONTH(C2289)</f>
        <v/>
      </c>
      <c r="F2289" s="38" t="inlineStr">
        <is>
          <t>120</t>
        </is>
      </c>
      <c r="G2289" s="38" t="inlineStr">
        <is>
          <t>FRUGIS REPRESENTACOES LTDA (CNPJ 11.989.186/0001-70)</t>
        </is>
      </c>
      <c r="H2289" s="38" t="inlineStr">
        <is>
          <t>COMISSAO</t>
        </is>
      </c>
      <c r="I2289" s="40" t="n">
        <v>16331.09</v>
      </c>
      <c r="J2289" s="40" t="n">
        <v>153.55</v>
      </c>
      <c r="K2289" s="6">
        <f>I2289-J2289</f>
        <v/>
      </c>
      <c r="L2289" s="6">
        <f>IF(H2289="DISTRATO",0,I2289)</f>
        <v/>
      </c>
    </row>
    <row r="2290">
      <c r="A2290" s="38" t="inlineStr">
        <is>
          <t>Contas a pagar - aba Comissões</t>
        </is>
      </c>
      <c r="B2290" s="39" t="n">
        <v>44484</v>
      </c>
      <c r="C2290" s="4" t="n">
        <v>44440</v>
      </c>
      <c r="D2290" s="5">
        <f>YEAR(C2290)</f>
        <v/>
      </c>
      <c r="E2290" s="5">
        <f>MONTH(C2290)</f>
        <v/>
      </c>
      <c r="F2290" s="38" t="inlineStr">
        <is>
          <t>121</t>
        </is>
      </c>
      <c r="G2290" s="38" t="inlineStr">
        <is>
          <t>FRUGIS REPRESENTACOES LTDA (CNPJ 11.989.186/0001-70)</t>
        </is>
      </c>
      <c r="H2290" s="38" t="inlineStr">
        <is>
          <t>COMISSAO</t>
        </is>
      </c>
      <c r="I2290" s="40" t="n">
        <v>8853.66</v>
      </c>
      <c r="J2290" s="40" t="n">
        <v>153.55</v>
      </c>
      <c r="K2290" s="6">
        <f>I2290-J2290</f>
        <v/>
      </c>
      <c r="L2290" s="6">
        <f>IF(H2290="DISTRATO",0,I2290)</f>
        <v/>
      </c>
    </row>
    <row r="2291">
      <c r="A2291" s="38" t="inlineStr">
        <is>
          <t>Contas a pagar - aba Comissões</t>
        </is>
      </c>
      <c r="B2291" s="39" t="n">
        <v>44515</v>
      </c>
      <c r="C2291" s="4" t="n">
        <v>44470</v>
      </c>
      <c r="D2291" s="5">
        <f>YEAR(C2291)</f>
        <v/>
      </c>
      <c r="E2291" s="5">
        <f>MONTH(C2291)</f>
        <v/>
      </c>
      <c r="F2291" s="38" t="inlineStr">
        <is>
          <t>122</t>
        </is>
      </c>
      <c r="G2291" s="38" t="inlineStr">
        <is>
          <t>FRUGIS REPRESENTACOES LTDA (CNPJ 11.989.186/0001-70)</t>
        </is>
      </c>
      <c r="H2291" s="38" t="inlineStr">
        <is>
          <t>COMISSAO</t>
        </is>
      </c>
      <c r="I2291" s="40" t="n">
        <v>25051.33</v>
      </c>
      <c r="J2291" s="40" t="n">
        <v>153.55</v>
      </c>
      <c r="K2291" s="6">
        <f>I2291-J2291</f>
        <v/>
      </c>
      <c r="L2291" s="6">
        <f>IF(H2291="DISTRATO",0,I2291)</f>
        <v/>
      </c>
    </row>
    <row r="2292">
      <c r="A2292" s="38" t="inlineStr">
        <is>
          <t>Contas a pagar - aba Comissões</t>
        </is>
      </c>
      <c r="B2292" s="39" t="n">
        <v>44545</v>
      </c>
      <c r="C2292" s="4" t="n">
        <v>44501</v>
      </c>
      <c r="D2292" s="5">
        <f>YEAR(C2292)</f>
        <v/>
      </c>
      <c r="E2292" s="5">
        <f>MONTH(C2292)</f>
        <v/>
      </c>
      <c r="F2292" s="38" t="inlineStr">
        <is>
          <t>123</t>
        </is>
      </c>
      <c r="G2292" s="38" t="inlineStr">
        <is>
          <t>FRUGIS REPRESENTACOES LTDA (CNPJ 11.989.186/0001-70)</t>
        </is>
      </c>
      <c r="H2292" s="38" t="inlineStr">
        <is>
          <t>COMISSAO</t>
        </is>
      </c>
      <c r="I2292" s="40" t="n">
        <v>25878.19</v>
      </c>
      <c r="J2292" s="40" t="n">
        <v>153.55</v>
      </c>
      <c r="K2292" s="6">
        <f>I2292-J2292</f>
        <v/>
      </c>
      <c r="L2292" s="6">
        <f>IF(H2292="DISTRATO",0,I2292)</f>
        <v/>
      </c>
    </row>
    <row r="2293">
      <c r="A2293" s="38" t="inlineStr">
        <is>
          <t>Contas a pagar - aba Comissões</t>
        </is>
      </c>
      <c r="B2293" s="39" t="n">
        <v>44576</v>
      </c>
      <c r="C2293" s="4" t="n">
        <v>44531</v>
      </c>
      <c r="D2293" s="5">
        <f>YEAR(C2293)</f>
        <v/>
      </c>
      <c r="E2293" s="5">
        <f>MONTH(C2293)</f>
        <v/>
      </c>
      <c r="F2293" s="38" t="inlineStr">
        <is>
          <t>124</t>
        </is>
      </c>
      <c r="G2293" s="38" t="inlineStr">
        <is>
          <t>FRUGIS REPRESENTACOES LTDA (CNPJ 11.989.186/0001-70)</t>
        </is>
      </c>
      <c r="H2293" s="38" t="inlineStr">
        <is>
          <t>COMISSAO</t>
        </is>
      </c>
      <c r="I2293" s="40" t="n">
        <v>1400.56</v>
      </c>
      <c r="J2293" s="40" t="n">
        <v>0</v>
      </c>
      <c r="K2293" s="6">
        <f>I2293-J2293</f>
        <v/>
      </c>
      <c r="L2293" s="6">
        <f>IF(H2293="DISTRATO",0,I2293)</f>
        <v/>
      </c>
    </row>
    <row r="2294">
      <c r="A2294" s="38" t="inlineStr">
        <is>
          <t>Contas a pagar - aba Comissões</t>
        </is>
      </c>
      <c r="B2294" s="39" t="n">
        <v>44607</v>
      </c>
      <c r="C2294" s="4" t="n">
        <v>44562</v>
      </c>
      <c r="D2294" s="5">
        <f>YEAR(C2294)</f>
        <v/>
      </c>
      <c r="E2294" s="5">
        <f>MONTH(C2294)</f>
        <v/>
      </c>
      <c r="F2294" s="38" t="inlineStr">
        <is>
          <t>125</t>
        </is>
      </c>
      <c r="G2294" s="38" t="inlineStr">
        <is>
          <t>FRUGIS REPRESENTACOES LTDA (CNPJ 11.989.186/0001-70)</t>
        </is>
      </c>
      <c r="H2294" s="38" t="inlineStr">
        <is>
          <t>COMISSAO</t>
        </is>
      </c>
      <c r="I2294" s="40" t="n">
        <v>23739.59</v>
      </c>
      <c r="J2294" s="40" t="n">
        <v>0</v>
      </c>
      <c r="K2294" s="6">
        <f>I2294-J2294</f>
        <v/>
      </c>
      <c r="L2294" s="6">
        <f>IF(H2294="DISTRATO",0,I2294)</f>
        <v/>
      </c>
    </row>
    <row r="2295">
      <c r="A2295" s="38" t="inlineStr">
        <is>
          <t>Contas a pagar - aba Comissões</t>
        </is>
      </c>
      <c r="B2295" s="39" t="n">
        <v>44635</v>
      </c>
      <c r="C2295" s="4" t="n">
        <v>44593</v>
      </c>
      <c r="D2295" s="5">
        <f>YEAR(C2295)</f>
        <v/>
      </c>
      <c r="E2295" s="5">
        <f>MONTH(C2295)</f>
        <v/>
      </c>
      <c r="F2295" s="38" t="inlineStr">
        <is>
          <t>126</t>
        </is>
      </c>
      <c r="G2295" s="38" t="inlineStr">
        <is>
          <t>FRUGIS REPRESENTACOES LTDA (CNPJ 11.989.186/0001-70)</t>
        </is>
      </c>
      <c r="H2295" s="38" t="inlineStr">
        <is>
          <t>COMISSAO</t>
        </is>
      </c>
      <c r="I2295" s="40" t="n">
        <v>6103.45</v>
      </c>
      <c r="J2295" s="40" t="n">
        <v>0</v>
      </c>
      <c r="K2295" s="6">
        <f>I2295-J2295</f>
        <v/>
      </c>
      <c r="L2295" s="6">
        <f>IF(H2295="DISTRATO",0,I2295)</f>
        <v/>
      </c>
    </row>
    <row r="2296">
      <c r="A2296" s="38" t="inlineStr">
        <is>
          <t>Contas a pagar - aba Comissões</t>
        </is>
      </c>
      <c r="B2296" s="39" t="n">
        <v>44666</v>
      </c>
      <c r="C2296" s="4" t="n">
        <v>44621</v>
      </c>
      <c r="D2296" s="5">
        <f>YEAR(C2296)</f>
        <v/>
      </c>
      <c r="E2296" s="5">
        <f>MONTH(C2296)</f>
        <v/>
      </c>
      <c r="F2296" s="38" t="inlineStr">
        <is>
          <t>127</t>
        </is>
      </c>
      <c r="G2296" s="38" t="inlineStr">
        <is>
          <t>FRUGIS REPRESENTACOES LTDA (CNPJ 11.989.186/0001-70)</t>
        </is>
      </c>
      <c r="H2296" s="38" t="inlineStr">
        <is>
          <t>COMISSAO</t>
        </is>
      </c>
      <c r="I2296" s="40" t="n">
        <v>21026.03</v>
      </c>
      <c r="J2296" s="40" t="n">
        <v>0</v>
      </c>
      <c r="K2296" s="6">
        <f>I2296-J2296</f>
        <v/>
      </c>
      <c r="L2296" s="6">
        <f>IF(H2296="DISTRATO",0,I2296)</f>
        <v/>
      </c>
    </row>
    <row r="2297">
      <c r="A2297" s="38" t="inlineStr">
        <is>
          <t>Contas a pagar - aba Comissões</t>
        </is>
      </c>
      <c r="B2297" s="39" t="n">
        <v>44696</v>
      </c>
      <c r="C2297" s="4" t="n">
        <v>44652</v>
      </c>
      <c r="D2297" s="5">
        <f>YEAR(C2297)</f>
        <v/>
      </c>
      <c r="E2297" s="5">
        <f>MONTH(C2297)</f>
        <v/>
      </c>
      <c r="F2297" s="38" t="inlineStr">
        <is>
          <t>128</t>
        </is>
      </c>
      <c r="G2297" s="38" t="inlineStr">
        <is>
          <t>FRUGIS REPRESENTACOES LTDA (CNPJ 11.989.186/0001-70)</t>
        </is>
      </c>
      <c r="H2297" s="38" t="inlineStr">
        <is>
          <t>COMISSAO</t>
        </is>
      </c>
      <c r="I2297" s="40" t="n">
        <v>3426.73</v>
      </c>
      <c r="J2297" s="40" t="n">
        <v>0</v>
      </c>
      <c r="K2297" s="6">
        <f>I2297-J2297</f>
        <v/>
      </c>
      <c r="L2297" s="6">
        <f>IF(H2297="DISTRATO",0,I2297)</f>
        <v/>
      </c>
    </row>
    <row r="2298">
      <c r="A2298" s="38" t="inlineStr">
        <is>
          <t>Contas a pagar - aba Comissões</t>
        </is>
      </c>
      <c r="B2298" s="39" t="n">
        <v>44727</v>
      </c>
      <c r="C2298" s="4" t="n">
        <v>44682</v>
      </c>
      <c r="D2298" s="5">
        <f>YEAR(C2298)</f>
        <v/>
      </c>
      <c r="E2298" s="5">
        <f>MONTH(C2298)</f>
        <v/>
      </c>
      <c r="F2298" s="38" t="inlineStr">
        <is>
          <t>129</t>
        </is>
      </c>
      <c r="G2298" s="38" t="inlineStr">
        <is>
          <t>FRUGIS REPRESENTACOES LTDA (CNPJ 11.989.186/0001-70)</t>
        </is>
      </c>
      <c r="H2298" s="38" t="inlineStr">
        <is>
          <t>COMISSAO</t>
        </is>
      </c>
      <c r="I2298" s="40" t="n">
        <v>30672.73</v>
      </c>
      <c r="J2298" s="40" t="n">
        <v>0</v>
      </c>
      <c r="K2298" s="6">
        <f>I2298-J2298</f>
        <v/>
      </c>
      <c r="L2298" s="6">
        <f>IF(H2298="DISTRATO",0,I2298)</f>
        <v/>
      </c>
    </row>
    <row r="2299">
      <c r="A2299" s="38" t="inlineStr">
        <is>
          <t>Contas a pagar - aba Comissões</t>
        </is>
      </c>
      <c r="B2299" s="39" t="n">
        <v>44757</v>
      </c>
      <c r="C2299" s="4" t="n">
        <v>44713</v>
      </c>
      <c r="D2299" s="5">
        <f>YEAR(C2299)</f>
        <v/>
      </c>
      <c r="E2299" s="5">
        <f>MONTH(C2299)</f>
        <v/>
      </c>
      <c r="F2299" s="38" t="inlineStr">
        <is>
          <t>130</t>
        </is>
      </c>
      <c r="G2299" s="38" t="inlineStr">
        <is>
          <t>FRUGIS REPRESENTACOES LTDA (CNPJ 11.989.186/0001-70)</t>
        </is>
      </c>
      <c r="H2299" s="38" t="inlineStr">
        <is>
          <t>COMISSAO</t>
        </is>
      </c>
      <c r="I2299" s="40" t="n">
        <v>31090.99</v>
      </c>
      <c r="J2299" s="40" t="n">
        <v>0</v>
      </c>
      <c r="K2299" s="6">
        <f>I2299-J2299</f>
        <v/>
      </c>
      <c r="L2299" s="6">
        <f>IF(H2299="DISTRATO",0,I2299)</f>
        <v/>
      </c>
    </row>
    <row r="2300">
      <c r="A2300" s="38" t="inlineStr">
        <is>
          <t>Contas a pagar - aba Comissões</t>
        </is>
      </c>
      <c r="B2300" s="39" t="n">
        <v>44788</v>
      </c>
      <c r="C2300" s="4" t="n">
        <v>44743</v>
      </c>
      <c r="D2300" s="5">
        <f>YEAR(C2300)</f>
        <v/>
      </c>
      <c r="E2300" s="5">
        <f>MONTH(C2300)</f>
        <v/>
      </c>
      <c r="F2300" s="38" t="inlineStr">
        <is>
          <t>131</t>
        </is>
      </c>
      <c r="G2300" s="38" t="inlineStr">
        <is>
          <t>FRUGIS REPRESENTACOES LTDA (CNPJ 11.989.186/0001-70)</t>
        </is>
      </c>
      <c r="H2300" s="38" t="inlineStr">
        <is>
          <t>COMISSAO</t>
        </is>
      </c>
      <c r="I2300" s="40" t="n">
        <v>21073.56</v>
      </c>
      <c r="J2300" s="40" t="n">
        <v>0</v>
      </c>
      <c r="K2300" s="6">
        <f>I2300-J2300</f>
        <v/>
      </c>
      <c r="L2300" s="6">
        <f>IF(H2300="DISTRATO",0,I2300)</f>
        <v/>
      </c>
    </row>
    <row r="2301">
      <c r="A2301" s="38" t="inlineStr">
        <is>
          <t>Contas a pagar - aba Comissões</t>
        </is>
      </c>
      <c r="B2301" s="39" t="n">
        <v>44849</v>
      </c>
      <c r="C2301" s="4" t="n">
        <v>44805</v>
      </c>
      <c r="D2301" s="5">
        <f>YEAR(C2301)</f>
        <v/>
      </c>
      <c r="E2301" s="5">
        <f>MONTH(C2301)</f>
        <v/>
      </c>
      <c r="F2301" s="38" t="inlineStr">
        <is>
          <t>132</t>
        </is>
      </c>
      <c r="G2301" s="38" t="inlineStr">
        <is>
          <t>FRUGIS REPRESENTACOES LTDA (CNPJ 11.989.186/0001-70)</t>
        </is>
      </c>
      <c r="H2301" s="38" t="inlineStr">
        <is>
          <t>COMISSAO</t>
        </is>
      </c>
      <c r="I2301" s="40" t="n">
        <v>42626.11</v>
      </c>
      <c r="J2301" s="40" t="n">
        <v>0</v>
      </c>
      <c r="K2301" s="6">
        <f>I2301-J2301</f>
        <v/>
      </c>
      <c r="L2301" s="6">
        <f>IF(H2301="DISTRATO",0,I2301)</f>
        <v/>
      </c>
    </row>
    <row r="2302">
      <c r="A2302" s="38" t="inlineStr">
        <is>
          <t>Contas a pagar - aba Comissões</t>
        </is>
      </c>
      <c r="B2302" s="39" t="n">
        <v>44880</v>
      </c>
      <c r="C2302" s="4" t="n">
        <v>44835</v>
      </c>
      <c r="D2302" s="5">
        <f>YEAR(C2302)</f>
        <v/>
      </c>
      <c r="E2302" s="5">
        <f>MONTH(C2302)</f>
        <v/>
      </c>
      <c r="F2302" s="38" t="inlineStr">
        <is>
          <t>133</t>
        </is>
      </c>
      <c r="G2302" s="38" t="inlineStr">
        <is>
          <t>FRUGIS REPRESENTACOES LTDA (CNPJ 11.989.186/0001-70)</t>
        </is>
      </c>
      <c r="H2302" s="38" t="inlineStr">
        <is>
          <t>COMISSAO</t>
        </is>
      </c>
      <c r="I2302" s="40" t="n">
        <v>26052.54</v>
      </c>
      <c r="J2302" s="40" t="n">
        <v>0</v>
      </c>
      <c r="K2302" s="6">
        <f>I2302-J2302</f>
        <v/>
      </c>
      <c r="L2302" s="6">
        <f>IF(H2302="DISTRATO",0,I2302)</f>
        <v/>
      </c>
    </row>
    <row r="2303">
      <c r="A2303" s="38" t="inlineStr">
        <is>
          <t>Contas a pagar - aba Comissões</t>
        </is>
      </c>
      <c r="B2303" s="39" t="n">
        <v>44910</v>
      </c>
      <c r="C2303" s="4" t="n">
        <v>44866</v>
      </c>
      <c r="D2303" s="5">
        <f>YEAR(C2303)</f>
        <v/>
      </c>
      <c r="E2303" s="5">
        <f>MONTH(C2303)</f>
        <v/>
      </c>
      <c r="F2303" s="38" t="inlineStr">
        <is>
          <t>134</t>
        </is>
      </c>
      <c r="G2303" s="38" t="inlineStr">
        <is>
          <t>FRUGIS REPRESENTACOES LTDA (CNPJ 11.989.186/0001-70)</t>
        </is>
      </c>
      <c r="H2303" s="38" t="inlineStr">
        <is>
          <t>COMISSAO</t>
        </is>
      </c>
      <c r="I2303" s="40" t="n">
        <v>15606.46</v>
      </c>
      <c r="J2303" s="40" t="n">
        <v>0</v>
      </c>
      <c r="K2303" s="6">
        <f>I2303-J2303</f>
        <v/>
      </c>
      <c r="L2303" s="6">
        <f>IF(H2303="DISTRATO",0,I2303)</f>
        <v/>
      </c>
    </row>
    <row r="2304">
      <c r="A2304" s="38" t="inlineStr">
        <is>
          <t>Contas a pagar - aba Comissões</t>
        </is>
      </c>
      <c r="B2304" s="39" t="n">
        <v>44941</v>
      </c>
      <c r="C2304" s="4" t="n">
        <v>44896</v>
      </c>
      <c r="D2304" s="5">
        <f>YEAR(C2304)</f>
        <v/>
      </c>
      <c r="E2304" s="5">
        <f>MONTH(C2304)</f>
        <v/>
      </c>
      <c r="F2304" s="38" t="inlineStr">
        <is>
          <t>135</t>
        </is>
      </c>
      <c r="G2304" s="38" t="inlineStr">
        <is>
          <t>FRUGIS REPRESENTACOES LTDA (CNPJ 11.989.186/0001-70)</t>
        </is>
      </c>
      <c r="H2304" s="38" t="inlineStr">
        <is>
          <t>COMISSAO</t>
        </is>
      </c>
      <c r="I2304" s="40" t="n">
        <v>10919.82</v>
      </c>
      <c r="J2304" s="40" t="n">
        <v>0</v>
      </c>
      <c r="K2304" s="6">
        <f>I2304-J2304</f>
        <v/>
      </c>
      <c r="L2304" s="6">
        <f>IF(H2304="DISTRATO",0,I2304)</f>
        <v/>
      </c>
    </row>
    <row r="2305">
      <c r="A2305" s="38" t="inlineStr">
        <is>
          <t>Contas a pagar - aba Comissões</t>
        </is>
      </c>
      <c r="B2305" s="39" t="n">
        <v>44972</v>
      </c>
      <c r="C2305" s="4" t="n">
        <v>44927</v>
      </c>
      <c r="D2305" s="5">
        <f>YEAR(C2305)</f>
        <v/>
      </c>
      <c r="E2305" s="5">
        <f>MONTH(C2305)</f>
        <v/>
      </c>
      <c r="F2305" s="38" t="inlineStr">
        <is>
          <t>136</t>
        </is>
      </c>
      <c r="G2305" s="38" t="inlineStr">
        <is>
          <t>FRUGIS REPRESENTACOES LTDA (CNPJ 11.989.186/0001-70)</t>
        </is>
      </c>
      <c r="H2305" s="38" t="inlineStr">
        <is>
          <t>COMISSAO</t>
        </is>
      </c>
      <c r="I2305" s="40" t="n">
        <v>22738.21</v>
      </c>
      <c r="J2305" s="40" t="n">
        <v>0</v>
      </c>
      <c r="K2305" s="6">
        <f>I2305-J2305</f>
        <v/>
      </c>
      <c r="L2305" s="6">
        <f>IF(H2305="DISTRATO",0,I2305)</f>
        <v/>
      </c>
    </row>
    <row r="2306">
      <c r="A2306" s="38" t="inlineStr">
        <is>
          <t>Contas a pagar - aba Comissões</t>
        </is>
      </c>
      <c r="B2306" s="39" t="n">
        <v>45000</v>
      </c>
      <c r="C2306" s="4" t="n">
        <v>44958</v>
      </c>
      <c r="D2306" s="5">
        <f>YEAR(C2306)</f>
        <v/>
      </c>
      <c r="E2306" s="5">
        <f>MONTH(C2306)</f>
        <v/>
      </c>
      <c r="F2306" s="38" t="inlineStr">
        <is>
          <t>137</t>
        </is>
      </c>
      <c r="G2306" s="38" t="inlineStr">
        <is>
          <t>FRUGIS REPRESENTACOES LTDA (CNPJ 11.989.186/0001-70)</t>
        </is>
      </c>
      <c r="H2306" s="38" t="inlineStr">
        <is>
          <t>COMISSAO</t>
        </is>
      </c>
      <c r="I2306" s="40" t="n">
        <v>8849.27</v>
      </c>
      <c r="J2306" s="40" t="n">
        <v>0</v>
      </c>
      <c r="K2306" s="6">
        <f>I2306-J2306</f>
        <v/>
      </c>
      <c r="L2306" s="6">
        <f>IF(H2306="DISTRATO",0,I2306)</f>
        <v/>
      </c>
    </row>
    <row r="2307">
      <c r="A2307" s="38" t="inlineStr">
        <is>
          <t>Contas a pagar - aba Comissões</t>
        </is>
      </c>
      <c r="B2307" s="39" t="n">
        <v>45033</v>
      </c>
      <c r="C2307" s="4" t="n">
        <v>44986</v>
      </c>
      <c r="D2307" s="5">
        <f>YEAR(C2307)</f>
        <v/>
      </c>
      <c r="E2307" s="5">
        <f>MONTH(C2307)</f>
        <v/>
      </c>
      <c r="F2307" s="38" t="inlineStr">
        <is>
          <t>138</t>
        </is>
      </c>
      <c r="G2307" s="38" t="inlineStr">
        <is>
          <t>FRUGIS REPRESENTACOES LTDA (CNPJ 11.989.186/0001-70)</t>
        </is>
      </c>
      <c r="H2307" s="38" t="inlineStr">
        <is>
          <t>COMISSAO</t>
        </is>
      </c>
      <c r="I2307" s="40" t="n">
        <v>30612.19</v>
      </c>
      <c r="J2307" s="40" t="n">
        <v>3835.12</v>
      </c>
      <c r="K2307" s="6">
        <f>I2307-J2307</f>
        <v/>
      </c>
      <c r="L2307" s="6">
        <f>IF(H2307="DISTRATO",0,I2307)</f>
        <v/>
      </c>
    </row>
    <row r="2308">
      <c r="A2308" s="38" t="inlineStr">
        <is>
          <t>Contas a pagar - aba Comissões</t>
        </is>
      </c>
      <c r="B2308" s="39" t="n">
        <v>45061</v>
      </c>
      <c r="C2308" s="4" t="n">
        <v>45017</v>
      </c>
      <c r="D2308" s="5">
        <f>YEAR(C2308)</f>
        <v/>
      </c>
      <c r="E2308" s="5">
        <f>MONTH(C2308)</f>
        <v/>
      </c>
      <c r="F2308" s="38" t="inlineStr">
        <is>
          <t>139</t>
        </is>
      </c>
      <c r="G2308" s="38" t="inlineStr">
        <is>
          <t>FRUGIS REPRESENTACOES LTDA (CNPJ 11.989.186/0001-70)</t>
        </is>
      </c>
      <c r="H2308" s="38" t="inlineStr">
        <is>
          <t>COMISSAO</t>
        </is>
      </c>
      <c r="I2308" s="40" t="n">
        <v>12480.11</v>
      </c>
      <c r="J2308" s="40" t="n">
        <v>0</v>
      </c>
      <c r="K2308" s="6">
        <f>I2308-J2308</f>
        <v/>
      </c>
      <c r="L2308" s="6">
        <f>IF(H2308="DISTRATO",0,I2308)</f>
        <v/>
      </c>
    </row>
    <row r="2309">
      <c r="A2309" s="38" t="inlineStr">
        <is>
          <t>Contas a pagar - aba Comissões</t>
        </is>
      </c>
      <c r="B2309" s="39" t="n">
        <v>45092</v>
      </c>
      <c r="C2309" s="4" t="n">
        <v>45047</v>
      </c>
      <c r="D2309" s="5">
        <f>YEAR(C2309)</f>
        <v/>
      </c>
      <c r="E2309" s="5">
        <f>MONTH(C2309)</f>
        <v/>
      </c>
      <c r="F2309" s="38" t="inlineStr">
        <is>
          <t>140</t>
        </is>
      </c>
      <c r="G2309" s="38" t="inlineStr">
        <is>
          <t>FRUGIS REPRESENTACOES LTDA (CNPJ 11.989.186/0001-70)</t>
        </is>
      </c>
      <c r="H2309" s="38" t="inlineStr">
        <is>
          <t>COMISSAO</t>
        </is>
      </c>
      <c r="I2309" s="40" t="n">
        <v>28179.97</v>
      </c>
      <c r="J2309" s="40" t="n">
        <v>0</v>
      </c>
      <c r="K2309" s="6">
        <f>I2309-J2309</f>
        <v/>
      </c>
      <c r="L2309" s="6">
        <f>IF(H2309="DISTRATO",0,I2309)</f>
        <v/>
      </c>
    </row>
    <row r="2310">
      <c r="A2310" s="38" t="inlineStr">
        <is>
          <t>Contas a pagar - aba Comissões</t>
        </is>
      </c>
      <c r="B2310" s="39" t="n">
        <v>45124</v>
      </c>
      <c r="C2310" s="4" t="n">
        <v>45078</v>
      </c>
      <c r="D2310" s="5">
        <f>YEAR(C2310)</f>
        <v/>
      </c>
      <c r="E2310" s="5">
        <f>MONTH(C2310)</f>
        <v/>
      </c>
      <c r="F2310" s="38" t="inlineStr">
        <is>
          <t>141</t>
        </is>
      </c>
      <c r="G2310" s="38" t="inlineStr">
        <is>
          <t>FRUGIS REPRESENTACOES LTDA (CNPJ 11.989.186/0001-70)</t>
        </is>
      </c>
      <c r="H2310" s="38" t="inlineStr">
        <is>
          <t>COMISSAO</t>
        </is>
      </c>
      <c r="I2310" s="40" t="n">
        <v>31811.06</v>
      </c>
      <c r="J2310" s="40" t="n">
        <v>0</v>
      </c>
      <c r="K2310" s="6">
        <f>I2310-J2310</f>
        <v/>
      </c>
      <c r="L2310" s="6">
        <f>IF(H2310="DISTRATO",0,I2310)</f>
        <v/>
      </c>
    </row>
    <row r="2311">
      <c r="A2311" s="38" t="inlineStr">
        <is>
          <t>Contas a pagar - aba Comissões</t>
        </is>
      </c>
      <c r="B2311" s="39" t="n">
        <v>45153</v>
      </c>
      <c r="C2311" s="4" t="n">
        <v>45108</v>
      </c>
      <c r="D2311" s="5">
        <f>YEAR(C2311)</f>
        <v/>
      </c>
      <c r="E2311" s="5">
        <f>MONTH(C2311)</f>
        <v/>
      </c>
      <c r="F2311" s="38" t="inlineStr">
        <is>
          <t>142</t>
        </is>
      </c>
      <c r="G2311" s="38" t="inlineStr">
        <is>
          <t>FRUGIS REPRESENTACOES LTDA (CNPJ 11.989.186/0001-70)</t>
        </is>
      </c>
      <c r="H2311" s="38" t="inlineStr">
        <is>
          <t>COMISSAO</t>
        </is>
      </c>
      <c r="I2311" s="40" t="n">
        <v>24574.17</v>
      </c>
      <c r="J2311" s="40" t="n">
        <v>2876.39</v>
      </c>
      <c r="K2311" s="6">
        <f>I2311-J2311</f>
        <v/>
      </c>
      <c r="L2311" s="6">
        <f>IF(H2311="DISTRATO",0,I2311)</f>
        <v/>
      </c>
    </row>
    <row r="2312">
      <c r="A2312" s="38" t="inlineStr">
        <is>
          <t>Contas a pagar - aba Comissões</t>
        </is>
      </c>
      <c r="B2312" s="39" t="n">
        <v>45184</v>
      </c>
      <c r="C2312" s="4" t="n">
        <v>45139</v>
      </c>
      <c r="D2312" s="5">
        <f>YEAR(C2312)</f>
        <v/>
      </c>
      <c r="E2312" s="5">
        <f>MONTH(C2312)</f>
        <v/>
      </c>
      <c r="F2312" s="38" t="inlineStr">
        <is>
          <t>143</t>
        </is>
      </c>
      <c r="G2312" s="38" t="inlineStr">
        <is>
          <t>FRUGIS REPRESENTACOES LTDA (CNPJ 11.989.186/0001-70)</t>
        </is>
      </c>
      <c r="H2312" s="38" t="inlineStr">
        <is>
          <t>COMISSAO</t>
        </is>
      </c>
      <c r="I2312" s="40" t="n">
        <v>32188.63</v>
      </c>
      <c r="J2312" s="40" t="n">
        <v>0</v>
      </c>
      <c r="K2312" s="6">
        <f>I2312-J2312</f>
        <v/>
      </c>
      <c r="L2312" s="6">
        <f>IF(H2312="DISTRATO",0,I2312)</f>
        <v/>
      </c>
    </row>
    <row r="2313">
      <c r="A2313" s="38" t="inlineStr">
        <is>
          <t>Contas a pagar - aba Comissões</t>
        </is>
      </c>
      <c r="B2313" s="39" t="n">
        <v>45215</v>
      </c>
      <c r="C2313" s="4" t="n">
        <v>45170</v>
      </c>
      <c r="D2313" s="5">
        <f>YEAR(C2313)</f>
        <v/>
      </c>
      <c r="E2313" s="5">
        <f>MONTH(C2313)</f>
        <v/>
      </c>
      <c r="F2313" s="38" t="inlineStr">
        <is>
          <t>144</t>
        </is>
      </c>
      <c r="G2313" s="38" t="inlineStr">
        <is>
          <t>FRUGIS REPRESENTACOES LTDA (CNPJ 11.989.186/0001-70)</t>
        </is>
      </c>
      <c r="H2313" s="38" t="inlineStr">
        <is>
          <t>COMISSAO</t>
        </is>
      </c>
      <c r="I2313" s="40" t="n">
        <v>8646.93</v>
      </c>
      <c r="J2313" s="40" t="n">
        <v>0</v>
      </c>
      <c r="K2313" s="6">
        <f>I2313-J2313</f>
        <v/>
      </c>
      <c r="L2313" s="6">
        <f>IF(H2313="DISTRATO",0,I2313)</f>
        <v/>
      </c>
    </row>
    <row r="2314">
      <c r="A2314" s="38" t="inlineStr">
        <is>
          <t>Contas a pagar - aba Comissões</t>
        </is>
      </c>
      <c r="B2314" s="39" t="n">
        <v>45246</v>
      </c>
      <c r="C2314" s="4" t="n">
        <v>45200</v>
      </c>
      <c r="D2314" s="5">
        <f>YEAR(C2314)</f>
        <v/>
      </c>
      <c r="E2314" s="5">
        <f>MONTH(C2314)</f>
        <v/>
      </c>
      <c r="F2314" s="38" t="inlineStr">
        <is>
          <t>145</t>
        </is>
      </c>
      <c r="G2314" s="38" t="inlineStr">
        <is>
          <t>FRUGIS REPRESENTACOES LTDA (CNPJ 11.989.186/0001-70)</t>
        </is>
      </c>
      <c r="H2314" s="38" t="inlineStr">
        <is>
          <t>COMISSAO</t>
        </is>
      </c>
      <c r="I2314" s="40" t="n">
        <v>30906.7</v>
      </c>
      <c r="J2314" s="40" t="n">
        <v>0.01</v>
      </c>
      <c r="K2314" s="6">
        <f>I2314-J2314</f>
        <v/>
      </c>
      <c r="L2314" s="6">
        <f>IF(H2314="DISTRATO",0,I2314)</f>
        <v/>
      </c>
    </row>
    <row r="2315">
      <c r="A2315" s="38" t="inlineStr">
        <is>
          <t>Contas a pagar - aba Comissões</t>
        </is>
      </c>
      <c r="B2315" s="39" t="n">
        <v>45275</v>
      </c>
      <c r="C2315" s="4" t="n">
        <v>45231</v>
      </c>
      <c r="D2315" s="5">
        <f>YEAR(C2315)</f>
        <v/>
      </c>
      <c r="E2315" s="5">
        <f>MONTH(C2315)</f>
        <v/>
      </c>
      <c r="F2315" s="38" t="inlineStr">
        <is>
          <t>146</t>
        </is>
      </c>
      <c r="G2315" s="38" t="inlineStr">
        <is>
          <t>FRUGIS REPRESENTACOES LTDA (CNPJ 11.989.186/0001-70)</t>
        </is>
      </c>
      <c r="H2315" s="38" t="inlineStr">
        <is>
          <t>COMISSAO</t>
        </is>
      </c>
      <c r="I2315" s="40" t="n">
        <v>24222.46</v>
      </c>
      <c r="J2315" s="40" t="n">
        <v>0</v>
      </c>
      <c r="K2315" s="6">
        <f>I2315-J2315</f>
        <v/>
      </c>
      <c r="L2315" s="6">
        <f>IF(H2315="DISTRATO",0,I2315)</f>
        <v/>
      </c>
    </row>
    <row r="2316">
      <c r="A2316" s="38" t="inlineStr">
        <is>
          <t>Contas a pagar - aba Comissões</t>
        </is>
      </c>
      <c r="B2316" s="39" t="n">
        <v>45306</v>
      </c>
      <c r="C2316" s="4" t="n">
        <v>45261</v>
      </c>
      <c r="D2316" s="5">
        <f>YEAR(C2316)</f>
        <v/>
      </c>
      <c r="E2316" s="5">
        <f>MONTH(C2316)</f>
        <v/>
      </c>
      <c r="F2316" s="38" t="inlineStr">
        <is>
          <t>147</t>
        </is>
      </c>
      <c r="G2316" s="38" t="inlineStr">
        <is>
          <t>FRUGIS REPRESENTACOES LTDA (CNPJ 11.989.186/0001-70)</t>
        </is>
      </c>
      <c r="H2316" s="38" t="inlineStr">
        <is>
          <t>COMISSAO</t>
        </is>
      </c>
      <c r="I2316" s="40" t="n">
        <v>20414.82</v>
      </c>
      <c r="J2316" s="40" t="n">
        <v>0</v>
      </c>
      <c r="K2316" s="6">
        <f>I2316-J2316</f>
        <v/>
      </c>
      <c r="L2316" s="6">
        <f>IF(H2316="DISTRATO",0,I2316)</f>
        <v/>
      </c>
    </row>
    <row r="2317">
      <c r="A2317" s="38" t="inlineStr">
        <is>
          <t>Contas a pagar - aba Comissões</t>
        </is>
      </c>
      <c r="B2317" s="39" t="n">
        <v>45337</v>
      </c>
      <c r="C2317" s="4" t="n">
        <v>45292</v>
      </c>
      <c r="D2317" s="5">
        <f>YEAR(C2317)</f>
        <v/>
      </c>
      <c r="E2317" s="5">
        <f>MONTH(C2317)</f>
        <v/>
      </c>
      <c r="F2317" s="38" t="inlineStr">
        <is>
          <t>148</t>
        </is>
      </c>
      <c r="G2317" s="38" t="inlineStr">
        <is>
          <t>FRUGIS REPRESENTACOES LTDA (CNPJ 11.989.186/0001-70)</t>
        </is>
      </c>
      <c r="H2317" s="38" t="inlineStr">
        <is>
          <t>COMISSAO</t>
        </is>
      </c>
      <c r="I2317" s="40" t="n">
        <v>18505.86</v>
      </c>
      <c r="J2317" s="40" t="n">
        <v>0</v>
      </c>
      <c r="K2317" s="6">
        <f>I2317-J2317</f>
        <v/>
      </c>
      <c r="L2317" s="6">
        <f>IF(H2317="DISTRATO",0,I2317)</f>
        <v/>
      </c>
    </row>
    <row r="2318">
      <c r="A2318" s="38" t="inlineStr">
        <is>
          <t>Contas a pagar - aba Comissões</t>
        </is>
      </c>
      <c r="B2318" s="39" t="n">
        <v>45366</v>
      </c>
      <c r="C2318" s="4" t="n">
        <v>45323</v>
      </c>
      <c r="D2318" s="5">
        <f>YEAR(C2318)</f>
        <v/>
      </c>
      <c r="E2318" s="5">
        <f>MONTH(C2318)</f>
        <v/>
      </c>
      <c r="F2318" s="38" t="inlineStr">
        <is>
          <t>149</t>
        </is>
      </c>
      <c r="G2318" s="38" t="inlineStr">
        <is>
          <t>FRUGIS REPRESENTACOES LTDA (CNPJ 11.989.186/0001-70)</t>
        </is>
      </c>
      <c r="H2318" s="38" t="inlineStr">
        <is>
          <t>COMISSAO</t>
        </is>
      </c>
      <c r="I2318" s="40" t="n">
        <v>27627.71</v>
      </c>
      <c r="J2318" s="40" t="n">
        <v>0</v>
      </c>
      <c r="K2318" s="6">
        <f>I2318-J2318</f>
        <v/>
      </c>
      <c r="L2318" s="6">
        <f>IF(H2318="DISTRATO",0,I2318)</f>
        <v/>
      </c>
    </row>
    <row r="2319">
      <c r="A2319" s="38" t="inlineStr">
        <is>
          <t>Contas a pagar - aba Comissões</t>
        </is>
      </c>
      <c r="B2319" s="39" t="n">
        <v>45397</v>
      </c>
      <c r="C2319" s="4" t="n">
        <v>45352</v>
      </c>
      <c r="D2319" s="5">
        <f>YEAR(C2319)</f>
        <v/>
      </c>
      <c r="E2319" s="5">
        <f>MONTH(C2319)</f>
        <v/>
      </c>
      <c r="F2319" s="38" t="inlineStr">
        <is>
          <t>150</t>
        </is>
      </c>
      <c r="G2319" s="38" t="inlineStr">
        <is>
          <t>FRUGIS REPRESENTACOES LTDA (CNPJ 11.989.186/0001-70)</t>
        </is>
      </c>
      <c r="H2319" s="38" t="inlineStr">
        <is>
          <t>COMISSAO</t>
        </is>
      </c>
      <c r="I2319" s="40" t="n">
        <v>21939.39</v>
      </c>
      <c r="J2319" s="40" t="n">
        <v>0</v>
      </c>
      <c r="K2319" s="6">
        <f>I2319-J2319</f>
        <v/>
      </c>
      <c r="L2319" s="6">
        <f>IF(H2319="DISTRATO",0,I2319)</f>
        <v/>
      </c>
    </row>
    <row r="2320">
      <c r="A2320" s="38" t="inlineStr">
        <is>
          <t>Contas a pagar - aba Comissões</t>
        </is>
      </c>
      <c r="B2320" s="39" t="n">
        <v>45427</v>
      </c>
      <c r="C2320" s="4" t="n">
        <v>45383</v>
      </c>
      <c r="D2320" s="5">
        <f>YEAR(C2320)</f>
        <v/>
      </c>
      <c r="E2320" s="5">
        <f>MONTH(C2320)</f>
        <v/>
      </c>
      <c r="F2320" s="38" t="inlineStr">
        <is>
          <t>151</t>
        </is>
      </c>
      <c r="G2320" s="38" t="inlineStr">
        <is>
          <t>FRUGIS REPRESENTACOES LTDA (CNPJ 11.989.186/0001-70)</t>
        </is>
      </c>
      <c r="H2320" s="38" t="inlineStr">
        <is>
          <t>COMISSAO</t>
        </is>
      </c>
      <c r="I2320" s="40" t="n">
        <v>19857.4</v>
      </c>
      <c r="J2320" s="40" t="n">
        <v>0</v>
      </c>
      <c r="K2320" s="6">
        <f>I2320-J2320</f>
        <v/>
      </c>
      <c r="L2320" s="6">
        <f>IF(H2320="DISTRATO",0,I2320)</f>
        <v/>
      </c>
    </row>
    <row r="2321">
      <c r="A2321" s="38" t="inlineStr">
        <is>
          <t>Contas a pagar - aba Comissões</t>
        </is>
      </c>
      <c r="B2321" s="39" t="n">
        <v>45427</v>
      </c>
      <c r="C2321" s="4" t="n">
        <v>45383</v>
      </c>
      <c r="D2321" s="5">
        <f>YEAR(C2321)</f>
        <v/>
      </c>
      <c r="E2321" s="5">
        <f>MONTH(C2321)</f>
        <v/>
      </c>
      <c r="F2321" s="38" t="inlineStr">
        <is>
          <t>152</t>
        </is>
      </c>
      <c r="G2321" s="38" t="inlineStr">
        <is>
          <t>FRUGIS REPRESENTACOES LTDA (CNPJ 11.989.186/0001-70)</t>
        </is>
      </c>
      <c r="H2321" s="38" t="inlineStr">
        <is>
          <t>PREMIO</t>
        </is>
      </c>
      <c r="I2321" s="40" t="n">
        <v>2000</v>
      </c>
      <c r="J2321" s="40" t="n">
        <v>0</v>
      </c>
      <c r="K2321" s="6">
        <f>I2321-J2321</f>
        <v/>
      </c>
      <c r="L2321" s="6">
        <f>IF(H2321="DISTRATO",0,I2321)</f>
        <v/>
      </c>
    </row>
    <row r="2322">
      <c r="A2322" s="38" t="inlineStr">
        <is>
          <t>Contas a pagar - aba Comissões</t>
        </is>
      </c>
      <c r="B2322" s="39" t="n">
        <v>45488</v>
      </c>
      <c r="C2322" s="4" t="n">
        <v>45444</v>
      </c>
      <c r="D2322" s="5">
        <f>YEAR(C2322)</f>
        <v/>
      </c>
      <c r="E2322" s="5">
        <f>MONTH(C2322)</f>
        <v/>
      </c>
      <c r="F2322" s="38" t="inlineStr">
        <is>
          <t>153</t>
        </is>
      </c>
      <c r="G2322" s="38" t="inlineStr">
        <is>
          <t>FRUGIS REPRESENTACOES LTDA (CNPJ 11.989.186/0001-70)</t>
        </is>
      </c>
      <c r="H2322" s="38" t="inlineStr">
        <is>
          <t>COMISSAO</t>
        </is>
      </c>
      <c r="I2322" s="40" t="n">
        <v>35165</v>
      </c>
      <c r="J2322" s="40" t="n">
        <v>0</v>
      </c>
      <c r="K2322" s="6">
        <f>I2322-J2322</f>
        <v/>
      </c>
      <c r="L2322" s="6">
        <f>IF(H2322="DISTRATO",0,I2322)</f>
        <v/>
      </c>
    </row>
    <row r="2323">
      <c r="A2323" s="38" t="inlineStr">
        <is>
          <t>Contas a pagar - aba Comissões</t>
        </is>
      </c>
      <c r="B2323" s="39" t="n">
        <v>45519</v>
      </c>
      <c r="C2323" s="4" t="n">
        <v>45474</v>
      </c>
      <c r="D2323" s="5">
        <f>YEAR(C2323)</f>
        <v/>
      </c>
      <c r="E2323" s="5">
        <f>MONTH(C2323)</f>
        <v/>
      </c>
      <c r="F2323" s="38" t="inlineStr">
        <is>
          <t>154</t>
        </is>
      </c>
      <c r="G2323" s="38" t="inlineStr">
        <is>
          <t>FRUGIS REPRESENTACOES LTDA (CNPJ 11.989.186/0001-70)</t>
        </is>
      </c>
      <c r="H2323" s="38" t="inlineStr">
        <is>
          <t>COMISSAO</t>
        </is>
      </c>
      <c r="I2323" s="40" t="n">
        <v>10669.56</v>
      </c>
      <c r="J2323" s="40" t="n">
        <v>371.53</v>
      </c>
      <c r="K2323" s="6">
        <f>I2323-J2323</f>
        <v/>
      </c>
      <c r="L2323" s="6">
        <f>IF(H2323="DISTRATO",0,I2323)</f>
        <v/>
      </c>
    </row>
    <row r="2324">
      <c r="A2324" s="38" t="inlineStr">
        <is>
          <t>Contas a pagar - aba Comissões</t>
        </is>
      </c>
      <c r="B2324" s="39" t="n">
        <v>45551</v>
      </c>
      <c r="C2324" s="4" t="n">
        <v>45505</v>
      </c>
      <c r="D2324" s="5">
        <f>YEAR(C2324)</f>
        <v/>
      </c>
      <c r="E2324" s="5">
        <f>MONTH(C2324)</f>
        <v/>
      </c>
      <c r="F2324" s="38" t="inlineStr">
        <is>
          <t>155</t>
        </is>
      </c>
      <c r="G2324" s="38" t="inlineStr">
        <is>
          <t>FRUGIS REPRESENTACOES LTDA (CNPJ 11.989.186/0001-70)</t>
        </is>
      </c>
      <c r="H2324" s="38" t="inlineStr">
        <is>
          <t>COMISSAO</t>
        </is>
      </c>
      <c r="I2324" s="40" t="n">
        <v>6226.18</v>
      </c>
      <c r="J2324" s="40" t="n">
        <v>371.52</v>
      </c>
      <c r="K2324" s="6">
        <f>I2324-J2324</f>
        <v/>
      </c>
      <c r="L2324" s="6">
        <f>IF(H2324="DISTRATO",0,I2324)</f>
        <v/>
      </c>
    </row>
    <row r="2325">
      <c r="A2325" s="38" t="inlineStr">
        <is>
          <t>Contas a pagar - aba Comissões</t>
        </is>
      </c>
      <c r="B2325" s="39" t="n">
        <v>45580</v>
      </c>
      <c r="C2325" s="4" t="n">
        <v>45536</v>
      </c>
      <c r="D2325" s="5">
        <f>YEAR(C2325)</f>
        <v/>
      </c>
      <c r="E2325" s="5">
        <f>MONTH(C2325)</f>
        <v/>
      </c>
      <c r="F2325" s="38" t="inlineStr">
        <is>
          <t>156</t>
        </is>
      </c>
      <c r="G2325" s="38" t="inlineStr">
        <is>
          <t>FRUGIS REPRESENTACOES LTDA (CNPJ 11.989.186/0001-70)</t>
        </is>
      </c>
      <c r="H2325" s="38" t="inlineStr">
        <is>
          <t>COMISSAO</t>
        </is>
      </c>
      <c r="I2325" s="40" t="n">
        <v>8455.809999999999</v>
      </c>
      <c r="J2325" s="40" t="n">
        <v>371.51</v>
      </c>
      <c r="K2325" s="6">
        <f>I2325-J2325</f>
        <v/>
      </c>
      <c r="L2325" s="6">
        <f>IF(H2325="DISTRATO",0,I2325)</f>
        <v/>
      </c>
    </row>
    <row r="2326">
      <c r="A2326" s="38" t="inlineStr">
        <is>
          <t>Contas a pagar - aba Comissões</t>
        </is>
      </c>
      <c r="B2326" s="39" t="n">
        <v>45614</v>
      </c>
      <c r="C2326" s="4" t="n">
        <v>45566</v>
      </c>
      <c r="D2326" s="5">
        <f>YEAR(C2326)</f>
        <v/>
      </c>
      <c r="E2326" s="5">
        <f>MONTH(C2326)</f>
        <v/>
      </c>
      <c r="F2326" s="38" t="inlineStr">
        <is>
          <t>157</t>
        </is>
      </c>
      <c r="G2326" s="38" t="inlineStr">
        <is>
          <t>FRUGIS REPRESENTACOES LTDA (CNPJ 11.989.186/0001-70)</t>
        </is>
      </c>
      <c r="H2326" s="38" t="inlineStr">
        <is>
          <t>COMISSAO</t>
        </is>
      </c>
      <c r="I2326" s="40" t="n">
        <v>12856.04</v>
      </c>
      <c r="J2326" s="40" t="n">
        <v>371.51</v>
      </c>
      <c r="K2326" s="6">
        <f>I2326-J2326</f>
        <v/>
      </c>
      <c r="L2326" s="6">
        <f>IF(H2326="DISTRATO",0,I2326)</f>
        <v/>
      </c>
    </row>
    <row r="2327">
      <c r="A2327" s="38" t="inlineStr">
        <is>
          <t>Contas a pagar - aba Comissões</t>
        </is>
      </c>
      <c r="B2327" s="39" t="n">
        <v>45642</v>
      </c>
      <c r="C2327" s="4" t="n">
        <v>45597</v>
      </c>
      <c r="D2327" s="5">
        <f>YEAR(C2327)</f>
        <v/>
      </c>
      <c r="E2327" s="5">
        <f>MONTH(C2327)</f>
        <v/>
      </c>
      <c r="F2327" s="38" t="inlineStr">
        <is>
          <t>158</t>
        </is>
      </c>
      <c r="G2327" s="38" t="inlineStr">
        <is>
          <t>FRUGIS REPRESENTACOES LTDA (CNPJ 11.989.186/0001-70)</t>
        </is>
      </c>
      <c r="H2327" s="38" t="inlineStr">
        <is>
          <t>COMISSAO</t>
        </is>
      </c>
      <c r="I2327" s="40" t="n">
        <v>9274.77</v>
      </c>
      <c r="J2327" s="40" t="n">
        <v>371.51</v>
      </c>
      <c r="K2327" s="6">
        <f>I2327-J2327</f>
        <v/>
      </c>
      <c r="L2327" s="6">
        <f>IF(H2327="DISTRATO",0,I2327)</f>
        <v/>
      </c>
    </row>
    <row r="2328">
      <c r="A2328" s="38" t="inlineStr">
        <is>
          <t>Contas a pagar - aba Comissões</t>
        </is>
      </c>
      <c r="B2328" s="39" t="n">
        <v>45672</v>
      </c>
      <c r="C2328" s="4" t="n">
        <v>45627</v>
      </c>
      <c r="D2328" s="5">
        <f>YEAR(C2328)</f>
        <v/>
      </c>
      <c r="E2328" s="5">
        <f>MONTH(C2328)</f>
        <v/>
      </c>
      <c r="F2328" s="38" t="inlineStr">
        <is>
          <t>159</t>
        </is>
      </c>
      <c r="G2328" s="38" t="inlineStr">
        <is>
          <t>FRUGIS REPRESENTACOES LTDA (CNPJ 11.989.186/0001-70)</t>
        </is>
      </c>
      <c r="H2328" s="38" t="inlineStr">
        <is>
          <t>COMISSAO</t>
        </is>
      </c>
      <c r="I2328" s="40" t="n">
        <v>11695.62</v>
      </c>
      <c r="J2328" s="40" t="n">
        <v>371.52</v>
      </c>
      <c r="K2328" s="6">
        <f>I2328-J2328</f>
        <v/>
      </c>
      <c r="L2328" s="6">
        <f>IF(H2328="DISTRATO",0,I2328)</f>
        <v/>
      </c>
    </row>
    <row r="2329">
      <c r="A2329" s="38" t="inlineStr">
        <is>
          <t>Contas a pagar - aba Comissões</t>
        </is>
      </c>
      <c r="B2329" s="39" t="n">
        <v>45708</v>
      </c>
      <c r="C2329" s="4" t="n">
        <v>45658</v>
      </c>
      <c r="D2329" s="5">
        <f>YEAR(C2329)</f>
        <v/>
      </c>
      <c r="E2329" s="5">
        <f>MONTH(C2329)</f>
        <v/>
      </c>
      <c r="F2329" s="38" t="inlineStr">
        <is>
          <t>160</t>
        </is>
      </c>
      <c r="G2329" s="38" t="inlineStr">
        <is>
          <t>FRUGIS REPRESENTACOES LTDA (CNPJ 11.989.186/0001-70)</t>
        </is>
      </c>
      <c r="H2329" s="38" t="inlineStr">
        <is>
          <t>COMISSAO</t>
        </is>
      </c>
      <c r="I2329" s="40" t="n">
        <v>7222.03</v>
      </c>
      <c r="J2329" s="40" t="n">
        <v>371.51</v>
      </c>
      <c r="K2329" s="6">
        <f>I2329-J2329</f>
        <v/>
      </c>
      <c r="L2329" s="6">
        <f>IF(H2329="DISTRATO",0,I2329)</f>
        <v/>
      </c>
    </row>
    <row r="2330">
      <c r="A2330" s="38" t="inlineStr">
        <is>
          <t>Contas a pagar - aba Comissões</t>
        </is>
      </c>
      <c r="B2330" s="39" t="n">
        <v>45762</v>
      </c>
      <c r="C2330" s="4" t="n">
        <v>45717</v>
      </c>
      <c r="D2330" s="5">
        <f>YEAR(C2330)</f>
        <v/>
      </c>
      <c r="E2330" s="5">
        <f>MONTH(C2330)</f>
        <v/>
      </c>
      <c r="F2330" s="38" t="inlineStr">
        <is>
          <t>161</t>
        </is>
      </c>
      <c r="G2330" s="38" t="inlineStr">
        <is>
          <t>FRUGIS REPRESENTACOES LTDA (CNPJ 11.989.186/0001-70)</t>
        </is>
      </c>
      <c r="H2330" s="38" t="inlineStr">
        <is>
          <t>COMISSAO</t>
        </is>
      </c>
      <c r="I2330" s="40" t="n">
        <v>20670.62</v>
      </c>
      <c r="J2330" s="40" t="n">
        <v>743.09</v>
      </c>
      <c r="K2330" s="6">
        <f>I2330-J2330</f>
        <v/>
      </c>
      <c r="L2330" s="6">
        <f>IF(H2330="DISTRATO",0,I2330)</f>
        <v/>
      </c>
    </row>
    <row r="2331">
      <c r="A2331" s="38" t="inlineStr">
        <is>
          <t>Contas a pagar - aba Comissões</t>
        </is>
      </c>
      <c r="B2331" s="39" t="n">
        <v>45792</v>
      </c>
      <c r="C2331" s="4" t="n">
        <v>45748</v>
      </c>
      <c r="D2331" s="5">
        <f>YEAR(C2331)</f>
        <v/>
      </c>
      <c r="E2331" s="5">
        <f>MONTH(C2331)</f>
        <v/>
      </c>
      <c r="F2331" s="38" t="inlineStr">
        <is>
          <t>162</t>
        </is>
      </c>
      <c r="G2331" s="38" t="inlineStr">
        <is>
          <t>FRUGIS REPRESENTACOES LTDA (CNPJ 11.989.186/0001-70)</t>
        </is>
      </c>
      <c r="H2331" s="38" t="inlineStr">
        <is>
          <t>COMISSAO</t>
        </is>
      </c>
      <c r="I2331" s="40" t="n">
        <v>11153.34</v>
      </c>
      <c r="J2331" s="40" t="n">
        <v>371.51</v>
      </c>
      <c r="K2331" s="6">
        <f>I2331-J2331</f>
        <v/>
      </c>
      <c r="L2331" s="6">
        <f>IF(H2331="DISTRATO",0,I2331)</f>
        <v/>
      </c>
    </row>
    <row r="2332">
      <c r="A2332" s="38" t="inlineStr">
        <is>
          <t>Contas a pagar - aba Comissões</t>
        </is>
      </c>
      <c r="B2332" s="39" t="n">
        <v>45853</v>
      </c>
      <c r="C2332" s="4" t="n">
        <v>45809</v>
      </c>
      <c r="D2332" s="5">
        <f>YEAR(C2332)</f>
        <v/>
      </c>
      <c r="E2332" s="5">
        <f>MONTH(C2332)</f>
        <v/>
      </c>
      <c r="F2332" s="38" t="inlineStr">
        <is>
          <t>163</t>
        </is>
      </c>
      <c r="G2332" s="38" t="inlineStr">
        <is>
          <t>FRUGIS REPRESENTACOES LTDA (CNPJ 11.989.186/0001-70)</t>
        </is>
      </c>
      <c r="H2332" s="38" t="inlineStr">
        <is>
          <t>COMISSAO</t>
        </is>
      </c>
      <c r="I2332" s="40" t="n">
        <v>11634.56</v>
      </c>
      <c r="J2332" s="40" t="n">
        <v>743.03</v>
      </c>
      <c r="K2332" s="6">
        <f>I2332-J2332</f>
        <v/>
      </c>
      <c r="L2332" s="6">
        <f>IF(H2332="DISTRATO",0,I2332)</f>
        <v/>
      </c>
    </row>
    <row r="2333">
      <c r="A2333" s="38" t="inlineStr">
        <is>
          <t>Contas a pagar - aba Comissões</t>
        </is>
      </c>
      <c r="B2333" s="39" t="n">
        <v>45884</v>
      </c>
      <c r="C2333" s="4" t="n">
        <v>45839</v>
      </c>
      <c r="D2333" s="5">
        <f>YEAR(C2333)</f>
        <v/>
      </c>
      <c r="E2333" s="5">
        <f>MONTH(C2333)</f>
        <v/>
      </c>
      <c r="F2333" s="38" t="inlineStr">
        <is>
          <t>164</t>
        </is>
      </c>
      <c r="G2333" s="38" t="inlineStr">
        <is>
          <t>FRUGIS REPRESENTACOES LTDA (CNPJ 11.989.186/0001-70)</t>
        </is>
      </c>
      <c r="H2333" s="38" t="inlineStr">
        <is>
          <t>COMISSAO</t>
        </is>
      </c>
      <c r="I2333" s="40" t="n">
        <v>11399.31</v>
      </c>
      <c r="J2333" s="40" t="n">
        <v>371.52</v>
      </c>
      <c r="K2333" s="6">
        <f>I2333-J2333</f>
        <v/>
      </c>
      <c r="L2333" s="6">
        <f>IF(H2333="DISTRATO",0,I2333)</f>
        <v/>
      </c>
    </row>
    <row r="2334">
      <c r="A2334" s="38" t="inlineStr">
        <is>
          <t>Contas a pagar - aba Comissões</t>
        </is>
      </c>
      <c r="B2334" s="39" t="n">
        <v>45915</v>
      </c>
      <c r="C2334" s="4" t="n">
        <v>45870</v>
      </c>
      <c r="D2334" s="5">
        <f>YEAR(C2334)</f>
        <v/>
      </c>
      <c r="E2334" s="5">
        <f>MONTH(C2334)</f>
        <v/>
      </c>
      <c r="F2334" s="38" t="inlineStr">
        <is>
          <t>165</t>
        </is>
      </c>
      <c r="G2334" s="38" t="inlineStr">
        <is>
          <t>FRUGIS REPRESENTACOES LTDA (CNPJ 11.989.186/0001-70)</t>
        </is>
      </c>
      <c r="H2334" s="38" t="inlineStr">
        <is>
          <t>COMISSAO</t>
        </is>
      </c>
      <c r="I2334" s="40" t="n">
        <v>17130.8</v>
      </c>
      <c r="J2334" s="40" t="n">
        <v>443.36</v>
      </c>
      <c r="K2334" s="6">
        <f>I2334-J2334</f>
        <v/>
      </c>
      <c r="L2334" s="6">
        <f>IF(H2334="DISTRATO",0,I2334)</f>
        <v/>
      </c>
    </row>
    <row r="2335">
      <c r="A2335" s="38" t="inlineStr">
        <is>
          <t>Contas a pagar - aba Comissões</t>
        </is>
      </c>
      <c r="B2335" s="39" t="n">
        <v>45978</v>
      </c>
      <c r="C2335" s="4" t="n">
        <v>45931</v>
      </c>
      <c r="D2335" s="5">
        <f>YEAR(C2335)</f>
        <v/>
      </c>
      <c r="E2335" s="5">
        <f>MONTH(C2335)</f>
        <v/>
      </c>
      <c r="F2335" s="38" t="inlineStr">
        <is>
          <t>166</t>
        </is>
      </c>
      <c r="G2335" s="38" t="inlineStr">
        <is>
          <t>FRUGIS REPRESENTACOES LTDA (CNPJ 11.989.186/0001-70)</t>
        </is>
      </c>
      <c r="H2335" s="38" t="inlineStr">
        <is>
          <t>COMISSAO</t>
        </is>
      </c>
      <c r="I2335" s="40" t="n">
        <v>30237.71</v>
      </c>
      <c r="J2335" s="40" t="n">
        <v>830.5700000000001</v>
      </c>
      <c r="K2335" s="6">
        <f>I2335-J2335</f>
        <v/>
      </c>
      <c r="L2335" s="6">
        <f>IF(H2335="DISTRATO",0,I2335)</f>
        <v/>
      </c>
    </row>
    <row r="2336">
      <c r="A2336" s="38" t="inlineStr">
        <is>
          <t>Contas a pagar - aba Comissões</t>
        </is>
      </c>
      <c r="B2336" s="39" t="n">
        <v>46037</v>
      </c>
      <c r="C2336" s="4" t="n">
        <v>45992</v>
      </c>
      <c r="D2336" s="5">
        <f>YEAR(C2336)</f>
        <v/>
      </c>
      <c r="E2336" s="5">
        <f>MONTH(C2336)</f>
        <v/>
      </c>
      <c r="F2336" s="38" t="inlineStr">
        <is>
          <t>167</t>
        </is>
      </c>
      <c r="G2336" s="38" t="inlineStr">
        <is>
          <t>FRUGIS REPRESENTACOES LTDA (CNPJ 11.989.186/0001-70)</t>
        </is>
      </c>
      <c r="H2336" s="38" t="inlineStr">
        <is>
          <t>COMISSAO</t>
        </is>
      </c>
      <c r="I2336" s="40" t="n">
        <v>14615.77</v>
      </c>
      <c r="J2336" s="40" t="n">
        <v>0</v>
      </c>
      <c r="K2336" s="6">
        <f>I2336-J2336</f>
        <v/>
      </c>
      <c r="L2336" s="6">
        <f>IF(H2336="DISTRATO",0,I2336)</f>
        <v/>
      </c>
    </row>
    <row r="2337">
      <c r="A2337" s="38" t="inlineStr">
        <is>
          <t>Contas a pagar - aba Comissões</t>
        </is>
      </c>
      <c r="B2337" s="39" t="n">
        <v>46097</v>
      </c>
      <c r="C2337" s="4" t="n">
        <v>46054</v>
      </c>
      <c r="D2337" s="5">
        <f>YEAR(C2337)</f>
        <v/>
      </c>
      <c r="E2337" s="5">
        <f>MONTH(C2337)</f>
        <v/>
      </c>
      <c r="F2337" s="38" t="inlineStr">
        <is>
          <t>169</t>
        </is>
      </c>
      <c r="G2337" s="38" t="inlineStr">
        <is>
          <t>FRUGIS REPRESENTACOES LTDA (CNPJ 11.989.186/0001-70)</t>
        </is>
      </c>
      <c r="H2337" s="38" t="inlineStr">
        <is>
          <t>COMISSAO</t>
        </is>
      </c>
      <c r="I2337" s="40" t="n">
        <v>32200.51</v>
      </c>
      <c r="J2337" s="40" t="n">
        <v>0</v>
      </c>
      <c r="K2337" s="6">
        <f>I2337-J2337</f>
        <v/>
      </c>
      <c r="L2337" s="6">
        <f>IF(H2337="DISTRATO",0,I2337)</f>
        <v/>
      </c>
    </row>
    <row r="2338">
      <c r="A2338" s="38" t="inlineStr">
        <is>
          <t>Contas a pagar - aba Comissões</t>
        </is>
      </c>
      <c r="B2338" s="39" t="n">
        <v>46127</v>
      </c>
      <c r="C2338" s="4" t="n">
        <v>46082</v>
      </c>
      <c r="D2338" s="5">
        <f>YEAR(C2338)</f>
        <v/>
      </c>
      <c r="E2338" s="5">
        <f>MONTH(C2338)</f>
        <v/>
      </c>
      <c r="F2338" s="38" t="inlineStr">
        <is>
          <t>170</t>
        </is>
      </c>
      <c r="G2338" s="38" t="inlineStr">
        <is>
          <t>FRUGIS REPRESENTACOES LTDA (CNPJ 11.989.186/0001-70)</t>
        </is>
      </c>
      <c r="H2338" s="38" t="inlineStr">
        <is>
          <t>COMISSAO</t>
        </is>
      </c>
      <c r="I2338" s="40" t="n">
        <v>17893.08</v>
      </c>
      <c r="J2338" s="40" t="n">
        <v>0</v>
      </c>
      <c r="K2338" s="6">
        <f>I2338-J2338</f>
        <v/>
      </c>
      <c r="L2338" s="6">
        <f>IF(H2338="DISTRATO",0,I2338)</f>
        <v/>
      </c>
    </row>
    <row r="2339">
      <c r="A2339" s="38" t="inlineStr">
        <is>
          <t>Contas a pagar - aba Comissões</t>
        </is>
      </c>
      <c r="B2339" s="39" t="n">
        <v>46157</v>
      </c>
      <c r="C2339" s="4" t="n">
        <v>46113</v>
      </c>
      <c r="D2339" s="5">
        <f>YEAR(C2339)</f>
        <v/>
      </c>
      <c r="E2339" s="5">
        <f>MONTH(C2339)</f>
        <v/>
      </c>
      <c r="F2339" s="38" t="inlineStr">
        <is>
          <t>171</t>
        </is>
      </c>
      <c r="G2339" s="38" t="inlineStr">
        <is>
          <t>FRUGIS REPRESENTACOES LTDA (CNPJ 11.989.186/0001-70)</t>
        </is>
      </c>
      <c r="H2339" s="38" t="inlineStr">
        <is>
          <t>COMISSAO</t>
        </is>
      </c>
      <c r="I2339" s="40" t="n">
        <v>6898.76</v>
      </c>
      <c r="J2339" s="40" t="n">
        <v>0</v>
      </c>
      <c r="K2339" s="6">
        <f>I2339-J2339</f>
        <v/>
      </c>
      <c r="L2339" s="6">
        <f>IF(H2339="DISTRATO",0,I2339)</f>
        <v/>
      </c>
    </row>
    <row r="2340">
      <c r="A2340" s="38" t="inlineStr">
        <is>
          <t>Contas a pagar - aba Comissões</t>
        </is>
      </c>
      <c r="B2340" s="39" t="n">
        <v>46188</v>
      </c>
      <c r="C2340" s="4" t="n">
        <v>46143</v>
      </c>
      <c r="D2340" s="5">
        <f>YEAR(C2340)</f>
        <v/>
      </c>
      <c r="E2340" s="5">
        <f>MONTH(C2340)</f>
        <v/>
      </c>
      <c r="F2340" s="38" t="inlineStr">
        <is>
          <t>172</t>
        </is>
      </c>
      <c r="G2340" s="38" t="inlineStr">
        <is>
          <t>FRUGIS REPRESENTACOES LTDA (CNPJ 11.989.186/0001-70)</t>
        </is>
      </c>
      <c r="H2340" s="38" t="inlineStr">
        <is>
          <t>COMISSAO</t>
        </is>
      </c>
      <c r="I2340" s="40" t="n">
        <v>3009.1</v>
      </c>
      <c r="J2340" s="40" t="n">
        <v>0</v>
      </c>
      <c r="K2340" s="6">
        <f>I2340-J2340</f>
        <v/>
      </c>
      <c r="L2340" s="6">
        <f>IF(H2340="DISTRATO",0,I2340)</f>
        <v/>
      </c>
    </row>
    <row r="2341">
      <c r="A2341" s="38" t="inlineStr">
        <is>
          <t>Contas a pagar - aba Comissões</t>
        </is>
      </c>
      <c r="B2341" s="39" t="n">
        <v>46218</v>
      </c>
      <c r="C2341" s="4" t="n">
        <v>46174</v>
      </c>
      <c r="D2341" s="5">
        <f>YEAR(C2341)</f>
        <v/>
      </c>
      <c r="E2341" s="5">
        <f>MONTH(C2341)</f>
        <v/>
      </c>
      <c r="F2341" s="38" t="inlineStr">
        <is>
          <t>173</t>
        </is>
      </c>
      <c r="G2341" s="38" t="inlineStr">
        <is>
          <t>FRUGIS REPRESENTACOES LTDA (CNPJ 11.989.186/0001-70)</t>
        </is>
      </c>
      <c r="H2341" s="38" t="inlineStr">
        <is>
          <t>COMISSAO</t>
        </is>
      </c>
      <c r="I2341" s="40" t="n">
        <v>21568.56</v>
      </c>
      <c r="J2341" s="40" t="n">
        <v>0</v>
      </c>
      <c r="K2341" s="6">
        <f>I2341-J2341</f>
        <v/>
      </c>
      <c r="L2341" s="6">
        <f>IF(H2341="DISTRATO",0,I2341)</f>
        <v/>
      </c>
    </row>
    <row r="2342">
      <c r="A2342" s="38" t="inlineStr">
        <is>
          <t>Contas a pagar - aba Comissões</t>
        </is>
      </c>
      <c r="B2342" s="39" t="n">
        <v>46251</v>
      </c>
      <c r="C2342" s="4" t="n">
        <v>46204</v>
      </c>
      <c r="D2342" s="5">
        <f>YEAR(C2342)</f>
        <v/>
      </c>
      <c r="E2342" s="5">
        <f>MONTH(C2342)</f>
        <v/>
      </c>
      <c r="F2342" s="38" t="inlineStr">
        <is>
          <t>174</t>
        </is>
      </c>
      <c r="G2342" s="38" t="inlineStr">
        <is>
          <t>FRUGIS REPRESENTACOES LTDA (CNPJ 11.989.186/0001-70)</t>
        </is>
      </c>
      <c r="H2342" s="38" t="inlineStr">
        <is>
          <t>COMISSAO</t>
        </is>
      </c>
      <c r="I2342" s="40" t="n">
        <v>5734.34</v>
      </c>
      <c r="J2342" s="40" t="n">
        <v>0</v>
      </c>
      <c r="K2342" s="6">
        <f>I2342-J2342</f>
        <v/>
      </c>
      <c r="L2342" s="6">
        <f>IF(H2342="DISTRATO",0,I2342)</f>
        <v/>
      </c>
    </row>
    <row r="2343">
      <c r="A2343" s="19" t="inlineStr">
        <is>
          <t>TOTAL</t>
        </is>
      </c>
      <c r="I2343" s="32">
        <f>SUM(I2:I2342)</f>
        <v/>
      </c>
      <c r="J2343" s="32">
        <f>SUM(J2:J2342)</f>
        <v/>
      </c>
      <c r="K2343" s="32">
        <f>SUM(K2:K2342)</f>
        <v/>
      </c>
      <c r="L2343" s="32">
        <f>SUM(L2:L2342)</f>
        <v/>
      </c>
    </row>
  </sheetData>
  <autoFilter ref="A1:L2342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</cols>
  <sheetData>
    <row r="1" ht="32" customHeight="1">
      <c r="A1" s="3" t="inlineStr">
        <is>
          <t>Competência</t>
        </is>
      </c>
      <c r="B1" s="3" t="inlineStr">
        <is>
          <t>Crédito</t>
        </is>
      </c>
      <c r="C1" s="3" t="inlineStr">
        <is>
          <t>Débito</t>
        </is>
      </c>
      <c r="D1" s="3" t="inlineStr">
        <is>
          <t>Saldo</t>
        </is>
      </c>
      <c r="F1" s="2" t="inlineStr">
        <is>
          <t>Resumo mensal dos extratos "Conta Corrente dos Representantes" (MFRUGIS05/06/08/09/10/11 e FRUGIS5) - todos os clientes, não só Tenda. Soma de cada arquivo confere com o "Saldo do Periodo" impresso.</t>
        </is>
      </c>
    </row>
    <row r="2">
      <c r="A2" s="4" t="n">
        <v>38353</v>
      </c>
      <c r="B2" s="40" t="n">
        <v>2248.38</v>
      </c>
      <c r="C2" s="40" t="n">
        <v>68.48</v>
      </c>
      <c r="D2" s="6">
        <f>B2-C2</f>
        <v/>
      </c>
    </row>
    <row r="3">
      <c r="A3" s="4" t="n">
        <v>38384</v>
      </c>
      <c r="B3" s="40" t="n">
        <v>2392.27</v>
      </c>
      <c r="C3" s="40" t="n">
        <v>33.02</v>
      </c>
      <c r="D3" s="6">
        <f>B3-C3</f>
        <v/>
      </c>
    </row>
    <row r="4">
      <c r="A4" s="4" t="n">
        <v>38412</v>
      </c>
      <c r="B4" s="40" t="n">
        <v>2607.86</v>
      </c>
      <c r="C4" s="40" t="n">
        <v>42.46</v>
      </c>
      <c r="D4" s="6">
        <f>B4-C4</f>
        <v/>
      </c>
    </row>
    <row r="5">
      <c r="A5" s="4" t="n">
        <v>38443</v>
      </c>
      <c r="B5" s="40" t="n">
        <v>2441.81</v>
      </c>
      <c r="C5" s="40" t="n">
        <v>5.74</v>
      </c>
      <c r="D5" s="6">
        <f>B5-C5</f>
        <v/>
      </c>
    </row>
    <row r="6">
      <c r="A6" s="4" t="n">
        <v>38473</v>
      </c>
      <c r="B6" s="40" t="n">
        <v>2817.47</v>
      </c>
      <c r="C6" s="40" t="n">
        <v>155.27</v>
      </c>
      <c r="D6" s="6">
        <f>B6-C6</f>
        <v/>
      </c>
    </row>
    <row r="7">
      <c r="A7" s="4" t="n">
        <v>38504</v>
      </c>
      <c r="B7" s="40" t="n">
        <v>2628.11</v>
      </c>
      <c r="C7" s="40" t="n">
        <v>192.12</v>
      </c>
      <c r="D7" s="6">
        <f>B7-C7</f>
        <v/>
      </c>
    </row>
    <row r="8">
      <c r="A8" s="4" t="n">
        <v>38534</v>
      </c>
      <c r="B8" s="40" t="n">
        <v>2114.75</v>
      </c>
      <c r="C8" s="40" t="n">
        <v>64.63</v>
      </c>
      <c r="D8" s="6">
        <f>B8-C8</f>
        <v/>
      </c>
    </row>
    <row r="9">
      <c r="A9" s="4" t="n">
        <v>38565</v>
      </c>
      <c r="B9" s="40" t="n">
        <v>3558.34</v>
      </c>
      <c r="C9" s="40" t="n">
        <v>869.3</v>
      </c>
      <c r="D9" s="6">
        <f>B9-C9</f>
        <v/>
      </c>
    </row>
    <row r="10">
      <c r="A10" s="4" t="n">
        <v>38596</v>
      </c>
      <c r="B10" s="40" t="n">
        <v>2589.09</v>
      </c>
      <c r="C10" s="40" t="n">
        <v>221.78</v>
      </c>
      <c r="D10" s="6">
        <f>B10-C10</f>
        <v/>
      </c>
    </row>
    <row r="11">
      <c r="A11" s="4" t="n">
        <v>38626</v>
      </c>
      <c r="B11" s="40" t="n">
        <v>2511.8</v>
      </c>
      <c r="C11" s="40" t="n">
        <v>35.63</v>
      </c>
      <c r="D11" s="6">
        <f>B11-C11</f>
        <v/>
      </c>
    </row>
    <row r="12">
      <c r="A12" s="4" t="n">
        <v>38657</v>
      </c>
      <c r="B12" s="40" t="n">
        <v>2726</v>
      </c>
      <c r="C12" s="40" t="n">
        <v>236.73</v>
      </c>
      <c r="D12" s="6">
        <f>B12-C12</f>
        <v/>
      </c>
    </row>
    <row r="13">
      <c r="A13" s="4" t="n">
        <v>38687</v>
      </c>
      <c r="B13" s="40" t="n">
        <v>2690.08</v>
      </c>
      <c r="C13" s="40" t="n">
        <v>290.56</v>
      </c>
      <c r="D13" s="6">
        <f>B13-C13</f>
        <v/>
      </c>
    </row>
    <row r="14">
      <c r="A14" s="4" t="n">
        <v>38718</v>
      </c>
      <c r="B14" s="40" t="n">
        <v>3558.18</v>
      </c>
      <c r="C14" s="40" t="n">
        <v>195.64</v>
      </c>
      <c r="D14" s="6">
        <f>B14-C14</f>
        <v/>
      </c>
    </row>
    <row r="15">
      <c r="A15" s="4" t="n">
        <v>38749</v>
      </c>
      <c r="B15" s="40" t="n">
        <v>2667.99</v>
      </c>
      <c r="C15" s="40" t="n">
        <v>262.17</v>
      </c>
      <c r="D15" s="6">
        <f>B15-C15</f>
        <v/>
      </c>
    </row>
    <row r="16">
      <c r="A16" s="4" t="n">
        <v>38777</v>
      </c>
      <c r="B16" s="40" t="n">
        <v>3506.67</v>
      </c>
      <c r="C16" s="40" t="n">
        <v>380.46</v>
      </c>
      <c r="D16" s="6">
        <f>B16-C16</f>
        <v/>
      </c>
    </row>
    <row r="17">
      <c r="A17" s="4" t="n">
        <v>38808</v>
      </c>
      <c r="B17" s="40" t="n">
        <v>3417.89</v>
      </c>
      <c r="C17" s="40" t="n">
        <v>304.68</v>
      </c>
      <c r="D17" s="6">
        <f>B17-C17</f>
        <v/>
      </c>
    </row>
    <row r="18">
      <c r="A18" s="4" t="n">
        <v>38838</v>
      </c>
      <c r="B18" s="40" t="n">
        <v>3796.29</v>
      </c>
      <c r="C18" s="40" t="n">
        <v>314.85</v>
      </c>
      <c r="D18" s="6">
        <f>B18-C18</f>
        <v/>
      </c>
    </row>
    <row r="19">
      <c r="A19" s="4" t="n">
        <v>38869</v>
      </c>
      <c r="B19" s="40" t="n">
        <v>3429.92</v>
      </c>
      <c r="C19" s="40" t="n">
        <v>416.98</v>
      </c>
      <c r="D19" s="6">
        <f>B19-C19</f>
        <v/>
      </c>
    </row>
    <row r="20">
      <c r="A20" s="4" t="n">
        <v>38899</v>
      </c>
      <c r="B20" s="40" t="n">
        <v>2505.08</v>
      </c>
      <c r="C20" s="40" t="n">
        <v>328.33</v>
      </c>
      <c r="D20" s="6">
        <f>B20-C20</f>
        <v/>
      </c>
    </row>
    <row r="21">
      <c r="A21" s="4" t="n">
        <v>38930</v>
      </c>
      <c r="B21" s="40" t="n">
        <v>4585.62</v>
      </c>
      <c r="C21" s="40" t="n">
        <v>662.71</v>
      </c>
      <c r="D21" s="6">
        <f>B21-C21</f>
        <v/>
      </c>
    </row>
    <row r="22">
      <c r="A22" s="4" t="n">
        <v>38961</v>
      </c>
      <c r="B22" s="40" t="n">
        <v>3533.44</v>
      </c>
      <c r="C22" s="40" t="n">
        <v>411.67</v>
      </c>
      <c r="D22" s="6">
        <f>B22-C22</f>
        <v/>
      </c>
    </row>
    <row r="23">
      <c r="A23" s="4" t="n">
        <v>38991</v>
      </c>
      <c r="B23" s="40" t="n">
        <v>3704.52</v>
      </c>
      <c r="C23" s="40" t="n">
        <v>323.5</v>
      </c>
      <c r="D23" s="6">
        <f>B23-C23</f>
        <v/>
      </c>
    </row>
    <row r="24">
      <c r="A24" s="4" t="n">
        <v>39022</v>
      </c>
      <c r="B24" s="40" t="n">
        <v>3626.69</v>
      </c>
      <c r="C24" s="40" t="n">
        <v>140.7</v>
      </c>
      <c r="D24" s="6">
        <f>B24-C24</f>
        <v/>
      </c>
    </row>
    <row r="25">
      <c r="A25" s="4" t="n">
        <v>39052</v>
      </c>
      <c r="B25" s="40" t="n">
        <v>3337.51</v>
      </c>
      <c r="C25" s="40" t="n">
        <v>386.64</v>
      </c>
      <c r="D25" s="6">
        <f>B25-C25</f>
        <v/>
      </c>
    </row>
    <row r="26">
      <c r="A26" s="4" t="n">
        <v>39448</v>
      </c>
      <c r="B26" s="40" t="n">
        <v>4977.63</v>
      </c>
      <c r="C26" s="40" t="n">
        <v>19.93</v>
      </c>
      <c r="D26" s="6">
        <f>B26-C26</f>
        <v/>
      </c>
    </row>
    <row r="27">
      <c r="A27" s="4" t="n">
        <v>39479</v>
      </c>
      <c r="B27" s="40" t="n">
        <v>5124.22</v>
      </c>
      <c r="C27" s="40" t="n">
        <v>7.73</v>
      </c>
      <c r="D27" s="6">
        <f>B27-C27</f>
        <v/>
      </c>
    </row>
    <row r="28">
      <c r="A28" s="4" t="n">
        <v>39508</v>
      </c>
      <c r="B28" s="40" t="n">
        <v>5102.52</v>
      </c>
      <c r="C28" s="40" t="n">
        <v>147.8</v>
      </c>
      <c r="D28" s="6">
        <f>B28-C28</f>
        <v/>
      </c>
    </row>
    <row r="29">
      <c r="A29" s="4" t="n">
        <v>39539</v>
      </c>
      <c r="B29" s="40" t="n">
        <v>5785.18</v>
      </c>
      <c r="C29" s="40" t="n">
        <v>113.19</v>
      </c>
      <c r="D29" s="6">
        <f>B29-C29</f>
        <v/>
      </c>
    </row>
    <row r="30">
      <c r="A30" s="4" t="n">
        <v>39569</v>
      </c>
      <c r="B30" s="40" t="n">
        <v>5999.63</v>
      </c>
      <c r="C30" s="40" t="n">
        <v>9.08</v>
      </c>
      <c r="D30" s="6">
        <f>B30-C30</f>
        <v/>
      </c>
    </row>
    <row r="31">
      <c r="A31" s="4" t="n">
        <v>39600</v>
      </c>
      <c r="B31" s="40" t="n">
        <v>6426.31</v>
      </c>
      <c r="C31" s="40" t="n">
        <v>0</v>
      </c>
      <c r="D31" s="6">
        <f>B31-C31</f>
        <v/>
      </c>
    </row>
    <row r="32">
      <c r="A32" s="4" t="n">
        <v>39630</v>
      </c>
      <c r="B32" s="40" t="n">
        <v>5441.97</v>
      </c>
      <c r="C32" s="40" t="n">
        <v>100.64</v>
      </c>
      <c r="D32" s="6">
        <f>B32-C32</f>
        <v/>
      </c>
    </row>
    <row r="33">
      <c r="A33" s="4" t="n">
        <v>39661</v>
      </c>
      <c r="B33" s="40" t="n">
        <v>6629.37</v>
      </c>
      <c r="C33" s="40" t="n">
        <v>-3.45</v>
      </c>
      <c r="D33" s="6">
        <f>B33-C33</f>
        <v/>
      </c>
    </row>
    <row r="34">
      <c r="A34" s="4" t="n">
        <v>39692</v>
      </c>
      <c r="B34" s="40" t="n">
        <v>5756.13</v>
      </c>
      <c r="C34" s="40" t="n">
        <v>14.33</v>
      </c>
      <c r="D34" s="6">
        <f>B34-C34</f>
        <v/>
      </c>
    </row>
    <row r="35">
      <c r="A35" s="4" t="n">
        <v>39722</v>
      </c>
      <c r="B35" s="40" t="n">
        <v>5098.62</v>
      </c>
      <c r="C35" s="40" t="n">
        <v>81.93000000000001</v>
      </c>
      <c r="D35" s="6">
        <f>B35-C35</f>
        <v/>
      </c>
    </row>
    <row r="36">
      <c r="A36" s="4" t="n">
        <v>39753</v>
      </c>
      <c r="B36" s="40" t="n">
        <v>5977.5</v>
      </c>
      <c r="C36" s="40" t="n">
        <v>-8.029999999999999</v>
      </c>
      <c r="D36" s="6">
        <f>B36-C36</f>
        <v/>
      </c>
    </row>
    <row r="37">
      <c r="A37" s="4" t="n">
        <v>39783</v>
      </c>
      <c r="B37" s="40" t="n">
        <v>7553.12</v>
      </c>
      <c r="C37" s="40" t="n">
        <v>100.46</v>
      </c>
      <c r="D37" s="6">
        <f>B37-C37</f>
        <v/>
      </c>
    </row>
    <row r="38">
      <c r="A38" s="4" t="n">
        <v>39814</v>
      </c>
      <c r="B38" s="40" t="n">
        <v>5403.55</v>
      </c>
      <c r="C38" s="40" t="n">
        <v>0.53</v>
      </c>
      <c r="D38" s="6">
        <f>B38-C38</f>
        <v/>
      </c>
    </row>
    <row r="39">
      <c r="A39" s="4" t="n">
        <v>39845</v>
      </c>
      <c r="B39" s="40" t="n">
        <v>6859.12</v>
      </c>
      <c r="C39" s="40" t="n">
        <v>440.52</v>
      </c>
      <c r="D39" s="6">
        <f>B39-C39</f>
        <v/>
      </c>
    </row>
    <row r="40">
      <c r="A40" s="4" t="n">
        <v>39873</v>
      </c>
      <c r="B40" s="40" t="n">
        <v>6300.52</v>
      </c>
      <c r="C40" s="40" t="n">
        <v>0</v>
      </c>
      <c r="D40" s="6">
        <f>B40-C40</f>
        <v/>
      </c>
    </row>
    <row r="41">
      <c r="A41" s="4" t="n">
        <v>39904</v>
      </c>
      <c r="B41" s="40" t="n">
        <v>7589.15</v>
      </c>
      <c r="C41" s="40" t="n">
        <v>-20.52</v>
      </c>
      <c r="D41" s="6">
        <f>B41-C41</f>
        <v/>
      </c>
    </row>
    <row r="42">
      <c r="A42" s="4" t="n">
        <v>39934</v>
      </c>
      <c r="B42" s="40" t="n">
        <v>6970.05</v>
      </c>
      <c r="C42" s="40" t="n">
        <v>8.75</v>
      </c>
      <c r="D42" s="6">
        <f>B42-C42</f>
        <v/>
      </c>
    </row>
    <row r="43">
      <c r="A43" s="4" t="n">
        <v>39965</v>
      </c>
      <c r="B43" s="40" t="n">
        <v>8058.99</v>
      </c>
      <c r="C43" s="40" t="n">
        <v>104.68</v>
      </c>
      <c r="D43" s="6">
        <f>B43-C43</f>
        <v/>
      </c>
    </row>
    <row r="44">
      <c r="A44" s="4" t="n">
        <v>39995</v>
      </c>
      <c r="B44" s="40" t="n">
        <v>4987.16</v>
      </c>
      <c r="C44" s="40" t="n">
        <v>5.37</v>
      </c>
      <c r="D44" s="6">
        <f>B44-C44</f>
        <v/>
      </c>
    </row>
    <row r="45">
      <c r="A45" s="4" t="n">
        <v>40026</v>
      </c>
      <c r="B45" s="40" t="n">
        <v>7677.09</v>
      </c>
      <c r="C45" s="40" t="n">
        <v>0</v>
      </c>
      <c r="D45" s="6">
        <f>B45-C45</f>
        <v/>
      </c>
    </row>
    <row r="46">
      <c r="A46" s="4" t="n">
        <v>40057</v>
      </c>
      <c r="B46" s="40" t="n">
        <v>7203.02</v>
      </c>
      <c r="C46" s="40" t="n">
        <v>3.08</v>
      </c>
      <c r="D46" s="6">
        <f>B46-C46</f>
        <v/>
      </c>
    </row>
    <row r="47">
      <c r="A47" s="4" t="n">
        <v>40087</v>
      </c>
      <c r="B47" s="40" t="n">
        <v>7020.02</v>
      </c>
      <c r="C47" s="40" t="n">
        <v>18.92</v>
      </c>
      <c r="D47" s="6">
        <f>B47-C47</f>
        <v/>
      </c>
    </row>
    <row r="48">
      <c r="A48" s="4" t="n">
        <v>40118</v>
      </c>
      <c r="B48" s="40" t="n">
        <v>6450.48</v>
      </c>
      <c r="C48" s="40" t="n">
        <v>270.33</v>
      </c>
      <c r="D48" s="6">
        <f>B48-C48</f>
        <v/>
      </c>
    </row>
    <row r="49">
      <c r="A49" s="4" t="n">
        <v>40148</v>
      </c>
      <c r="B49" s="40" t="n">
        <v>5667.27</v>
      </c>
      <c r="C49" s="40" t="n">
        <v>297.48</v>
      </c>
      <c r="D49" s="6">
        <f>B49-C49</f>
        <v/>
      </c>
    </row>
    <row r="50">
      <c r="A50" s="4" t="n">
        <v>40179</v>
      </c>
      <c r="B50" s="40" t="n">
        <v>7859.81</v>
      </c>
      <c r="C50" s="40" t="n">
        <v>181.37</v>
      </c>
      <c r="D50" s="6">
        <f>B50-C50</f>
        <v/>
      </c>
    </row>
    <row r="51">
      <c r="A51" s="4" t="n">
        <v>40210</v>
      </c>
      <c r="B51" s="40" t="n">
        <v>6999.61</v>
      </c>
      <c r="C51" s="40" t="n">
        <v>448.55</v>
      </c>
      <c r="D51" s="6">
        <f>B51-C51</f>
        <v/>
      </c>
    </row>
    <row r="52">
      <c r="A52" s="4" t="n">
        <v>40238</v>
      </c>
      <c r="B52" s="40" t="n">
        <v>6475.27</v>
      </c>
      <c r="C52" s="40" t="n">
        <v>108.15</v>
      </c>
      <c r="D52" s="6">
        <f>B52-C52</f>
        <v/>
      </c>
    </row>
    <row r="53">
      <c r="A53" s="4" t="n">
        <v>40269</v>
      </c>
      <c r="B53" s="40" t="n">
        <v>6308.77</v>
      </c>
      <c r="C53" s="40" t="n">
        <v>262.42</v>
      </c>
      <c r="D53" s="6">
        <f>B53-C53</f>
        <v/>
      </c>
    </row>
    <row r="54">
      <c r="A54" s="4" t="n">
        <v>40299</v>
      </c>
      <c r="B54" s="40" t="n">
        <v>4862.16</v>
      </c>
      <c r="C54" s="40" t="n">
        <v>17.1</v>
      </c>
      <c r="D54" s="6">
        <f>B54-C54</f>
        <v/>
      </c>
    </row>
    <row r="55">
      <c r="A55" s="4" t="n">
        <v>40330</v>
      </c>
      <c r="B55" s="40" t="n">
        <v>7232.9</v>
      </c>
      <c r="C55" s="40" t="n">
        <v>1648.9</v>
      </c>
      <c r="D55" s="6">
        <f>B55-C55</f>
        <v/>
      </c>
    </row>
    <row r="56">
      <c r="A56" s="4" t="n">
        <v>40360</v>
      </c>
      <c r="B56" s="40" t="n">
        <v>4077.02</v>
      </c>
      <c r="C56" s="40" t="n">
        <v>521.02</v>
      </c>
      <c r="D56" s="6">
        <f>B56-C56</f>
        <v/>
      </c>
    </row>
    <row r="57">
      <c r="A57" s="4" t="n">
        <v>40391</v>
      </c>
      <c r="B57" s="40" t="n">
        <v>6922.06</v>
      </c>
      <c r="C57" s="40" t="n">
        <v>119</v>
      </c>
      <c r="D57" s="6">
        <f>B57-C57</f>
        <v/>
      </c>
    </row>
    <row r="58">
      <c r="A58" s="4" t="n">
        <v>40422</v>
      </c>
      <c r="B58" s="40" t="n">
        <v>3718.78</v>
      </c>
      <c r="C58" s="40" t="n">
        <v>136.64</v>
      </c>
      <c r="D58" s="6">
        <f>B58-C58</f>
        <v/>
      </c>
    </row>
    <row r="59">
      <c r="A59" s="4" t="n">
        <v>40452</v>
      </c>
      <c r="B59" s="40" t="n">
        <v>148.38</v>
      </c>
      <c r="C59" s="40" t="n">
        <v>148.11</v>
      </c>
      <c r="D59" s="6">
        <f>B59-C59</f>
        <v/>
      </c>
    </row>
    <row r="60">
      <c r="A60" s="4" t="n">
        <v>40483</v>
      </c>
      <c r="B60" s="40" t="n">
        <v>0</v>
      </c>
      <c r="C60" s="40" t="n">
        <v>0</v>
      </c>
      <c r="D60" s="6">
        <f>B60-C60</f>
        <v/>
      </c>
    </row>
    <row r="61">
      <c r="A61" s="4" t="n">
        <v>40544</v>
      </c>
      <c r="B61" s="40" t="n">
        <v>1665.55</v>
      </c>
      <c r="C61" s="40" t="n">
        <v>1665.55</v>
      </c>
      <c r="D61" s="6">
        <f>B61-C61</f>
        <v/>
      </c>
    </row>
    <row r="62">
      <c r="A62" s="4" t="n">
        <v>40575</v>
      </c>
      <c r="B62" s="40" t="n">
        <v>44.34</v>
      </c>
      <c r="C62" s="40" t="n">
        <v>44.34</v>
      </c>
      <c r="D62" s="6">
        <f>B62-C62</f>
        <v/>
      </c>
    </row>
    <row r="63">
      <c r="A63" s="4" t="n">
        <v>40603</v>
      </c>
      <c r="B63" s="40" t="n">
        <v>0</v>
      </c>
      <c r="C63" s="40" t="n">
        <v>0.35</v>
      </c>
      <c r="D63" s="6">
        <f>B63-C63</f>
        <v/>
      </c>
    </row>
    <row r="64">
      <c r="A64" s="4" t="n">
        <v>40909</v>
      </c>
      <c r="B64" s="40" t="n">
        <v>8912.48</v>
      </c>
      <c r="C64" s="40" t="n">
        <v>1598.29</v>
      </c>
      <c r="D64" s="6">
        <f>B64-C64</f>
        <v/>
      </c>
    </row>
    <row r="65">
      <c r="A65" s="4" t="n">
        <v>40940</v>
      </c>
      <c r="B65" s="40" t="n">
        <v>6850.94</v>
      </c>
      <c r="C65" s="40" t="n">
        <v>715.5</v>
      </c>
      <c r="D65" s="6">
        <f>B65-C65</f>
        <v/>
      </c>
    </row>
    <row r="66">
      <c r="A66" s="4" t="n">
        <v>40969</v>
      </c>
      <c r="B66" s="40" t="n">
        <v>9101.299999999999</v>
      </c>
      <c r="C66" s="40" t="n">
        <v>812.17</v>
      </c>
      <c r="D66" s="6">
        <f>B66-C66</f>
        <v/>
      </c>
    </row>
    <row r="67">
      <c r="A67" s="4" t="n">
        <v>41000</v>
      </c>
      <c r="B67" s="40" t="n">
        <v>6573.2</v>
      </c>
      <c r="C67" s="40" t="n">
        <v>688.3</v>
      </c>
      <c r="D67" s="6">
        <f>B67-C67</f>
        <v/>
      </c>
    </row>
    <row r="68">
      <c r="A68" s="4" t="n">
        <v>41030</v>
      </c>
      <c r="B68" s="40" t="n">
        <v>9026.73</v>
      </c>
      <c r="C68" s="40" t="n">
        <v>357.2</v>
      </c>
      <c r="D68" s="6">
        <f>B68-C68</f>
        <v/>
      </c>
    </row>
    <row r="69">
      <c r="A69" s="4" t="n">
        <v>41061</v>
      </c>
      <c r="B69" s="40" t="n">
        <v>6925.14</v>
      </c>
      <c r="C69" s="40" t="n">
        <v>320.6</v>
      </c>
      <c r="D69" s="6">
        <f>B69-C69</f>
        <v/>
      </c>
    </row>
    <row r="70">
      <c r="A70" s="4" t="n">
        <v>41091</v>
      </c>
      <c r="B70" s="40" t="n">
        <v>6568.61</v>
      </c>
      <c r="C70" s="40" t="n">
        <v>370.6</v>
      </c>
      <c r="D70" s="6">
        <f>B70-C70</f>
        <v/>
      </c>
    </row>
    <row r="71">
      <c r="A71" s="4" t="n">
        <v>41122</v>
      </c>
      <c r="B71" s="40" t="n">
        <v>7609.8</v>
      </c>
      <c r="C71" s="40" t="n">
        <v>320.6</v>
      </c>
      <c r="D71" s="6">
        <f>B71-C71</f>
        <v/>
      </c>
    </row>
    <row r="72">
      <c r="A72" s="4" t="n">
        <v>41153</v>
      </c>
      <c r="B72" s="40" t="n">
        <v>5974.34</v>
      </c>
      <c r="C72" s="40" t="n">
        <v>1138.69</v>
      </c>
      <c r="D72" s="6">
        <f>B72-C72</f>
        <v/>
      </c>
    </row>
    <row r="73">
      <c r="A73" s="4" t="n">
        <v>41183</v>
      </c>
      <c r="B73" s="40" t="n">
        <v>7806.88</v>
      </c>
      <c r="C73" s="40" t="n">
        <v>320.6</v>
      </c>
      <c r="D73" s="6">
        <f>B73-C73</f>
        <v/>
      </c>
    </row>
    <row r="74">
      <c r="A74" s="4" t="n">
        <v>41214</v>
      </c>
      <c r="B74" s="40" t="n">
        <v>4408.14</v>
      </c>
      <c r="C74" s="40" t="n">
        <v>1420.6</v>
      </c>
      <c r="D74" s="6">
        <f>B74-C74</f>
        <v/>
      </c>
    </row>
    <row r="75">
      <c r="A75" s="4" t="n">
        <v>41244</v>
      </c>
      <c r="B75" s="40" t="n">
        <v>7569.77</v>
      </c>
      <c r="C75" s="40" t="n">
        <v>763.58</v>
      </c>
      <c r="D75" s="6">
        <f>B75-C75</f>
        <v/>
      </c>
    </row>
    <row r="76">
      <c r="A76" s="4" t="n">
        <v>41275</v>
      </c>
      <c r="B76" s="40" t="n">
        <v>8108.42</v>
      </c>
      <c r="C76" s="40" t="n">
        <v>596.01</v>
      </c>
      <c r="D76" s="6">
        <f>B76-C76</f>
        <v/>
      </c>
    </row>
    <row r="77">
      <c r="A77" s="19" t="inlineStr">
        <is>
          <t>TOTAL</t>
        </is>
      </c>
      <c r="B77" s="32">
        <f>SUM(B2:B76)</f>
        <v/>
      </c>
      <c r="C77" s="32">
        <f>SUM(C2:C76)</f>
        <v/>
      </c>
      <c r="D77" s="32">
        <f>SUM(D2:D76)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1" t="inlineStr">
        <is>
          <t>FONTES</t>
        </is>
      </c>
    </row>
    <row r="2">
      <c r="A2" s="42" t="inlineStr">
        <is>
          <t>1) Extratos "Conta Corrente dos Representantes" enviados (TOTAL QUIMICA / TOTAL CENTRO DE DISTR. INTEGRADA, representante 01.04.01-MARIO): MFRUGIS05, 06, 08, 09, 10, 11 e FRUGIS5 (2012 + jan/2013). Somente lançamentos com "TENDA" no histórico entram na comissão Tenda 2005-2013.</t>
        </is>
      </c>
    </row>
    <row r="3">
      <c r="A3" s="42" t="inlineStr">
        <is>
          <t xml:space="preserve">   Conferência: a soma de cada extrato bate com o "Saldo do Periodo" impresso. Tenda set/2008 a set/2010 bate centavo por centavo com a aba Detalhamento de Comissoes_Tenda_Resumo_e_Detalhamento.xlsx.</t>
        </is>
      </c>
    </row>
    <row r="4">
      <c r="A4" s="42" t="inlineStr">
        <is>
          <t xml:space="preserve">   FRUGIS1 (2012) e FRUGIS2 (jan/2013) são idênticos, linha a linha, ao FRUGIS5 — usado só o FRUGIS5 para não duplicar. FRUGIS.XLS (2011) só tem notas do Roldão, sem Tenda.</t>
        </is>
      </c>
    </row>
    <row r="5">
      <c r="A5" s="42" t="inlineStr">
        <is>
          <t>2) Contas a pagar, aba "Comissões" (ERP_Base Comissão 2026.xlsx): pagamentos à FRUGIS REPRESENTACOES LTDA e a MARIO P. FRUGIS, jun/2017 a ago/2026. Soma líquida bate com a aba "Dinamica (4)" do arquivo "21 - 12 Base para Calcular Distrato Comissoes 2026.xlsx".</t>
        </is>
      </c>
    </row>
    <row r="6">
      <c r="A6" s="42" t="inlineStr">
        <is>
          <t>3) Planilhas mensais com o código 01.07.03 (MARIO - TENDA): JANEIRO 2023 = 22.738,21 e Maio 2026 = 3.009,10 — batem com os pagamentos, confirmando a regra de competência.</t>
        </is>
      </c>
    </row>
    <row r="7">
      <c r="A7" s="42" t="inlineStr"/>
    </row>
    <row r="8">
      <c r="A8" s="41" t="inlineStr">
        <is>
          <t>REGRAS</t>
        </is>
      </c>
    </row>
    <row r="9">
      <c r="A9" s="42" t="inlineStr">
        <is>
          <t>- 2005 a jan/2013: comissão Tenda = NFV + BONIF (negativa) - DEV - DESC, pelo mês da nota. Linhas iguais no extrato foram mantidas (o saldo impresso as inclui).</t>
        </is>
      </c>
    </row>
    <row r="10">
      <c r="A10" s="42" t="inlineStr">
        <is>
          <t>- 2008: "DIF PERCENTUAL"/"DIFERENCA" mensal (R$ 14.956,91) incluído como Tenda: acompanha a comissão do Tenda (≈ 82-88% dela na maioria dos meses) e some em 2009, quando a comissão do Tenda sobe — indica correção do % do Tenda feita à mão em 2008.</t>
        </is>
      </c>
    </row>
    <row r="11">
      <c r="A11" s="42" t="inlineStr">
        <is>
          <t>- 2009: "DIFERENCA" não segue o Tenda; entrou só a parte proporcional à participação do Tenda na comissão de cada mês (rateio, R$ 1.022,26).</t>
        </is>
      </c>
    </row>
    <row r="12">
      <c r="A12" s="42" t="inlineStr">
        <is>
          <t>- Jun/2017 em diante: competência = mês anterior ao pagamento; valor bruto antes de descontos; distratos já pagos (2020 e 2021) fora da base.</t>
        </is>
      </c>
    </row>
    <row r="13">
      <c r="A13" s="42" t="inlineStr"/>
    </row>
    <row r="14">
      <c r="A14" s="42" t="inlineStr">
        <is>
          <t>ESTIMATIVAS (pedido do usuário)</t>
        </is>
      </c>
    </row>
    <row r="15">
      <c r="A15" s="42" t="inlineStr">
        <is>
          <t>- 2007: mesmo mês de 2008 deflacionado pelo IPCA 2008 (5,90%, IBGE).</t>
        </is>
      </c>
    </row>
    <row r="16">
      <c r="A16" s="42" t="inlineStr">
        <is>
          <t>- out/2010 a dez/2011 e fev/2013 a mai/2017: interpolação linear entre as médias reais vizinhas, multiplicada por fator aleatório de ±15% (semente 2026), com a soma do grupo preservada.</t>
        </is>
      </c>
    </row>
    <row r="17">
      <c r="A17" s="42" t="inlineStr">
        <is>
          <t>- Meses pós-2017 sem pagamento NÃO foram estimados: o pagamento do mês seguinte costuma cobrir os dois meses (preencher duplicaria).</t>
        </is>
      </c>
    </row>
    <row r="18">
      <c r="A18" s="42" t="inlineStr">
        <is>
          <t>- Valores estimados não são dados reais: identificar como estimativa em qualquer uso no distrato.</t>
        </is>
      </c>
    </row>
    <row r="19">
      <c r="A19" s="42" t="inlineStr"/>
    </row>
    <row r="20">
      <c r="A20" s="41" t="inlineStr">
        <is>
          <t>LACUNAS CONHECIDAS</t>
        </is>
      </c>
    </row>
    <row r="21">
      <c r="A21" s="42" t="inlineStr">
        <is>
          <t>- Meses sem pagamento no contas a pagar: 08/2022, 05/2024, 02/2025, 05/2025, 09/2025, 11/2025, 01/2026.</t>
        </is>
      </c>
    </row>
    <row r="22">
      <c r="A22" s="42" t="inlineStr">
        <is>
          <t>- De jun/2017 em diante o valor é o total pago à Frugis. O código 01.07.03 (MARIO - TENDA) indica ser só Tenda, mas os extratos antigos mostram que ele também vendia para outros clientes — confirmar.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2026-09-30T02:47:49Z</dcterms:created>
  <dcterms:modified xsi:type="dcterms:W3CDTF">2026-09-30T02:47:50Z</dcterms:modified>
</cp:coreProperties>
</file>